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odWar\Doc\战神数值整理\"/>
    </mc:Choice>
  </mc:AlternateContent>
  <bookViews>
    <workbookView xWindow="0" yWindow="0" windowWidth="28800" windowHeight="12225"/>
  </bookViews>
  <sheets>
    <sheet name="宠物成长" sheetId="1" r:id="rId1"/>
    <sheet name="宠物天赋" sheetId="2" r:id="rId2"/>
    <sheet name="宠物缘分" sheetId="5" r:id="rId3"/>
    <sheet name="宠物设定" sheetId="4" r:id="rId4"/>
    <sheet name="宠物属性" sheetId="3" r:id="rId5"/>
    <sheet name="宠物属性点预览" sheetId="8" r:id="rId6"/>
    <sheet name="宠物缘分资料" sheetId="6" r:id="rId7"/>
    <sheet name="宠物列表" sheetId="9" r:id="rId8"/>
    <sheet name="太极熊猫宠物数据" sheetId="7" r:id="rId9"/>
  </sheets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5" i="1"/>
  <c r="I20" i="9" l="1"/>
  <c r="J20" i="9"/>
  <c r="K20" i="9"/>
  <c r="I31" i="9"/>
  <c r="J31" i="9"/>
  <c r="K31" i="9"/>
  <c r="I21" i="9"/>
  <c r="J21" i="9"/>
  <c r="K21" i="9"/>
  <c r="I22" i="9"/>
  <c r="J22" i="9"/>
  <c r="K22" i="9"/>
  <c r="I32" i="9"/>
  <c r="J32" i="9"/>
  <c r="K32" i="9"/>
  <c r="I23" i="9"/>
  <c r="J23" i="9"/>
  <c r="K23" i="9"/>
  <c r="I33" i="9"/>
  <c r="J33" i="9"/>
  <c r="K33" i="9"/>
  <c r="I24" i="9"/>
  <c r="J24" i="9"/>
  <c r="K24" i="9"/>
  <c r="I25" i="9"/>
  <c r="J25" i="9"/>
  <c r="K25" i="9"/>
  <c r="I26" i="9"/>
  <c r="J26" i="9"/>
  <c r="K26" i="9"/>
  <c r="I27" i="9"/>
  <c r="J27" i="9"/>
  <c r="K27" i="9"/>
  <c r="I34" i="9"/>
  <c r="J34" i="9"/>
  <c r="K34" i="9"/>
  <c r="I28" i="9"/>
  <c r="J28" i="9"/>
  <c r="K28" i="9"/>
  <c r="I29" i="9"/>
  <c r="J29" i="9"/>
  <c r="K29" i="9"/>
  <c r="I30" i="9"/>
  <c r="J30" i="9"/>
  <c r="K30" i="9"/>
  <c r="J19" i="9"/>
  <c r="K19" i="9"/>
  <c r="I19" i="9"/>
  <c r="D4" i="9" l="1"/>
  <c r="D5" i="9"/>
  <c r="D6" i="9"/>
  <c r="D7" i="9"/>
  <c r="D8" i="9"/>
  <c r="D9" i="9"/>
  <c r="D10" i="9"/>
  <c r="D11" i="9"/>
  <c r="D12" i="9"/>
  <c r="D13" i="9"/>
  <c r="D14" i="9"/>
  <c r="D3" i="9"/>
  <c r="L4" i="9"/>
  <c r="L5" i="9"/>
  <c r="L6" i="9"/>
  <c r="L7" i="9"/>
  <c r="L8" i="9"/>
  <c r="L9" i="9"/>
  <c r="L10" i="9"/>
  <c r="L11" i="9"/>
  <c r="L12" i="9"/>
  <c r="L13" i="9"/>
  <c r="L14" i="9"/>
  <c r="L3" i="9"/>
  <c r="AK2" i="3" l="1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8" i="3"/>
  <c r="I12" i="1" l="1"/>
  <c r="E31" i="1"/>
  <c r="E30" i="1"/>
  <c r="J66" i="8" s="1"/>
  <c r="Q30" i="1"/>
  <c r="C2" i="1"/>
  <c r="D9" i="1"/>
  <c r="D10" i="1"/>
  <c r="D11" i="1"/>
  <c r="D12" i="1"/>
  <c r="D8" i="1"/>
  <c r="B3" i="3"/>
  <c r="B73" i="3"/>
  <c r="C73" i="3"/>
  <c r="B74" i="3"/>
  <c r="C74" i="3"/>
  <c r="B75" i="3"/>
  <c r="C75" i="3"/>
  <c r="B76" i="3"/>
  <c r="C76" i="3"/>
  <c r="R9" i="1"/>
  <c r="D76" i="3" s="1"/>
  <c r="B77" i="3"/>
  <c r="C77" i="3"/>
  <c r="C72" i="3"/>
  <c r="R5" i="1"/>
  <c r="D72" i="3" s="1"/>
  <c r="B72" i="3"/>
  <c r="B50" i="3"/>
  <c r="H6" i="1"/>
  <c r="D50" i="3"/>
  <c r="K6" i="1"/>
  <c r="F50" i="3" s="1"/>
  <c r="B51" i="3"/>
  <c r="H7" i="1"/>
  <c r="C51" i="3"/>
  <c r="D51" i="3"/>
  <c r="K7" i="1"/>
  <c r="F51" i="3" s="1"/>
  <c r="B52" i="3"/>
  <c r="H8" i="1"/>
  <c r="D52" i="3"/>
  <c r="J8" i="1"/>
  <c r="E52" i="3" s="1"/>
  <c r="K8" i="1"/>
  <c r="F52" i="3" s="1"/>
  <c r="B53" i="3"/>
  <c r="H9" i="1"/>
  <c r="D53" i="3"/>
  <c r="K9" i="1"/>
  <c r="F53" i="3" s="1"/>
  <c r="B54" i="3"/>
  <c r="H10" i="1"/>
  <c r="C54" i="3"/>
  <c r="D54" i="3"/>
  <c r="K10" i="1"/>
  <c r="F54" i="3" s="1"/>
  <c r="B55" i="3"/>
  <c r="H11" i="1"/>
  <c r="J11" i="1" s="1"/>
  <c r="E55" i="3" s="1"/>
  <c r="D55" i="3"/>
  <c r="K11" i="1"/>
  <c r="F55" i="3" s="1"/>
  <c r="B56" i="3"/>
  <c r="H12" i="1"/>
  <c r="M12" i="1" s="1"/>
  <c r="J12" i="1"/>
  <c r="E56" i="3" s="1"/>
  <c r="B57" i="3"/>
  <c r="H13" i="1"/>
  <c r="B58" i="3"/>
  <c r="H14" i="1"/>
  <c r="C58" i="3" s="1"/>
  <c r="J14" i="1"/>
  <c r="E58" i="3" s="1"/>
  <c r="B59" i="3"/>
  <c r="H15" i="1"/>
  <c r="C59" i="3"/>
  <c r="B60" i="3"/>
  <c r="H16" i="1"/>
  <c r="J16" i="1" s="1"/>
  <c r="E60" i="3" s="1"/>
  <c r="C60" i="3"/>
  <c r="B61" i="3"/>
  <c r="H17" i="1"/>
  <c r="C61" i="3"/>
  <c r="B62" i="3"/>
  <c r="H18" i="1"/>
  <c r="C62" i="3"/>
  <c r="J18" i="1"/>
  <c r="E62" i="3" s="1"/>
  <c r="B63" i="3"/>
  <c r="H19" i="1"/>
  <c r="C63" i="3"/>
  <c r="B64" i="3"/>
  <c r="H20" i="1"/>
  <c r="C64" i="3"/>
  <c r="J20" i="1"/>
  <c r="E64" i="3" s="1"/>
  <c r="B65" i="3"/>
  <c r="H21" i="1"/>
  <c r="B66" i="3"/>
  <c r="H22" i="1"/>
  <c r="B67" i="3"/>
  <c r="H23" i="1"/>
  <c r="B68" i="3"/>
  <c r="H24" i="1"/>
  <c r="C68" i="3" s="1"/>
  <c r="B69" i="3"/>
  <c r="H25" i="1"/>
  <c r="B49" i="3"/>
  <c r="E64" i="1"/>
  <c r="E101" i="1"/>
  <c r="E100" i="1"/>
  <c r="E88" i="1"/>
  <c r="F88" i="1" s="1"/>
  <c r="J88" i="1" s="1"/>
  <c r="O88" i="1" s="1"/>
  <c r="E87" i="1"/>
  <c r="E67" i="1"/>
  <c r="E66" i="1"/>
  <c r="F66" i="1" s="1"/>
  <c r="I66" i="1" s="1"/>
  <c r="N66" i="1" s="1"/>
  <c r="F15" i="7"/>
  <c r="F20" i="7"/>
  <c r="F25" i="7"/>
  <c r="F30" i="7"/>
  <c r="K18" i="7"/>
  <c r="K23" i="7"/>
  <c r="K28" i="7"/>
  <c r="K33" i="7"/>
  <c r="R7" i="7"/>
  <c r="E110" i="1"/>
  <c r="F110" i="1" s="1"/>
  <c r="E111" i="1"/>
  <c r="E112" i="1"/>
  <c r="E113" i="1"/>
  <c r="F113" i="1" s="1"/>
  <c r="H113" i="1" s="1"/>
  <c r="M113" i="1" s="1"/>
  <c r="E114" i="1"/>
  <c r="F114" i="1" s="1"/>
  <c r="G114" i="1" s="1"/>
  <c r="L114" i="1" s="1"/>
  <c r="E115" i="1"/>
  <c r="E116" i="1"/>
  <c r="E117" i="1"/>
  <c r="E118" i="1"/>
  <c r="F118" i="1" s="1"/>
  <c r="K118" i="1" s="1"/>
  <c r="P118" i="1" s="1"/>
  <c r="E119" i="1"/>
  <c r="E120" i="1"/>
  <c r="F120" i="1" s="1"/>
  <c r="E121" i="1"/>
  <c r="E122" i="1"/>
  <c r="F122" i="1" s="1"/>
  <c r="J122" i="1" s="1"/>
  <c r="O122" i="1" s="1"/>
  <c r="E123" i="1"/>
  <c r="E124" i="1"/>
  <c r="E125" i="1"/>
  <c r="F125" i="1" s="1"/>
  <c r="E126" i="1"/>
  <c r="F126" i="1" s="1"/>
  <c r="J126" i="1" s="1"/>
  <c r="O126" i="1" s="1"/>
  <c r="E127" i="1"/>
  <c r="E128" i="1"/>
  <c r="E129" i="1"/>
  <c r="E109" i="1"/>
  <c r="F109" i="1" s="1"/>
  <c r="H109" i="1" s="1"/>
  <c r="M109" i="1" s="1"/>
  <c r="E105" i="1"/>
  <c r="E106" i="1"/>
  <c r="E107" i="1"/>
  <c r="E108" i="1"/>
  <c r="F108" i="1" s="1"/>
  <c r="K108" i="1" s="1"/>
  <c r="P108" i="1" s="1"/>
  <c r="E104" i="1"/>
  <c r="E102" i="1"/>
  <c r="F102" i="1" s="1"/>
  <c r="H102" i="1" s="1"/>
  <c r="M102" i="1" s="1"/>
  <c r="E103" i="1"/>
  <c r="E99" i="1"/>
  <c r="E95" i="1"/>
  <c r="E96" i="1"/>
  <c r="E97" i="1"/>
  <c r="F97" i="1" s="1"/>
  <c r="I97" i="1" s="1"/>
  <c r="N97" i="1" s="1"/>
  <c r="E98" i="1"/>
  <c r="E94" i="1"/>
  <c r="E90" i="1"/>
  <c r="E91" i="1"/>
  <c r="F91" i="1" s="1"/>
  <c r="I91" i="1" s="1"/>
  <c r="N91" i="1" s="1"/>
  <c r="E92" i="1"/>
  <c r="E93" i="1"/>
  <c r="E89" i="1"/>
  <c r="E85" i="1"/>
  <c r="F85" i="1" s="1"/>
  <c r="H85" i="1" s="1"/>
  <c r="M85" i="1" s="1"/>
  <c r="E86" i="1"/>
  <c r="E84" i="1"/>
  <c r="E80" i="1"/>
  <c r="E81" i="1"/>
  <c r="H54" i="8" s="1"/>
  <c r="E82" i="1"/>
  <c r="E83" i="1"/>
  <c r="E79" i="1"/>
  <c r="E75" i="1"/>
  <c r="F75" i="1" s="1"/>
  <c r="E76" i="1"/>
  <c r="E77" i="1"/>
  <c r="E78" i="1"/>
  <c r="F78" i="1" s="1"/>
  <c r="I78" i="1" s="1"/>
  <c r="N78" i="1" s="1"/>
  <c r="E74" i="1"/>
  <c r="F74" i="1" s="1"/>
  <c r="I74" i="1" s="1"/>
  <c r="N74" i="1" s="1"/>
  <c r="E70" i="1"/>
  <c r="E71" i="1"/>
  <c r="E72" i="1"/>
  <c r="E73" i="1"/>
  <c r="F73" i="1" s="1"/>
  <c r="H73" i="1" s="1"/>
  <c r="M73" i="1" s="1"/>
  <c r="E69" i="1"/>
  <c r="E65" i="1"/>
  <c r="F65" i="1" s="1"/>
  <c r="H65" i="1" s="1"/>
  <c r="M65" i="1" s="1"/>
  <c r="E68" i="1"/>
  <c r="E60" i="1"/>
  <c r="E61" i="1"/>
  <c r="E62" i="1"/>
  <c r="E63" i="1"/>
  <c r="F63" i="1" s="1"/>
  <c r="J63" i="1" s="1"/>
  <c r="O63" i="1" s="1"/>
  <c r="E59" i="1"/>
  <c r="F59" i="1" s="1"/>
  <c r="E55" i="1"/>
  <c r="E56" i="1"/>
  <c r="E57" i="1"/>
  <c r="F57" i="1" s="1"/>
  <c r="E58" i="1"/>
  <c r="F58" i="1" s="1"/>
  <c r="K58" i="1" s="1"/>
  <c r="P58" i="1" s="1"/>
  <c r="E54" i="1"/>
  <c r="F54" i="1" s="1"/>
  <c r="E50" i="1"/>
  <c r="F50" i="1" s="1"/>
  <c r="J50" i="1" s="1"/>
  <c r="O50" i="1" s="1"/>
  <c r="E51" i="1"/>
  <c r="F51" i="1" s="1"/>
  <c r="K51" i="1" s="1"/>
  <c r="P51" i="1" s="1"/>
  <c r="E52" i="1"/>
  <c r="E53" i="1"/>
  <c r="F53" i="1" s="1"/>
  <c r="E49" i="1"/>
  <c r="F49" i="1" s="1"/>
  <c r="E45" i="1"/>
  <c r="F45" i="1" s="1"/>
  <c r="E46" i="1"/>
  <c r="F46" i="1" s="1"/>
  <c r="I46" i="1" s="1"/>
  <c r="N46" i="1" s="1"/>
  <c r="E47" i="1"/>
  <c r="E48" i="1"/>
  <c r="F48" i="1" s="1"/>
  <c r="E44" i="1"/>
  <c r="E40" i="1"/>
  <c r="E41" i="1"/>
  <c r="F41" i="1" s="1"/>
  <c r="E42" i="1"/>
  <c r="F42" i="1" s="1"/>
  <c r="J42" i="1" s="1"/>
  <c r="O42" i="1" s="1"/>
  <c r="E43" i="1"/>
  <c r="E39" i="1"/>
  <c r="F39" i="1" s="1"/>
  <c r="H39" i="1" s="1"/>
  <c r="M39" i="1" s="1"/>
  <c r="E35" i="1"/>
  <c r="F35" i="1" s="1"/>
  <c r="E36" i="1"/>
  <c r="F36" i="1" s="1"/>
  <c r="E37" i="1"/>
  <c r="E38" i="1"/>
  <c r="F38" i="1" s="1"/>
  <c r="I38" i="1" s="1"/>
  <c r="N38" i="1" s="1"/>
  <c r="E34" i="1"/>
  <c r="E32" i="1"/>
  <c r="E33" i="1"/>
  <c r="J23" i="8"/>
  <c r="J34" i="7"/>
  <c r="J33" i="7"/>
  <c r="J32" i="7"/>
  <c r="J31" i="7"/>
  <c r="J29" i="7"/>
  <c r="J28" i="7"/>
  <c r="J27" i="7"/>
  <c r="J26" i="7"/>
  <c r="J24" i="7"/>
  <c r="J23" i="7"/>
  <c r="J22" i="7"/>
  <c r="J21" i="7"/>
  <c r="J17" i="7"/>
  <c r="J18" i="7"/>
  <c r="J19" i="7"/>
  <c r="J16" i="7"/>
  <c r="J5" i="7"/>
  <c r="J6" i="7"/>
  <c r="J7" i="7"/>
  <c r="J8" i="7"/>
  <c r="J9" i="7"/>
  <c r="J10" i="7"/>
  <c r="J11" i="7"/>
  <c r="J12" i="7"/>
  <c r="J13" i="7"/>
  <c r="J14" i="7"/>
  <c r="J8" i="3"/>
  <c r="B2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AU10" i="3" s="1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M8" i="1"/>
  <c r="M10" i="1"/>
  <c r="M15" i="1"/>
  <c r="M16" i="1"/>
  <c r="M18" i="1"/>
  <c r="M19" i="1"/>
  <c r="M20" i="1"/>
  <c r="M21" i="1"/>
  <c r="M23" i="1"/>
  <c r="L6" i="1"/>
  <c r="L7" i="1"/>
  <c r="L8" i="1"/>
  <c r="L9" i="1"/>
  <c r="L10" i="1"/>
  <c r="L11" i="1"/>
  <c r="H5" i="1"/>
  <c r="J5" i="1" s="1"/>
  <c r="E49" i="3" s="1"/>
  <c r="K5" i="1"/>
  <c r="F49" i="3" s="1"/>
  <c r="B1" i="3"/>
  <c r="L9" i="3"/>
  <c r="F3" i="3"/>
  <c r="F2" i="3"/>
  <c r="G30" i="5"/>
  <c r="AF9" i="3"/>
  <c r="AC9" i="3"/>
  <c r="AG9" i="3"/>
  <c r="L10" i="3"/>
  <c r="AF10" i="3"/>
  <c r="AC10" i="3"/>
  <c r="AG10" i="3"/>
  <c r="L11" i="3"/>
  <c r="AF11" i="3"/>
  <c r="AC11" i="3"/>
  <c r="AG11" i="3"/>
  <c r="L12" i="3"/>
  <c r="AF12" i="3"/>
  <c r="AC12" i="3"/>
  <c r="AG12" i="3"/>
  <c r="L13" i="3"/>
  <c r="AF13" i="3"/>
  <c r="AC13" i="3"/>
  <c r="AG13" i="3"/>
  <c r="L14" i="3"/>
  <c r="AF14" i="3"/>
  <c r="AC14" i="3"/>
  <c r="AG14" i="3"/>
  <c r="L15" i="3"/>
  <c r="AF15" i="3"/>
  <c r="AC15" i="3"/>
  <c r="AG15" i="3"/>
  <c r="L16" i="3"/>
  <c r="AF16" i="3"/>
  <c r="AC16" i="3"/>
  <c r="AG16" i="3"/>
  <c r="L17" i="3"/>
  <c r="AF17" i="3"/>
  <c r="AC17" i="3"/>
  <c r="AG17" i="3"/>
  <c r="L18" i="3"/>
  <c r="AF18" i="3"/>
  <c r="AC18" i="3"/>
  <c r="AG18" i="3"/>
  <c r="L19" i="3"/>
  <c r="AF19" i="3"/>
  <c r="AC19" i="3"/>
  <c r="AG19" i="3"/>
  <c r="L20" i="3"/>
  <c r="AF20" i="3"/>
  <c r="AC20" i="3"/>
  <c r="AG20" i="3"/>
  <c r="L21" i="3"/>
  <c r="AF21" i="3"/>
  <c r="AC21" i="3"/>
  <c r="AG21" i="3"/>
  <c r="L22" i="3"/>
  <c r="AF22" i="3"/>
  <c r="AC22" i="3"/>
  <c r="AG22" i="3"/>
  <c r="L23" i="3"/>
  <c r="AF23" i="3"/>
  <c r="AC23" i="3"/>
  <c r="AG23" i="3"/>
  <c r="L24" i="3"/>
  <c r="AF24" i="3"/>
  <c r="AC24" i="3"/>
  <c r="AG24" i="3"/>
  <c r="L25" i="3"/>
  <c r="AF25" i="3"/>
  <c r="AC25" i="3"/>
  <c r="AG25" i="3"/>
  <c r="L26" i="3"/>
  <c r="AF26" i="3"/>
  <c r="AC26" i="3"/>
  <c r="AG26" i="3"/>
  <c r="L27" i="3"/>
  <c r="AF27" i="3"/>
  <c r="AC27" i="3"/>
  <c r="AG27" i="3"/>
  <c r="L28" i="3"/>
  <c r="AF28" i="3"/>
  <c r="AC28" i="3"/>
  <c r="AG28" i="3"/>
  <c r="L29" i="3"/>
  <c r="AF29" i="3"/>
  <c r="AC29" i="3"/>
  <c r="AG29" i="3"/>
  <c r="L30" i="3"/>
  <c r="AF30" i="3"/>
  <c r="AC30" i="3"/>
  <c r="AG30" i="3"/>
  <c r="L31" i="3"/>
  <c r="AF31" i="3"/>
  <c r="AC31" i="3"/>
  <c r="AG31" i="3"/>
  <c r="L32" i="3"/>
  <c r="AF32" i="3"/>
  <c r="AC32" i="3"/>
  <c r="AG32" i="3"/>
  <c r="L33" i="3"/>
  <c r="AF33" i="3"/>
  <c r="AC33" i="3"/>
  <c r="AG33" i="3"/>
  <c r="L34" i="3"/>
  <c r="AF34" i="3"/>
  <c r="AC34" i="3"/>
  <c r="AG34" i="3"/>
  <c r="L35" i="3"/>
  <c r="AF35" i="3"/>
  <c r="AC35" i="3"/>
  <c r="AG35" i="3"/>
  <c r="L36" i="3"/>
  <c r="AF36" i="3"/>
  <c r="AC36" i="3"/>
  <c r="AG36" i="3"/>
  <c r="L37" i="3"/>
  <c r="AF37" i="3"/>
  <c r="AC37" i="3"/>
  <c r="AG37" i="3"/>
  <c r="L38" i="3"/>
  <c r="AF38" i="3"/>
  <c r="AC38" i="3"/>
  <c r="AG38" i="3"/>
  <c r="L39" i="3"/>
  <c r="AF39" i="3"/>
  <c r="AC39" i="3"/>
  <c r="AG39" i="3"/>
  <c r="L40" i="3"/>
  <c r="AF40" i="3"/>
  <c r="AC40" i="3"/>
  <c r="AG40" i="3"/>
  <c r="L41" i="3"/>
  <c r="AF41" i="3"/>
  <c r="AC41" i="3"/>
  <c r="AG41" i="3"/>
  <c r="L42" i="3"/>
  <c r="G31" i="5"/>
  <c r="AF42" i="3"/>
  <c r="AC42" i="3"/>
  <c r="X42" i="3"/>
  <c r="AG42" i="3"/>
  <c r="L43" i="3"/>
  <c r="AF43" i="3"/>
  <c r="AC43" i="3"/>
  <c r="X43" i="3"/>
  <c r="AG43" i="3"/>
  <c r="L44" i="3"/>
  <c r="AF44" i="3"/>
  <c r="AC44" i="3"/>
  <c r="X44" i="3"/>
  <c r="AG44" i="3"/>
  <c r="L45" i="3"/>
  <c r="AF45" i="3"/>
  <c r="AC45" i="3"/>
  <c r="X45" i="3"/>
  <c r="AG45" i="3"/>
  <c r="L46" i="3"/>
  <c r="AF46" i="3"/>
  <c r="AC46" i="3"/>
  <c r="X46" i="3"/>
  <c r="AG46" i="3"/>
  <c r="L47" i="3"/>
  <c r="W47" i="3"/>
  <c r="AF47" i="3"/>
  <c r="AC47" i="3"/>
  <c r="X47" i="3"/>
  <c r="AG47" i="3"/>
  <c r="L48" i="3"/>
  <c r="W48" i="3"/>
  <c r="AF48" i="3"/>
  <c r="AC48" i="3"/>
  <c r="X48" i="3"/>
  <c r="AG48" i="3"/>
  <c r="L49" i="3"/>
  <c r="W49" i="3"/>
  <c r="AF49" i="3"/>
  <c r="AC49" i="3"/>
  <c r="X49" i="3"/>
  <c r="AG49" i="3"/>
  <c r="L50" i="3"/>
  <c r="W50" i="3"/>
  <c r="AF50" i="3"/>
  <c r="AC50" i="3"/>
  <c r="X50" i="3"/>
  <c r="AG50" i="3"/>
  <c r="L51" i="3"/>
  <c r="W51" i="3"/>
  <c r="AF51" i="3"/>
  <c r="AC51" i="3"/>
  <c r="X51" i="3"/>
  <c r="AG51" i="3"/>
  <c r="L52" i="3"/>
  <c r="G32" i="5"/>
  <c r="W52" i="3"/>
  <c r="AF52" i="3"/>
  <c r="AC52" i="3"/>
  <c r="X52" i="3"/>
  <c r="AG52" i="3"/>
  <c r="L53" i="3"/>
  <c r="W53" i="3"/>
  <c r="AF53" i="3"/>
  <c r="AC53" i="3"/>
  <c r="X53" i="3"/>
  <c r="AG53" i="3"/>
  <c r="L54" i="3"/>
  <c r="W54" i="3"/>
  <c r="AF54" i="3"/>
  <c r="AC54" i="3"/>
  <c r="X54" i="3"/>
  <c r="AG54" i="3"/>
  <c r="L55" i="3"/>
  <c r="W55" i="3"/>
  <c r="AF55" i="3"/>
  <c r="AC55" i="3"/>
  <c r="X55" i="3"/>
  <c r="AG55" i="3"/>
  <c r="L56" i="3"/>
  <c r="W56" i="3"/>
  <c r="AF56" i="3"/>
  <c r="AC56" i="3"/>
  <c r="X56" i="3"/>
  <c r="AG56" i="3"/>
  <c r="L57" i="3"/>
  <c r="AF57" i="3"/>
  <c r="AC57" i="3"/>
  <c r="X57" i="3"/>
  <c r="Y57" i="3"/>
  <c r="AG57" i="3"/>
  <c r="L58" i="3"/>
  <c r="AF58" i="3"/>
  <c r="AC58" i="3"/>
  <c r="X58" i="3"/>
  <c r="Y58" i="3"/>
  <c r="AG58" i="3"/>
  <c r="L59" i="3"/>
  <c r="AF59" i="3"/>
  <c r="AC59" i="3"/>
  <c r="X59" i="3"/>
  <c r="Y59" i="3"/>
  <c r="AG59" i="3"/>
  <c r="L60" i="3"/>
  <c r="AF60" i="3"/>
  <c r="AC60" i="3"/>
  <c r="X60" i="3"/>
  <c r="Y60" i="3"/>
  <c r="AG60" i="3"/>
  <c r="L61" i="3"/>
  <c r="AF61" i="3"/>
  <c r="AC61" i="3"/>
  <c r="X61" i="3"/>
  <c r="Y61" i="3"/>
  <c r="AG61" i="3"/>
  <c r="L62" i="3"/>
  <c r="G33" i="5"/>
  <c r="AF62" i="3"/>
  <c r="AC62" i="3"/>
  <c r="X62" i="3"/>
  <c r="Y62" i="3"/>
  <c r="AG62" i="3"/>
  <c r="L63" i="3"/>
  <c r="AF63" i="3"/>
  <c r="AC63" i="3"/>
  <c r="X63" i="3"/>
  <c r="Y63" i="3"/>
  <c r="AG63" i="3"/>
  <c r="L64" i="3"/>
  <c r="AF64" i="3"/>
  <c r="AC64" i="3"/>
  <c r="X64" i="3"/>
  <c r="Y64" i="3"/>
  <c r="AG64" i="3"/>
  <c r="L65" i="3"/>
  <c r="AF65" i="3"/>
  <c r="AC65" i="3"/>
  <c r="X65" i="3"/>
  <c r="Y65" i="3"/>
  <c r="AG65" i="3"/>
  <c r="L66" i="3"/>
  <c r="AF66" i="3"/>
  <c r="AC66" i="3"/>
  <c r="X66" i="3"/>
  <c r="Y66" i="3"/>
  <c r="AG66" i="3"/>
  <c r="L67" i="3"/>
  <c r="G34" i="5"/>
  <c r="AF67" i="3"/>
  <c r="AC67" i="3"/>
  <c r="X67" i="3"/>
  <c r="Y67" i="3"/>
  <c r="AG67" i="3"/>
  <c r="L68" i="3"/>
  <c r="AF68" i="3"/>
  <c r="AC68" i="3"/>
  <c r="X68" i="3"/>
  <c r="Y68" i="3"/>
  <c r="AG68" i="3"/>
  <c r="L69" i="3"/>
  <c r="AF69" i="3"/>
  <c r="AC69" i="3"/>
  <c r="X69" i="3"/>
  <c r="Y69" i="3"/>
  <c r="AG69" i="3"/>
  <c r="L70" i="3"/>
  <c r="AF70" i="3"/>
  <c r="AC70" i="3"/>
  <c r="X70" i="3"/>
  <c r="Y70" i="3"/>
  <c r="AG70" i="3"/>
  <c r="L8" i="3"/>
  <c r="AF8" i="3"/>
  <c r="AC8" i="3"/>
  <c r="AG8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L77" i="3"/>
  <c r="AC77" i="3"/>
  <c r="X77" i="3"/>
  <c r="Y77" i="3"/>
  <c r="AG77" i="3"/>
  <c r="AT8" i="3"/>
  <c r="AT9" i="3"/>
  <c r="AT10" i="3"/>
  <c r="AT11" i="3"/>
  <c r="L71" i="3"/>
  <c r="AC71" i="3"/>
  <c r="X71" i="3"/>
  <c r="Y71" i="3"/>
  <c r="AG71" i="3"/>
  <c r="L72" i="3"/>
  <c r="AC72" i="3"/>
  <c r="X72" i="3"/>
  <c r="Y72" i="3"/>
  <c r="AG72" i="3"/>
  <c r="L73" i="3"/>
  <c r="AC73" i="3"/>
  <c r="X73" i="3"/>
  <c r="Y73" i="3"/>
  <c r="AG73" i="3"/>
  <c r="L74" i="3"/>
  <c r="AC74" i="3"/>
  <c r="X74" i="3"/>
  <c r="Y74" i="3"/>
  <c r="AG74" i="3"/>
  <c r="L75" i="3"/>
  <c r="AC75" i="3"/>
  <c r="X75" i="3"/>
  <c r="Y75" i="3"/>
  <c r="AG75" i="3"/>
  <c r="L76" i="3"/>
  <c r="AC76" i="3"/>
  <c r="X76" i="3"/>
  <c r="Y76" i="3"/>
  <c r="AG76" i="3"/>
  <c r="L78" i="3"/>
  <c r="AC78" i="3"/>
  <c r="X78" i="3"/>
  <c r="Y78" i="3"/>
  <c r="AG78" i="3"/>
  <c r="L79" i="3"/>
  <c r="AC79" i="3"/>
  <c r="X79" i="3"/>
  <c r="Y79" i="3"/>
  <c r="AG79" i="3"/>
  <c r="L80" i="3"/>
  <c r="AC80" i="3"/>
  <c r="X80" i="3"/>
  <c r="Y80" i="3"/>
  <c r="AG80" i="3"/>
  <c r="L81" i="3"/>
  <c r="AC81" i="3"/>
  <c r="X81" i="3"/>
  <c r="Y81" i="3"/>
  <c r="AG81" i="3"/>
  <c r="L82" i="3"/>
  <c r="AC82" i="3"/>
  <c r="X82" i="3"/>
  <c r="Y82" i="3"/>
  <c r="AG82" i="3"/>
  <c r="L83" i="3"/>
  <c r="AC83" i="3"/>
  <c r="X83" i="3"/>
  <c r="Y83" i="3"/>
  <c r="AG83" i="3"/>
  <c r="L84" i="3"/>
  <c r="AC84" i="3"/>
  <c r="X84" i="3"/>
  <c r="Y84" i="3"/>
  <c r="AG84" i="3"/>
  <c r="L85" i="3"/>
  <c r="AC85" i="3"/>
  <c r="X85" i="3"/>
  <c r="Y85" i="3"/>
  <c r="AG85" i="3"/>
  <c r="L86" i="3"/>
  <c r="AC86" i="3"/>
  <c r="X86" i="3"/>
  <c r="Y86" i="3"/>
  <c r="AG86" i="3"/>
  <c r="L87" i="3"/>
  <c r="AC87" i="3"/>
  <c r="X87" i="3"/>
  <c r="Y87" i="3"/>
  <c r="AG87" i="3"/>
  <c r="L88" i="3"/>
  <c r="AC88" i="3"/>
  <c r="X88" i="3"/>
  <c r="Y88" i="3"/>
  <c r="AG88" i="3"/>
  <c r="L89" i="3"/>
  <c r="AC89" i="3"/>
  <c r="X89" i="3"/>
  <c r="Y89" i="3"/>
  <c r="AG89" i="3"/>
  <c r="L90" i="3"/>
  <c r="AC90" i="3"/>
  <c r="X90" i="3"/>
  <c r="Y90" i="3"/>
  <c r="AG90" i="3"/>
  <c r="L91" i="3"/>
  <c r="AC91" i="3"/>
  <c r="X91" i="3"/>
  <c r="Y91" i="3"/>
  <c r="AG91" i="3"/>
  <c r="L92" i="3"/>
  <c r="AC92" i="3"/>
  <c r="X92" i="3"/>
  <c r="Y92" i="3"/>
  <c r="AG92" i="3"/>
  <c r="L93" i="3"/>
  <c r="AC93" i="3"/>
  <c r="X93" i="3"/>
  <c r="Y93" i="3"/>
  <c r="AG93" i="3"/>
  <c r="L94" i="3"/>
  <c r="AC94" i="3"/>
  <c r="X94" i="3"/>
  <c r="Y94" i="3"/>
  <c r="AG94" i="3"/>
  <c r="L95" i="3"/>
  <c r="AC95" i="3"/>
  <c r="X95" i="3"/>
  <c r="Y95" i="3"/>
  <c r="AG95" i="3"/>
  <c r="L96" i="3"/>
  <c r="AC96" i="3"/>
  <c r="X96" i="3"/>
  <c r="Y96" i="3"/>
  <c r="AG96" i="3"/>
  <c r="L97" i="3"/>
  <c r="AC97" i="3"/>
  <c r="X97" i="3"/>
  <c r="Y97" i="3"/>
  <c r="AG97" i="3"/>
  <c r="L98" i="3"/>
  <c r="AC98" i="3"/>
  <c r="X98" i="3"/>
  <c r="Y98" i="3"/>
  <c r="AG98" i="3"/>
  <c r="L99" i="3"/>
  <c r="AC99" i="3"/>
  <c r="X99" i="3"/>
  <c r="Y99" i="3"/>
  <c r="AG99" i="3"/>
  <c r="L100" i="3"/>
  <c r="AC100" i="3"/>
  <c r="X100" i="3"/>
  <c r="Y100" i="3"/>
  <c r="AG100" i="3"/>
  <c r="L101" i="3"/>
  <c r="AC101" i="3"/>
  <c r="X101" i="3"/>
  <c r="Y101" i="3"/>
  <c r="AG101" i="3"/>
  <c r="L102" i="3"/>
  <c r="AC102" i="3"/>
  <c r="X102" i="3"/>
  <c r="Y102" i="3"/>
  <c r="AG102" i="3"/>
  <c r="L103" i="3"/>
  <c r="AC103" i="3"/>
  <c r="X103" i="3"/>
  <c r="Y103" i="3"/>
  <c r="AG103" i="3"/>
  <c r="L104" i="3"/>
  <c r="AC104" i="3"/>
  <c r="X104" i="3"/>
  <c r="Y104" i="3"/>
  <c r="AG104" i="3"/>
  <c r="L105" i="3"/>
  <c r="AC105" i="3"/>
  <c r="X105" i="3"/>
  <c r="Y105" i="3"/>
  <c r="AG105" i="3"/>
  <c r="L106" i="3"/>
  <c r="AC106" i="3"/>
  <c r="X106" i="3"/>
  <c r="Y106" i="3"/>
  <c r="AG106" i="3"/>
  <c r="L107" i="3"/>
  <c r="AC107" i="3"/>
  <c r="X107" i="3"/>
  <c r="Y107" i="3"/>
  <c r="AG107" i="3"/>
  <c r="K25" i="4"/>
  <c r="J9" i="4"/>
  <c r="J25" i="4"/>
  <c r="L25" i="4"/>
  <c r="M25" i="4"/>
  <c r="K21" i="4"/>
  <c r="J21" i="4"/>
  <c r="L21" i="4"/>
  <c r="M21" i="4"/>
  <c r="M26" i="4"/>
  <c r="J28" i="4"/>
  <c r="J29" i="4"/>
  <c r="L26" i="4"/>
  <c r="K20" i="4"/>
  <c r="J20" i="4"/>
  <c r="L20" i="4"/>
  <c r="M20" i="4"/>
  <c r="D30" i="4" s="1"/>
  <c r="K27" i="4"/>
  <c r="L27" i="4"/>
  <c r="M27" i="4"/>
  <c r="L28" i="4"/>
  <c r="M28" i="4"/>
  <c r="L29" i="4"/>
  <c r="M29" i="4"/>
  <c r="M22" i="4"/>
  <c r="J23" i="4"/>
  <c r="L23" i="4"/>
  <c r="M23" i="4"/>
  <c r="J24" i="4"/>
  <c r="L24" i="4"/>
  <c r="M24" i="4"/>
  <c r="L22" i="4"/>
  <c r="I28" i="4"/>
  <c r="I25" i="4"/>
  <c r="I24" i="4"/>
  <c r="I21" i="4"/>
  <c r="F20" i="4"/>
  <c r="G20" i="4"/>
  <c r="H20" i="4"/>
  <c r="F21" i="4"/>
  <c r="G21" i="4"/>
  <c r="H21" i="4"/>
  <c r="F22" i="4"/>
  <c r="G22" i="4"/>
  <c r="H22" i="4"/>
  <c r="F23" i="4"/>
  <c r="G23" i="4"/>
  <c r="H23" i="4"/>
  <c r="F24" i="4"/>
  <c r="G24" i="4"/>
  <c r="H24" i="4"/>
  <c r="F25" i="4"/>
  <c r="G25" i="4"/>
  <c r="H25" i="4"/>
  <c r="F26" i="4"/>
  <c r="G26" i="4"/>
  <c r="H26" i="4"/>
  <c r="F27" i="4"/>
  <c r="G27" i="4"/>
  <c r="H27" i="4"/>
  <c r="F28" i="4"/>
  <c r="G28" i="4"/>
  <c r="H28" i="4"/>
  <c r="F29" i="4"/>
  <c r="G29" i="4"/>
  <c r="H29" i="4"/>
  <c r="E21" i="4"/>
  <c r="E22" i="4"/>
  <c r="E23" i="4"/>
  <c r="E24" i="4"/>
  <c r="E25" i="4"/>
  <c r="E26" i="4"/>
  <c r="E27" i="4"/>
  <c r="E28" i="4"/>
  <c r="E29" i="4"/>
  <c r="E20" i="4"/>
  <c r="N31" i="5"/>
  <c r="O31" i="5"/>
  <c r="P31" i="5"/>
  <c r="N32" i="5"/>
  <c r="O32" i="5"/>
  <c r="P32" i="5"/>
  <c r="N33" i="5"/>
  <c r="O33" i="5"/>
  <c r="P33" i="5"/>
  <c r="N34" i="5"/>
  <c r="O34" i="5"/>
  <c r="P34" i="5"/>
  <c r="O30" i="5"/>
  <c r="P30" i="5"/>
  <c r="N30" i="5"/>
  <c r="H31" i="5"/>
  <c r="I31" i="5"/>
  <c r="J31" i="5"/>
  <c r="H32" i="5"/>
  <c r="I32" i="5"/>
  <c r="J32" i="5"/>
  <c r="H33" i="5"/>
  <c r="I33" i="5"/>
  <c r="J33" i="5"/>
  <c r="H34" i="5"/>
  <c r="I34" i="5"/>
  <c r="J34" i="5"/>
  <c r="H30" i="5"/>
  <c r="I30" i="5"/>
  <c r="J30" i="5"/>
  <c r="E21" i="5"/>
  <c r="E22" i="5"/>
  <c r="E23" i="5"/>
  <c r="E24" i="5"/>
  <c r="E25" i="5"/>
  <c r="E20" i="5"/>
  <c r="D21" i="5"/>
  <c r="D22" i="5"/>
  <c r="D23" i="5"/>
  <c r="D24" i="5"/>
  <c r="D25" i="5"/>
  <c r="D20" i="5"/>
  <c r="D14" i="5"/>
  <c r="D15" i="5"/>
  <c r="D16" i="5"/>
  <c r="D17" i="5"/>
  <c r="D18" i="5"/>
  <c r="D13" i="5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3" i="6"/>
  <c r="H4" i="6"/>
  <c r="I4" i="6"/>
  <c r="K4" i="6"/>
  <c r="L4" i="6"/>
  <c r="H5" i="6"/>
  <c r="I5" i="6"/>
  <c r="K5" i="6"/>
  <c r="L5" i="6"/>
  <c r="H6" i="6"/>
  <c r="I6" i="6"/>
  <c r="K6" i="6"/>
  <c r="L6" i="6"/>
  <c r="H7" i="6"/>
  <c r="I7" i="6"/>
  <c r="K7" i="6"/>
  <c r="L7" i="6"/>
  <c r="H8" i="6"/>
  <c r="I8" i="6"/>
  <c r="K8" i="6"/>
  <c r="L8" i="6"/>
  <c r="H9" i="6"/>
  <c r="I9" i="6"/>
  <c r="K9" i="6"/>
  <c r="L9" i="6"/>
  <c r="H10" i="6"/>
  <c r="I10" i="6"/>
  <c r="K10" i="6"/>
  <c r="L10" i="6"/>
  <c r="H11" i="6"/>
  <c r="I11" i="6"/>
  <c r="K11" i="6"/>
  <c r="L11" i="6"/>
  <c r="H12" i="6"/>
  <c r="I12" i="6"/>
  <c r="K12" i="6"/>
  <c r="L12" i="6"/>
  <c r="H13" i="6"/>
  <c r="I13" i="6"/>
  <c r="K13" i="6"/>
  <c r="L13" i="6"/>
  <c r="H14" i="6"/>
  <c r="I14" i="6"/>
  <c r="K14" i="6"/>
  <c r="L14" i="6"/>
  <c r="H15" i="6"/>
  <c r="I15" i="6"/>
  <c r="K15" i="6"/>
  <c r="L15" i="6"/>
  <c r="H16" i="6"/>
  <c r="I16" i="6"/>
  <c r="K16" i="6"/>
  <c r="L16" i="6"/>
  <c r="H17" i="6"/>
  <c r="I17" i="6"/>
  <c r="K17" i="6"/>
  <c r="L17" i="6"/>
  <c r="H18" i="6"/>
  <c r="I18" i="6"/>
  <c r="K18" i="6"/>
  <c r="L18" i="6"/>
  <c r="H19" i="6"/>
  <c r="I19" i="6"/>
  <c r="K19" i="6"/>
  <c r="L19" i="6"/>
  <c r="H20" i="6"/>
  <c r="I20" i="6"/>
  <c r="K20" i="6"/>
  <c r="L20" i="6"/>
  <c r="H21" i="6"/>
  <c r="I21" i="6"/>
  <c r="K21" i="6"/>
  <c r="L21" i="6"/>
  <c r="H22" i="6"/>
  <c r="I22" i="6"/>
  <c r="K22" i="6"/>
  <c r="L22" i="6"/>
  <c r="H23" i="6"/>
  <c r="I23" i="6"/>
  <c r="K23" i="6"/>
  <c r="L23" i="6"/>
  <c r="H24" i="6"/>
  <c r="I24" i="6"/>
  <c r="K24" i="6"/>
  <c r="L24" i="6"/>
  <c r="H25" i="6"/>
  <c r="I25" i="6"/>
  <c r="K25" i="6"/>
  <c r="L25" i="6"/>
  <c r="I3" i="6"/>
  <c r="K3" i="6"/>
  <c r="L3" i="6"/>
  <c r="H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3" i="6"/>
  <c r="E15" i="4"/>
  <c r="F15" i="4"/>
  <c r="G15" i="4"/>
  <c r="H15" i="4"/>
  <c r="E16" i="4"/>
  <c r="F16" i="4"/>
  <c r="G16" i="4"/>
  <c r="H16" i="4"/>
  <c r="E17" i="4"/>
  <c r="F17" i="4"/>
  <c r="G17" i="4"/>
  <c r="H17" i="4"/>
  <c r="E18" i="4"/>
  <c r="F18" i="4"/>
  <c r="G18" i="4"/>
  <c r="H18" i="4"/>
  <c r="E19" i="4"/>
  <c r="F19" i="4"/>
  <c r="G19" i="4"/>
  <c r="H19" i="4"/>
  <c r="D16" i="4"/>
  <c r="D17" i="4"/>
  <c r="D18" i="4"/>
  <c r="D19" i="4"/>
  <c r="D15" i="4"/>
  <c r="E9" i="4"/>
  <c r="E10" i="4"/>
  <c r="F9" i="4"/>
  <c r="F10" i="4"/>
  <c r="G9" i="4"/>
  <c r="G10" i="4"/>
  <c r="H9" i="4"/>
  <c r="H10" i="4"/>
  <c r="E11" i="4"/>
  <c r="F11" i="4"/>
  <c r="G11" i="4"/>
  <c r="H11" i="4"/>
  <c r="E12" i="4"/>
  <c r="F12" i="4"/>
  <c r="G12" i="4"/>
  <c r="H12" i="4"/>
  <c r="E13" i="4"/>
  <c r="F13" i="4"/>
  <c r="G13" i="4"/>
  <c r="H13" i="4"/>
  <c r="E14" i="4"/>
  <c r="F14" i="4"/>
  <c r="G14" i="4"/>
  <c r="H14" i="4"/>
  <c r="D9" i="4"/>
  <c r="D11" i="4"/>
  <c r="D12" i="4"/>
  <c r="D13" i="4"/>
  <c r="D14" i="4"/>
  <c r="D10" i="4"/>
  <c r="J16" i="4"/>
  <c r="J17" i="4"/>
  <c r="J18" i="4"/>
  <c r="J19" i="4"/>
  <c r="J15" i="4"/>
  <c r="I9" i="4"/>
  <c r="I16" i="4"/>
  <c r="I17" i="4"/>
  <c r="I18" i="4"/>
  <c r="I19" i="4"/>
  <c r="I15" i="4"/>
  <c r="L19" i="4"/>
  <c r="L18" i="4"/>
  <c r="L17" i="4"/>
  <c r="L16" i="4"/>
  <c r="L15" i="4"/>
  <c r="L14" i="4"/>
  <c r="L13" i="4"/>
  <c r="L12" i="4"/>
  <c r="L11" i="4"/>
  <c r="L10" i="4"/>
  <c r="L4" i="4"/>
  <c r="L5" i="4"/>
  <c r="L6" i="4"/>
  <c r="L7" i="4"/>
  <c r="L8" i="4"/>
  <c r="L9" i="4"/>
  <c r="B2" i="2"/>
  <c r="G9" i="2"/>
  <c r="G10" i="2"/>
  <c r="G8" i="2"/>
  <c r="F37" i="1"/>
  <c r="K37" i="1" s="1"/>
  <c r="P37" i="1" s="1"/>
  <c r="F44" i="1"/>
  <c r="J44" i="1" s="1"/>
  <c r="O44" i="1" s="1"/>
  <c r="F68" i="1"/>
  <c r="I68" i="1" s="1"/>
  <c r="N68" i="1" s="1"/>
  <c r="F71" i="1"/>
  <c r="F93" i="1"/>
  <c r="H93" i="1" s="1"/>
  <c r="M93" i="1" s="1"/>
  <c r="F105" i="1"/>
  <c r="K105" i="1" s="1"/>
  <c r="P105" i="1" s="1"/>
  <c r="F111" i="1"/>
  <c r="K111" i="1" s="1"/>
  <c r="P111" i="1" s="1"/>
  <c r="F119" i="1"/>
  <c r="K119" i="1" s="1"/>
  <c r="P119" i="1" s="1"/>
  <c r="F127" i="1"/>
  <c r="K127" i="1" s="1"/>
  <c r="P127" i="1" s="1"/>
  <c r="F9" i="2"/>
  <c r="F10" i="2"/>
  <c r="F8" i="2"/>
  <c r="G3" i="2"/>
  <c r="G4" i="2"/>
  <c r="G5" i="2"/>
  <c r="G2" i="2"/>
  <c r="D21" i="2"/>
  <c r="G21" i="2" s="1"/>
  <c r="J21" i="2" s="1"/>
  <c r="D22" i="2"/>
  <c r="D23" i="2"/>
  <c r="F23" i="2" s="1"/>
  <c r="I23" i="2" s="1"/>
  <c r="D24" i="2"/>
  <c r="D25" i="2"/>
  <c r="G25" i="2" s="1"/>
  <c r="J25" i="2" s="1"/>
  <c r="D26" i="2"/>
  <c r="D27" i="2"/>
  <c r="F27" i="2" s="1"/>
  <c r="I27" i="2" s="1"/>
  <c r="D28" i="2"/>
  <c r="D29" i="2"/>
  <c r="G29" i="2" s="1"/>
  <c r="J29" i="2" s="1"/>
  <c r="D30" i="2"/>
  <c r="D31" i="2"/>
  <c r="F31" i="2" s="1"/>
  <c r="I31" i="2" s="1"/>
  <c r="D32" i="2"/>
  <c r="D33" i="2"/>
  <c r="G33" i="2" s="1"/>
  <c r="J33" i="2" s="1"/>
  <c r="D34" i="2"/>
  <c r="D35" i="2"/>
  <c r="F35" i="2" s="1"/>
  <c r="I35" i="2" s="1"/>
  <c r="D36" i="2"/>
  <c r="D37" i="2"/>
  <c r="G37" i="2" s="1"/>
  <c r="J37" i="2" s="1"/>
  <c r="D38" i="2"/>
  <c r="D39" i="2"/>
  <c r="F39" i="2" s="1"/>
  <c r="I39" i="2" s="1"/>
  <c r="D40" i="2"/>
  <c r="D41" i="2"/>
  <c r="G41" i="2" s="1"/>
  <c r="J41" i="2" s="1"/>
  <c r="D42" i="2"/>
  <c r="D43" i="2"/>
  <c r="F43" i="2" s="1"/>
  <c r="I43" i="2" s="1"/>
  <c r="D44" i="2"/>
  <c r="D45" i="2"/>
  <c r="G45" i="2" s="1"/>
  <c r="J45" i="2" s="1"/>
  <c r="D46" i="2"/>
  <c r="D47" i="2"/>
  <c r="G47" i="2" s="1"/>
  <c r="J47" i="2" s="1"/>
  <c r="D48" i="2"/>
  <c r="D49" i="2"/>
  <c r="G49" i="2" s="1"/>
  <c r="J49" i="2" s="1"/>
  <c r="D50" i="2"/>
  <c r="D51" i="2"/>
  <c r="F51" i="2" s="1"/>
  <c r="I51" i="2" s="1"/>
  <c r="D52" i="2"/>
  <c r="D53" i="2"/>
  <c r="D54" i="2"/>
  <c r="D55" i="2"/>
  <c r="F55" i="2" s="1"/>
  <c r="I55" i="2" s="1"/>
  <c r="D56" i="2"/>
  <c r="D57" i="2"/>
  <c r="G57" i="2" s="1"/>
  <c r="J57" i="2" s="1"/>
  <c r="D58" i="2"/>
  <c r="D59" i="2"/>
  <c r="F59" i="2" s="1"/>
  <c r="I59" i="2" s="1"/>
  <c r="D60" i="2"/>
  <c r="D61" i="2"/>
  <c r="D62" i="2"/>
  <c r="D63" i="2"/>
  <c r="E63" i="2" s="1"/>
  <c r="H63" i="2" s="1"/>
  <c r="D64" i="2"/>
  <c r="D65" i="2"/>
  <c r="G65" i="2" s="1"/>
  <c r="J65" i="2" s="1"/>
  <c r="D66" i="2"/>
  <c r="D67" i="2"/>
  <c r="F67" i="2" s="1"/>
  <c r="I67" i="2" s="1"/>
  <c r="D68" i="2"/>
  <c r="D69" i="2"/>
  <c r="D70" i="2"/>
  <c r="D71" i="2"/>
  <c r="F71" i="2" s="1"/>
  <c r="I71" i="2" s="1"/>
  <c r="D72" i="2"/>
  <c r="D73" i="2"/>
  <c r="G73" i="2" s="1"/>
  <c r="J73" i="2" s="1"/>
  <c r="D74" i="2"/>
  <c r="D75" i="2"/>
  <c r="F75" i="2" s="1"/>
  <c r="I75" i="2" s="1"/>
  <c r="D76" i="2"/>
  <c r="D77" i="2"/>
  <c r="D78" i="2"/>
  <c r="D79" i="2"/>
  <c r="E79" i="2" s="1"/>
  <c r="H79" i="2" s="1"/>
  <c r="D80" i="2"/>
  <c r="D81" i="2"/>
  <c r="G81" i="2" s="1"/>
  <c r="J81" i="2" s="1"/>
  <c r="D82" i="2"/>
  <c r="D83" i="2"/>
  <c r="D84" i="2"/>
  <c r="D85" i="2"/>
  <c r="G85" i="2" s="1"/>
  <c r="J85" i="2" s="1"/>
  <c r="D86" i="2"/>
  <c r="D87" i="2"/>
  <c r="F87" i="2" s="1"/>
  <c r="I87" i="2" s="1"/>
  <c r="D88" i="2"/>
  <c r="D89" i="2"/>
  <c r="G89" i="2" s="1"/>
  <c r="J89" i="2" s="1"/>
  <c r="D90" i="2"/>
  <c r="D91" i="2"/>
  <c r="E91" i="2" s="1"/>
  <c r="H91" i="2" s="1"/>
  <c r="D92" i="2"/>
  <c r="D93" i="2"/>
  <c r="G93" i="2" s="1"/>
  <c r="J93" i="2" s="1"/>
  <c r="D94" i="2"/>
  <c r="D95" i="2"/>
  <c r="G95" i="2" s="1"/>
  <c r="J95" i="2" s="1"/>
  <c r="D96" i="2"/>
  <c r="D97" i="2"/>
  <c r="G97" i="2" s="1"/>
  <c r="J97" i="2" s="1"/>
  <c r="D98" i="2"/>
  <c r="D99" i="2"/>
  <c r="E99" i="2" s="1"/>
  <c r="H99" i="2" s="1"/>
  <c r="D100" i="2"/>
  <c r="D101" i="2"/>
  <c r="G101" i="2" s="1"/>
  <c r="J101" i="2" s="1"/>
  <c r="D102" i="2"/>
  <c r="D103" i="2"/>
  <c r="F103" i="2" s="1"/>
  <c r="I103" i="2" s="1"/>
  <c r="D104" i="2"/>
  <c r="D105" i="2"/>
  <c r="G105" i="2" s="1"/>
  <c r="J105" i="2" s="1"/>
  <c r="D106" i="2"/>
  <c r="D107" i="2"/>
  <c r="E107" i="2" s="1"/>
  <c r="H107" i="2" s="1"/>
  <c r="D108" i="2"/>
  <c r="D109" i="2"/>
  <c r="D110" i="2"/>
  <c r="D111" i="2"/>
  <c r="E111" i="2" s="1"/>
  <c r="H111" i="2" s="1"/>
  <c r="G111" i="2"/>
  <c r="J111" i="2" s="1"/>
  <c r="D112" i="2"/>
  <c r="D113" i="2"/>
  <c r="G113" i="2" s="1"/>
  <c r="J113" i="2" s="1"/>
  <c r="F113" i="2"/>
  <c r="I113" i="2" s="1"/>
  <c r="D114" i="2"/>
  <c r="D115" i="2"/>
  <c r="D116" i="2"/>
  <c r="D117" i="2"/>
  <c r="G117" i="2" s="1"/>
  <c r="J117" i="2" s="1"/>
  <c r="D118" i="2"/>
  <c r="D119" i="2"/>
  <c r="F119" i="2" s="1"/>
  <c r="I119" i="2" s="1"/>
  <c r="D20" i="2"/>
  <c r="G51" i="1" l="1"/>
  <c r="L51" i="1" s="1"/>
  <c r="K66" i="1"/>
  <c r="P66" i="1" s="1"/>
  <c r="E23" i="2"/>
  <c r="H23" i="2" s="1"/>
  <c r="G50" i="8"/>
  <c r="H42" i="8"/>
  <c r="F76" i="8"/>
  <c r="I102" i="8"/>
  <c r="F94" i="8"/>
  <c r="F102" i="8"/>
  <c r="E119" i="2"/>
  <c r="H119" i="2" s="1"/>
  <c r="E113" i="2"/>
  <c r="H113" i="2" s="1"/>
  <c r="F111" i="2"/>
  <c r="I111" i="2" s="1"/>
  <c r="F103" i="1"/>
  <c r="I103" i="1" s="1"/>
  <c r="N103" i="1" s="1"/>
  <c r="J94" i="8"/>
  <c r="J82" i="8"/>
  <c r="K88" i="1"/>
  <c r="P88" i="1" s="1"/>
  <c r="E95" i="2"/>
  <c r="H95" i="2" s="1"/>
  <c r="E39" i="2"/>
  <c r="H39" i="2" s="1"/>
  <c r="E47" i="2"/>
  <c r="H47" i="2" s="1"/>
  <c r="F33" i="2"/>
  <c r="I33" i="2" s="1"/>
  <c r="F81" i="2"/>
  <c r="I81" i="2" s="1"/>
  <c r="G79" i="2"/>
  <c r="J79" i="2" s="1"/>
  <c r="G63" i="2"/>
  <c r="J63" i="2" s="1"/>
  <c r="I8" i="8"/>
  <c r="W31" i="8"/>
  <c r="E87" i="2"/>
  <c r="H87" i="2" s="1"/>
  <c r="E81" i="2"/>
  <c r="H81" i="2" s="1"/>
  <c r="F79" i="2"/>
  <c r="I79" i="2" s="1"/>
  <c r="E65" i="2"/>
  <c r="H65" i="2" s="1"/>
  <c r="F63" i="2"/>
  <c r="I63" i="2" s="1"/>
  <c r="E35" i="2"/>
  <c r="H35" i="2" s="1"/>
  <c r="E33" i="2"/>
  <c r="H33" i="2" s="1"/>
  <c r="H44" i="1"/>
  <c r="M44" i="1" s="1"/>
  <c r="E67" i="2"/>
  <c r="H67" i="2" s="1"/>
  <c r="F69" i="1"/>
  <c r="H69" i="1" s="1"/>
  <c r="M69" i="1" s="1"/>
  <c r="J57" i="1"/>
  <c r="O57" i="1" s="1"/>
  <c r="H57" i="1"/>
  <c r="M57" i="1" s="1"/>
  <c r="G57" i="1"/>
  <c r="L57" i="1" s="1"/>
  <c r="K57" i="1"/>
  <c r="P57" i="1" s="1"/>
  <c r="I57" i="1"/>
  <c r="N57" i="1" s="1"/>
  <c r="H41" i="1"/>
  <c r="M41" i="1" s="1"/>
  <c r="K41" i="1"/>
  <c r="P41" i="1" s="1"/>
  <c r="I48" i="1"/>
  <c r="N48" i="1" s="1"/>
  <c r="J48" i="1"/>
  <c r="O48" i="1" s="1"/>
  <c r="H49" i="1"/>
  <c r="M49" i="1" s="1"/>
  <c r="K49" i="1"/>
  <c r="P49" i="1" s="1"/>
  <c r="J98" i="8"/>
  <c r="F92" i="8"/>
  <c r="F65" i="8"/>
  <c r="H41" i="8"/>
  <c r="W38" i="8"/>
  <c r="H69" i="8"/>
  <c r="J97" i="8"/>
  <c r="F89" i="8"/>
  <c r="H85" i="8"/>
  <c r="J73" i="8"/>
  <c r="G68" i="1"/>
  <c r="L68" i="1" s="1"/>
  <c r="H68" i="1"/>
  <c r="M68" i="1" s="1"/>
  <c r="E103" i="2"/>
  <c r="H103" i="2" s="1"/>
  <c r="E97" i="2"/>
  <c r="H97" i="2" s="1"/>
  <c r="F95" i="2"/>
  <c r="I95" i="2" s="1"/>
  <c r="E71" i="2"/>
  <c r="H71" i="2" s="1"/>
  <c r="F65" i="2"/>
  <c r="I65" i="2" s="1"/>
  <c r="E51" i="2"/>
  <c r="H51" i="2" s="1"/>
  <c r="E49" i="2"/>
  <c r="H49" i="2" s="1"/>
  <c r="F47" i="2"/>
  <c r="I47" i="2" s="1"/>
  <c r="E31" i="2"/>
  <c r="H31" i="2" s="1"/>
  <c r="F129" i="1"/>
  <c r="G129" i="1" s="1"/>
  <c r="L129" i="1" s="1"/>
  <c r="J102" i="8"/>
  <c r="F96" i="8"/>
  <c r="J86" i="8"/>
  <c r="J70" i="8"/>
  <c r="F55" i="8"/>
  <c r="E43" i="8"/>
  <c r="J30" i="8"/>
  <c r="J14" i="8"/>
  <c r="I5" i="8"/>
  <c r="W21" i="8"/>
  <c r="H49" i="8"/>
  <c r="E55" i="8"/>
  <c r="I59" i="8"/>
  <c r="I65" i="8"/>
  <c r="I71" i="8"/>
  <c r="I72" i="8"/>
  <c r="I60" i="8"/>
  <c r="E37" i="8"/>
  <c r="G31" i="2"/>
  <c r="J31" i="2" s="1"/>
  <c r="H81" i="8"/>
  <c r="H48" i="8"/>
  <c r="J22" i="8"/>
  <c r="G22" i="8"/>
  <c r="U22" i="8" s="1"/>
  <c r="I26" i="8"/>
  <c r="F45" i="8"/>
  <c r="H63" i="8"/>
  <c r="H101" i="8"/>
  <c r="I4" i="8"/>
  <c r="F97" i="2"/>
  <c r="I97" i="2" s="1"/>
  <c r="E55" i="2"/>
  <c r="H55" i="2" s="1"/>
  <c r="F49" i="2"/>
  <c r="I49" i="2" s="1"/>
  <c r="J3" i="8"/>
  <c r="G96" i="8"/>
  <c r="F90" i="8"/>
  <c r="H73" i="8"/>
  <c r="J58" i="8"/>
  <c r="F43" i="8"/>
  <c r="J31" i="8"/>
  <c r="H21" i="8"/>
  <c r="H6" i="8"/>
  <c r="I10" i="8"/>
  <c r="E16" i="8"/>
  <c r="T16" i="8" s="1"/>
  <c r="AA16" i="8" s="1"/>
  <c r="J28" i="8"/>
  <c r="J34" i="8"/>
  <c r="F44" i="8"/>
  <c r="H50" i="8"/>
  <c r="F56" i="8"/>
  <c r="F57" i="8"/>
  <c r="D67" i="8"/>
  <c r="E68" i="8"/>
  <c r="H77" i="8"/>
  <c r="G78" i="8"/>
  <c r="F100" i="8"/>
  <c r="I96" i="8"/>
  <c r="J92" i="8"/>
  <c r="H88" i="8"/>
  <c r="F84" i="8"/>
  <c r="G54" i="1"/>
  <c r="L54" i="1" s="1"/>
  <c r="K54" i="1"/>
  <c r="P54" i="1" s="1"/>
  <c r="F116" i="1"/>
  <c r="I116" i="1" s="1"/>
  <c r="N116" i="1" s="1"/>
  <c r="F90" i="1"/>
  <c r="G90" i="1" s="1"/>
  <c r="L90" i="1" s="1"/>
  <c r="E85" i="8"/>
  <c r="I44" i="1"/>
  <c r="N44" i="1" s="1"/>
  <c r="H66" i="1"/>
  <c r="M66" i="1" s="1"/>
  <c r="G119" i="2"/>
  <c r="J119" i="2" s="1"/>
  <c r="F105" i="2"/>
  <c r="I105" i="2" s="1"/>
  <c r="G103" i="2"/>
  <c r="J103" i="2" s="1"/>
  <c r="F89" i="2"/>
  <c r="I89" i="2" s="1"/>
  <c r="G87" i="2"/>
  <c r="J87" i="2" s="1"/>
  <c r="F73" i="2"/>
  <c r="I73" i="2" s="1"/>
  <c r="G71" i="2"/>
  <c r="J71" i="2" s="1"/>
  <c r="F57" i="2"/>
  <c r="I57" i="2" s="1"/>
  <c r="G55" i="2"/>
  <c r="J55" i="2" s="1"/>
  <c r="F41" i="2"/>
  <c r="I41" i="2" s="1"/>
  <c r="G39" i="2"/>
  <c r="J39" i="2" s="1"/>
  <c r="F25" i="2"/>
  <c r="I25" i="2" s="1"/>
  <c r="G23" i="2"/>
  <c r="J23" i="2" s="1"/>
  <c r="F124" i="1"/>
  <c r="G124" i="1" s="1"/>
  <c r="L124" i="1" s="1"/>
  <c r="F115" i="1"/>
  <c r="H115" i="1" s="1"/>
  <c r="M115" i="1" s="1"/>
  <c r="F83" i="1"/>
  <c r="H89" i="8"/>
  <c r="J84" i="8"/>
  <c r="F78" i="8"/>
  <c r="J68" i="8"/>
  <c r="H46" i="1"/>
  <c r="M46" i="1" s="1"/>
  <c r="K68" i="1"/>
  <c r="P68" i="1" s="1"/>
  <c r="H114" i="1"/>
  <c r="M114" i="1" s="1"/>
  <c r="E105" i="2"/>
  <c r="H105" i="2" s="1"/>
  <c r="E89" i="2"/>
  <c r="H89" i="2" s="1"/>
  <c r="E75" i="2"/>
  <c r="H75" i="2" s="1"/>
  <c r="E73" i="2"/>
  <c r="H73" i="2" s="1"/>
  <c r="E59" i="2"/>
  <c r="H59" i="2" s="1"/>
  <c r="E57" i="2"/>
  <c r="H57" i="2" s="1"/>
  <c r="E43" i="2"/>
  <c r="H43" i="2" s="1"/>
  <c r="E41" i="2"/>
  <c r="H41" i="2" s="1"/>
  <c r="E27" i="2"/>
  <c r="H27" i="2" s="1"/>
  <c r="E25" i="2"/>
  <c r="H25" i="2" s="1"/>
  <c r="F21" i="2"/>
  <c r="I21" i="2" s="1"/>
  <c r="F123" i="1"/>
  <c r="G123" i="1" s="1"/>
  <c r="L123" i="1" s="1"/>
  <c r="F112" i="1"/>
  <c r="K112" i="1" s="1"/>
  <c r="P112" i="1" s="1"/>
  <c r="F95" i="1"/>
  <c r="G95" i="1" s="1"/>
  <c r="L95" i="1" s="1"/>
  <c r="F77" i="1"/>
  <c r="I77" i="1" s="1"/>
  <c r="N77" i="1" s="1"/>
  <c r="F64" i="1"/>
  <c r="H64" i="1" s="1"/>
  <c r="M64" i="1" s="1"/>
  <c r="I87" i="8"/>
  <c r="H83" i="8"/>
  <c r="G68" i="8"/>
  <c r="J57" i="8"/>
  <c r="F115" i="2"/>
  <c r="I115" i="2" s="1"/>
  <c r="G115" i="2"/>
  <c r="J115" i="2" s="1"/>
  <c r="E109" i="2"/>
  <c r="H109" i="2" s="1"/>
  <c r="F109" i="2"/>
  <c r="I109" i="2" s="1"/>
  <c r="F83" i="2"/>
  <c r="I83" i="2" s="1"/>
  <c r="G83" i="2"/>
  <c r="J83" i="2" s="1"/>
  <c r="E117" i="2"/>
  <c r="H117" i="2" s="1"/>
  <c r="F117" i="2"/>
  <c r="I117" i="2" s="1"/>
  <c r="F91" i="2"/>
  <c r="I91" i="2" s="1"/>
  <c r="G91" i="2"/>
  <c r="J91" i="2" s="1"/>
  <c r="E85" i="2"/>
  <c r="H85" i="2" s="1"/>
  <c r="F85" i="2"/>
  <c r="I85" i="2" s="1"/>
  <c r="E69" i="2"/>
  <c r="H69" i="2" s="1"/>
  <c r="F69" i="2"/>
  <c r="I69" i="2" s="1"/>
  <c r="G69" i="2"/>
  <c r="J69" i="2" s="1"/>
  <c r="G53" i="2"/>
  <c r="J53" i="2" s="1"/>
  <c r="E53" i="2"/>
  <c r="H53" i="2" s="1"/>
  <c r="F53" i="2"/>
  <c r="I53" i="2" s="1"/>
  <c r="F99" i="2"/>
  <c r="I99" i="2" s="1"/>
  <c r="G99" i="2"/>
  <c r="J99" i="2" s="1"/>
  <c r="E93" i="2"/>
  <c r="H93" i="2" s="1"/>
  <c r="F93" i="2"/>
  <c r="I93" i="2" s="1"/>
  <c r="E115" i="2"/>
  <c r="H115" i="2" s="1"/>
  <c r="G109" i="2"/>
  <c r="J109" i="2" s="1"/>
  <c r="F107" i="2"/>
  <c r="I107" i="2" s="1"/>
  <c r="G107" i="2"/>
  <c r="J107" i="2" s="1"/>
  <c r="E101" i="2"/>
  <c r="H101" i="2" s="1"/>
  <c r="F101" i="2"/>
  <c r="I101" i="2" s="1"/>
  <c r="E83" i="2"/>
  <c r="H83" i="2" s="1"/>
  <c r="E77" i="2"/>
  <c r="H77" i="2" s="1"/>
  <c r="F77" i="2"/>
  <c r="I77" i="2" s="1"/>
  <c r="G77" i="2"/>
  <c r="J77" i="2" s="1"/>
  <c r="G61" i="2"/>
  <c r="J61" i="2" s="1"/>
  <c r="E61" i="2"/>
  <c r="H61" i="2" s="1"/>
  <c r="F61" i="2"/>
  <c r="I61" i="2" s="1"/>
  <c r="H100" i="8"/>
  <c r="F97" i="8"/>
  <c r="J88" i="8"/>
  <c r="J85" i="8"/>
  <c r="I78" i="8"/>
  <c r="H75" i="8"/>
  <c r="I69" i="8"/>
  <c r="J63" i="8"/>
  <c r="I50" i="8"/>
  <c r="I45" i="8"/>
  <c r="E38" i="8"/>
  <c r="G75" i="2"/>
  <c r="J75" i="2" s="1"/>
  <c r="G67" i="2"/>
  <c r="J67" i="2" s="1"/>
  <c r="G59" i="2"/>
  <c r="J59" i="2" s="1"/>
  <c r="G51" i="2"/>
  <c r="J51" i="2" s="1"/>
  <c r="F45" i="2"/>
  <c r="I45" i="2" s="1"/>
  <c r="G43" i="2"/>
  <c r="J43" i="2" s="1"/>
  <c r="F37" i="2"/>
  <c r="I37" i="2" s="1"/>
  <c r="G35" i="2"/>
  <c r="J35" i="2" s="1"/>
  <c r="F29" i="2"/>
  <c r="I29" i="2" s="1"/>
  <c r="G27" i="2"/>
  <c r="J27" i="2" s="1"/>
  <c r="E45" i="2"/>
  <c r="H45" i="2" s="1"/>
  <c r="E37" i="2"/>
  <c r="H37" i="2" s="1"/>
  <c r="E29" i="2"/>
  <c r="H29" i="2" s="1"/>
  <c r="E21" i="2"/>
  <c r="H21" i="2" s="1"/>
  <c r="E4" i="8"/>
  <c r="H93" i="8"/>
  <c r="I89" i="8"/>
  <c r="F15" i="8"/>
  <c r="Y39" i="8"/>
  <c r="Z14" i="8"/>
  <c r="D20" i="8"/>
  <c r="G51" i="8"/>
  <c r="F39" i="8"/>
  <c r="E6" i="8"/>
  <c r="E102" i="8"/>
  <c r="E100" i="8"/>
  <c r="E97" i="8"/>
  <c r="D72" i="8"/>
  <c r="D52" i="8"/>
  <c r="E26" i="8"/>
  <c r="E28" i="8"/>
  <c r="E5" i="8"/>
  <c r="E84" i="8"/>
  <c r="E66" i="8"/>
  <c r="E61" i="8"/>
  <c r="E57" i="8"/>
  <c r="E24" i="8"/>
  <c r="E12" i="8"/>
  <c r="U12" i="8" s="1"/>
  <c r="D75" i="8"/>
  <c r="D34" i="8"/>
  <c r="M5" i="1"/>
  <c r="J38" i="1"/>
  <c r="O38" i="1" s="1"/>
  <c r="G37" i="1"/>
  <c r="L37" i="1" s="1"/>
  <c r="I93" i="1"/>
  <c r="N93" i="1" s="1"/>
  <c r="J93" i="1"/>
  <c r="O93" i="1" s="1"/>
  <c r="G113" i="1"/>
  <c r="L113" i="1" s="1"/>
  <c r="G48" i="1"/>
  <c r="L48" i="1" s="1"/>
  <c r="K48" i="1"/>
  <c r="P48" i="1" s="1"/>
  <c r="H51" i="1"/>
  <c r="M51" i="1" s="1"/>
  <c r="H48" i="1"/>
  <c r="M48" i="1" s="1"/>
  <c r="J51" i="1"/>
  <c r="O51" i="1" s="1"/>
  <c r="G93" i="1"/>
  <c r="L93" i="1" s="1"/>
  <c r="K93" i="1"/>
  <c r="P93" i="1" s="1"/>
  <c r="K126" i="1"/>
  <c r="P126" i="1" s="1"/>
  <c r="G38" i="1"/>
  <c r="L38" i="1" s="1"/>
  <c r="K44" i="1"/>
  <c r="P44" i="1" s="1"/>
  <c r="K65" i="1"/>
  <c r="P65" i="1" s="1"/>
  <c r="G73" i="1"/>
  <c r="L73" i="1" s="1"/>
  <c r="G88" i="1"/>
  <c r="L88" i="1" s="1"/>
  <c r="C91" i="8"/>
  <c r="C54" i="8"/>
  <c r="C93" i="8"/>
  <c r="C86" i="8"/>
  <c r="C60" i="8"/>
  <c r="C49" i="3"/>
  <c r="C99" i="8"/>
  <c r="C35" i="8"/>
  <c r="C94" i="8"/>
  <c r="C47" i="8"/>
  <c r="C44" i="8"/>
  <c r="H35" i="1"/>
  <c r="M35" i="1" s="1"/>
  <c r="J35" i="1"/>
  <c r="O35" i="1" s="1"/>
  <c r="I35" i="1"/>
  <c r="N35" i="1" s="1"/>
  <c r="AA10" i="3"/>
  <c r="AB25" i="3"/>
  <c r="AA74" i="3"/>
  <c r="AB68" i="3"/>
  <c r="AA96" i="3"/>
  <c r="AB89" i="3"/>
  <c r="AA53" i="3"/>
  <c r="I75" i="1"/>
  <c r="N75" i="1" s="1"/>
  <c r="H75" i="1"/>
  <c r="M75" i="1" s="1"/>
  <c r="K75" i="1"/>
  <c r="P75" i="1" s="1"/>
  <c r="G75" i="1"/>
  <c r="L75" i="1" s="1"/>
  <c r="J85" i="1"/>
  <c r="O85" i="1" s="1"/>
  <c r="G85" i="1"/>
  <c r="L85" i="1" s="1"/>
  <c r="K85" i="1"/>
  <c r="P85" i="1" s="1"/>
  <c r="I85" i="1"/>
  <c r="N85" i="1" s="1"/>
  <c r="J91" i="1"/>
  <c r="O91" i="1" s="1"/>
  <c r="H91" i="1"/>
  <c r="M91" i="1" s="1"/>
  <c r="I125" i="1"/>
  <c r="N125" i="1" s="1"/>
  <c r="K125" i="1"/>
  <c r="P125" i="1" s="1"/>
  <c r="H125" i="1"/>
  <c r="M125" i="1" s="1"/>
  <c r="I39" i="1"/>
  <c r="N39" i="1" s="1"/>
  <c r="K39" i="1"/>
  <c r="P39" i="1" s="1"/>
  <c r="G39" i="1"/>
  <c r="L39" i="1" s="1"/>
  <c r="G36" i="1"/>
  <c r="L36" i="1" s="1"/>
  <c r="I36" i="1"/>
  <c r="N36" i="1" s="1"/>
  <c r="K36" i="1"/>
  <c r="P36" i="1" s="1"/>
  <c r="H36" i="1"/>
  <c r="M36" i="1" s="1"/>
  <c r="I120" i="1"/>
  <c r="N120" i="1" s="1"/>
  <c r="K120" i="1"/>
  <c r="P120" i="1" s="1"/>
  <c r="J120" i="1"/>
  <c r="O120" i="1" s="1"/>
  <c r="H120" i="1"/>
  <c r="M120" i="1" s="1"/>
  <c r="J36" i="1"/>
  <c r="O36" i="1" s="1"/>
  <c r="J74" i="1"/>
  <c r="O74" i="1" s="1"/>
  <c r="J71" i="1"/>
  <c r="O71" i="1" s="1"/>
  <c r="G71" i="1"/>
  <c r="L71" i="1" s="1"/>
  <c r="K53" i="1"/>
  <c r="P53" i="1" s="1"/>
  <c r="J53" i="1"/>
  <c r="O53" i="1" s="1"/>
  <c r="I53" i="1"/>
  <c r="N53" i="1" s="1"/>
  <c r="H53" i="1"/>
  <c r="M53" i="1" s="1"/>
  <c r="G53" i="1"/>
  <c r="L53" i="1" s="1"/>
  <c r="K45" i="1"/>
  <c r="P45" i="1" s="1"/>
  <c r="J45" i="1"/>
  <c r="O45" i="1" s="1"/>
  <c r="G45" i="1"/>
  <c r="L45" i="1" s="1"/>
  <c r="H59" i="1"/>
  <c r="M59" i="1" s="1"/>
  <c r="I59" i="1"/>
  <c r="N59" i="1" s="1"/>
  <c r="K59" i="1"/>
  <c r="P59" i="1" s="1"/>
  <c r="G59" i="1"/>
  <c r="L59" i="1" s="1"/>
  <c r="J75" i="1"/>
  <c r="O75" i="1" s="1"/>
  <c r="G120" i="1"/>
  <c r="L120" i="1" s="1"/>
  <c r="G105" i="1"/>
  <c r="L105" i="1" s="1"/>
  <c r="I105" i="1"/>
  <c r="N105" i="1" s="1"/>
  <c r="J58" i="1"/>
  <c r="O58" i="1" s="1"/>
  <c r="I58" i="1"/>
  <c r="N58" i="1" s="1"/>
  <c r="H58" i="1"/>
  <c r="M58" i="1" s="1"/>
  <c r="G58" i="1"/>
  <c r="L58" i="1" s="1"/>
  <c r="H108" i="1"/>
  <c r="M108" i="1" s="1"/>
  <c r="J108" i="1"/>
  <c r="O108" i="1" s="1"/>
  <c r="I108" i="1"/>
  <c r="N108" i="1" s="1"/>
  <c r="G108" i="1"/>
  <c r="L108" i="1" s="1"/>
  <c r="K110" i="1"/>
  <c r="P110" i="1" s="1"/>
  <c r="J110" i="1"/>
  <c r="O110" i="1" s="1"/>
  <c r="I35" i="8"/>
  <c r="T35" i="8" s="1"/>
  <c r="AA35" i="8" s="1"/>
  <c r="F62" i="1"/>
  <c r="I73" i="1"/>
  <c r="N73" i="1" s="1"/>
  <c r="I109" i="1"/>
  <c r="N109" i="1" s="1"/>
  <c r="F87" i="1"/>
  <c r="G87" i="1" s="1"/>
  <c r="L87" i="1" s="1"/>
  <c r="F82" i="1"/>
  <c r="K82" i="1" s="1"/>
  <c r="P82" i="1" s="1"/>
  <c r="F76" i="1"/>
  <c r="I63" i="1"/>
  <c r="N63" i="1" s="1"/>
  <c r="H63" i="1"/>
  <c r="M63" i="1" s="1"/>
  <c r="M24" i="1"/>
  <c r="C101" i="8"/>
  <c r="I99" i="8"/>
  <c r="H95" i="8"/>
  <c r="I94" i="8"/>
  <c r="I93" i="8"/>
  <c r="C92" i="8"/>
  <c r="F87" i="8"/>
  <c r="I86" i="8"/>
  <c r="F83" i="8"/>
  <c r="F82" i="8"/>
  <c r="F81" i="8"/>
  <c r="I79" i="8"/>
  <c r="I77" i="8"/>
  <c r="I76" i="8"/>
  <c r="I75" i="8"/>
  <c r="C75" i="8"/>
  <c r="C66" i="8"/>
  <c r="D65" i="8"/>
  <c r="I63" i="8"/>
  <c r="J60" i="8"/>
  <c r="I58" i="8"/>
  <c r="C56" i="8"/>
  <c r="C48" i="8"/>
  <c r="I41" i="8"/>
  <c r="C23" i="8"/>
  <c r="I20" i="8"/>
  <c r="I17" i="8"/>
  <c r="C10" i="8"/>
  <c r="C5" i="8"/>
  <c r="T5" i="8" s="1"/>
  <c r="I34" i="8"/>
  <c r="T34" i="8" s="1"/>
  <c r="AA34" i="8" s="1"/>
  <c r="J25" i="1"/>
  <c r="E69" i="3" s="1"/>
  <c r="C69" i="3"/>
  <c r="M25" i="1"/>
  <c r="J22" i="1"/>
  <c r="E66" i="3" s="1"/>
  <c r="C66" i="3"/>
  <c r="H38" i="1"/>
  <c r="M38" i="1" s="1"/>
  <c r="K38" i="1"/>
  <c r="P38" i="1" s="1"/>
  <c r="G44" i="1"/>
  <c r="L44" i="1" s="1"/>
  <c r="I50" i="1"/>
  <c r="N50" i="1" s="1"/>
  <c r="K63" i="1"/>
  <c r="P63" i="1" s="1"/>
  <c r="J73" i="1"/>
  <c r="O73" i="1" s="1"/>
  <c r="H88" i="1"/>
  <c r="M88" i="1" s="1"/>
  <c r="K109" i="1"/>
  <c r="P109" i="1" s="1"/>
  <c r="I113" i="1"/>
  <c r="N113" i="1" s="1"/>
  <c r="H118" i="1"/>
  <c r="M118" i="1" s="1"/>
  <c r="G122" i="1"/>
  <c r="L122" i="1" s="1"/>
  <c r="F121" i="1"/>
  <c r="H121" i="1" s="1"/>
  <c r="M121" i="1" s="1"/>
  <c r="F99" i="1"/>
  <c r="K99" i="1" s="1"/>
  <c r="P99" i="1" s="1"/>
  <c r="F92" i="1"/>
  <c r="F86" i="1"/>
  <c r="G86" i="1" s="1"/>
  <c r="L86" i="1" s="1"/>
  <c r="F81" i="1"/>
  <c r="I81" i="1" s="1"/>
  <c r="N81" i="1" s="1"/>
  <c r="F61" i="1"/>
  <c r="G61" i="1" s="1"/>
  <c r="L61" i="1" s="1"/>
  <c r="F55" i="1"/>
  <c r="J55" i="1" s="1"/>
  <c r="O55" i="1" s="1"/>
  <c r="F43" i="1"/>
  <c r="M14" i="1"/>
  <c r="I3" i="8"/>
  <c r="G99" i="8"/>
  <c r="H98" i="8"/>
  <c r="I97" i="8"/>
  <c r="C97" i="8"/>
  <c r="F95" i="8"/>
  <c r="H91" i="8"/>
  <c r="C90" i="8"/>
  <c r="C88" i="8"/>
  <c r="E87" i="8"/>
  <c r="H86" i="8"/>
  <c r="C84" i="8"/>
  <c r="C83" i="8"/>
  <c r="E82" i="8"/>
  <c r="E81" i="8"/>
  <c r="H70" i="8"/>
  <c r="C69" i="8"/>
  <c r="I66" i="8"/>
  <c r="J64" i="8"/>
  <c r="I61" i="8"/>
  <c r="E58" i="8"/>
  <c r="C49" i="8"/>
  <c r="J47" i="8"/>
  <c r="I46" i="8"/>
  <c r="I38" i="8"/>
  <c r="J35" i="8"/>
  <c r="I30" i="8"/>
  <c r="F16" i="8"/>
  <c r="I9" i="8"/>
  <c r="I31" i="8"/>
  <c r="J66" i="1"/>
  <c r="O66" i="1" s="1"/>
  <c r="G66" i="1"/>
  <c r="L66" i="1" s="1"/>
  <c r="J23" i="1"/>
  <c r="E67" i="3" s="1"/>
  <c r="C67" i="3"/>
  <c r="J17" i="1"/>
  <c r="E61" i="3" s="1"/>
  <c r="M17" i="1"/>
  <c r="R6" i="1"/>
  <c r="D73" i="3" s="1"/>
  <c r="R10" i="1"/>
  <c r="D77" i="3" s="1"/>
  <c r="V35" i="8"/>
  <c r="X15" i="8"/>
  <c r="X12" i="8"/>
  <c r="Y3" i="8"/>
  <c r="I32" i="8"/>
  <c r="U32" i="8" s="1"/>
  <c r="E15" i="8"/>
  <c r="T15" i="8" s="1"/>
  <c r="AA15" i="8" s="1"/>
  <c r="C8" i="8"/>
  <c r="F9" i="8"/>
  <c r="I11" i="8"/>
  <c r="C14" i="8"/>
  <c r="H15" i="8"/>
  <c r="C17" i="8"/>
  <c r="C19" i="8"/>
  <c r="C21" i="8"/>
  <c r="I22" i="8"/>
  <c r="I23" i="8"/>
  <c r="J24" i="8"/>
  <c r="J27" i="8"/>
  <c r="F28" i="8"/>
  <c r="E30" i="8"/>
  <c r="E31" i="8"/>
  <c r="E32" i="8"/>
  <c r="H35" i="8"/>
  <c r="J36" i="8"/>
  <c r="H37" i="8"/>
  <c r="F38" i="8"/>
  <c r="E39" i="8"/>
  <c r="C41" i="8"/>
  <c r="E42" i="8"/>
  <c r="C43" i="8"/>
  <c r="I44" i="8"/>
  <c r="C46" i="8"/>
  <c r="J46" i="8"/>
  <c r="F47" i="8"/>
  <c r="E48" i="8"/>
  <c r="J48" i="8"/>
  <c r="J49" i="8"/>
  <c r="F50" i="8"/>
  <c r="J50" i="8"/>
  <c r="J51" i="8"/>
  <c r="E54" i="8"/>
  <c r="J54" i="8"/>
  <c r="I55" i="8"/>
  <c r="E56" i="8"/>
  <c r="J56" i="8"/>
  <c r="I57" i="8"/>
  <c r="F58" i="8"/>
  <c r="C59" i="8"/>
  <c r="J59" i="8"/>
  <c r="F60" i="8"/>
  <c r="H61" i="8"/>
  <c r="F62" i="8"/>
  <c r="F63" i="8"/>
  <c r="C64" i="8"/>
  <c r="C65" i="8"/>
  <c r="G65" i="8"/>
  <c r="G66" i="8"/>
  <c r="C67" i="8"/>
  <c r="C68" i="8"/>
  <c r="I68" i="8"/>
  <c r="D69" i="8"/>
  <c r="K69" i="8"/>
  <c r="I70" i="8"/>
  <c r="C71" i="8"/>
  <c r="H72" i="8"/>
  <c r="I73" i="8"/>
  <c r="R8" i="1"/>
  <c r="D75" i="3" s="1"/>
  <c r="Y16" i="8"/>
  <c r="G26" i="8"/>
  <c r="T26" i="8" s="1"/>
  <c r="AA26" i="8" s="1"/>
  <c r="D12" i="8"/>
  <c r="T12" i="8" s="1"/>
  <c r="C9" i="8"/>
  <c r="C15" i="8"/>
  <c r="H16" i="8"/>
  <c r="C20" i="8"/>
  <c r="I21" i="8"/>
  <c r="E23" i="8"/>
  <c r="D28" i="8"/>
  <c r="F31" i="8"/>
  <c r="E34" i="8"/>
  <c r="G35" i="8"/>
  <c r="C38" i="8"/>
  <c r="E41" i="8"/>
  <c r="I42" i="8"/>
  <c r="J43" i="8"/>
  <c r="J44" i="8"/>
  <c r="F46" i="8"/>
  <c r="E47" i="8"/>
  <c r="F48" i="8"/>
  <c r="D49" i="8"/>
  <c r="E50" i="8"/>
  <c r="J53" i="8"/>
  <c r="I54" i="8"/>
  <c r="J55" i="8"/>
  <c r="H56" i="8"/>
  <c r="H57" i="8"/>
  <c r="H58" i="8"/>
  <c r="G59" i="8"/>
  <c r="E60" i="8"/>
  <c r="C61" i="8"/>
  <c r="J61" i="8"/>
  <c r="E63" i="8"/>
  <c r="F64" i="8"/>
  <c r="E65" i="8"/>
  <c r="J65" i="8"/>
  <c r="H66" i="8"/>
  <c r="J67" i="8"/>
  <c r="H68" i="8"/>
  <c r="E69" i="8"/>
  <c r="E70" i="8"/>
  <c r="C72" i="8"/>
  <c r="E73" i="8"/>
  <c r="H74" i="8"/>
  <c r="E75" i="8"/>
  <c r="J75" i="8"/>
  <c r="H76" i="8"/>
  <c r="D77" i="8"/>
  <c r="C78" i="8"/>
  <c r="H78" i="8"/>
  <c r="C79" i="8"/>
  <c r="C81" i="8"/>
  <c r="I81" i="8"/>
  <c r="G82" i="8"/>
  <c r="E83" i="8"/>
  <c r="J83" i="8"/>
  <c r="H84" i="8"/>
  <c r="C85" i="8"/>
  <c r="I85" i="8"/>
  <c r="F86" i="8"/>
  <c r="H87" i="8"/>
  <c r="F88" i="8"/>
  <c r="E89" i="8"/>
  <c r="J89" i="8"/>
  <c r="H92" i="8"/>
  <c r="E93" i="8"/>
  <c r="J93" i="8"/>
  <c r="H94" i="8"/>
  <c r="C95" i="8"/>
  <c r="C96" i="8"/>
  <c r="H96" i="8"/>
  <c r="D97" i="8"/>
  <c r="H97" i="8"/>
  <c r="C98" i="8"/>
  <c r="H99" i="8"/>
  <c r="C100" i="8"/>
  <c r="I100" i="8"/>
  <c r="F101" i="8"/>
  <c r="C102" i="8"/>
  <c r="H102" i="8"/>
  <c r="F3" i="8"/>
  <c r="H4" i="8"/>
  <c r="J5" i="8"/>
  <c r="J7" i="8"/>
  <c r="E7" i="8"/>
  <c r="I13" i="1"/>
  <c r="D56" i="3"/>
  <c r="K12" i="1"/>
  <c r="F56" i="3" s="1"/>
  <c r="L12" i="1"/>
  <c r="I51" i="1"/>
  <c r="N51" i="1" s="1"/>
  <c r="G63" i="1"/>
  <c r="L63" i="1" s="1"/>
  <c r="J68" i="1"/>
  <c r="O68" i="1" s="1"/>
  <c r="K73" i="1"/>
  <c r="P73" i="1" s="1"/>
  <c r="I88" i="1"/>
  <c r="N88" i="1" s="1"/>
  <c r="I54" i="1"/>
  <c r="N54" i="1" s="1"/>
  <c r="J54" i="1"/>
  <c r="O54" i="1" s="1"/>
  <c r="L5" i="1"/>
  <c r="M22" i="1"/>
  <c r="M11" i="1"/>
  <c r="E3" i="8"/>
  <c r="I7" i="8"/>
  <c r="F5" i="8"/>
  <c r="H3" i="8"/>
  <c r="G102" i="8"/>
  <c r="J101" i="8"/>
  <c r="J100" i="8"/>
  <c r="E99" i="8"/>
  <c r="F98" i="8"/>
  <c r="G97" i="8"/>
  <c r="J96" i="8"/>
  <c r="E96" i="8"/>
  <c r="E94" i="8"/>
  <c r="F93" i="8"/>
  <c r="G92" i="8"/>
  <c r="F91" i="8"/>
  <c r="C89" i="8"/>
  <c r="J87" i="8"/>
  <c r="C87" i="8"/>
  <c r="E86" i="8"/>
  <c r="F85" i="8"/>
  <c r="I84" i="8"/>
  <c r="I83" i="8"/>
  <c r="J81" i="8"/>
  <c r="I80" i="8"/>
  <c r="J78" i="8"/>
  <c r="E78" i="8"/>
  <c r="F75" i="8"/>
  <c r="E74" i="8"/>
  <c r="E72" i="8"/>
  <c r="G71" i="8"/>
  <c r="C70" i="8"/>
  <c r="K67" i="8"/>
  <c r="F66" i="8"/>
  <c r="H65" i="8"/>
  <c r="H64" i="8"/>
  <c r="C63" i="8"/>
  <c r="F61" i="8"/>
  <c r="H60" i="8"/>
  <c r="E59" i="8"/>
  <c r="C58" i="8"/>
  <c r="I56" i="8"/>
  <c r="H55" i="8"/>
  <c r="F54" i="8"/>
  <c r="F51" i="8"/>
  <c r="C50" i="8"/>
  <c r="I48" i="8"/>
  <c r="I47" i="8"/>
  <c r="E46" i="8"/>
  <c r="E44" i="8"/>
  <c r="I40" i="8"/>
  <c r="H38" i="8"/>
  <c r="C37" i="8"/>
  <c r="E35" i="8"/>
  <c r="F30" i="8"/>
  <c r="C24" i="8"/>
  <c r="C22" i="8"/>
  <c r="I18" i="8"/>
  <c r="C16" i="8"/>
  <c r="C12" i="8"/>
  <c r="F18" i="8"/>
  <c r="T18" i="8" s="1"/>
  <c r="AA18" i="8" s="1"/>
  <c r="D49" i="3"/>
  <c r="Q2" i="3" s="1"/>
  <c r="J24" i="1"/>
  <c r="E68" i="3" s="1"/>
  <c r="C55" i="3"/>
  <c r="Z39" i="3" s="1"/>
  <c r="J7" i="1"/>
  <c r="E51" i="3" s="1"/>
  <c r="M7" i="1"/>
  <c r="R7" i="1"/>
  <c r="D74" i="3" s="1"/>
  <c r="J19" i="1"/>
  <c r="E63" i="3" s="1"/>
  <c r="J15" i="1"/>
  <c r="E59" i="3" s="1"/>
  <c r="W25" i="8"/>
  <c r="H25" i="8"/>
  <c r="G25" i="8"/>
  <c r="T25" i="8" s="1"/>
  <c r="AA25" i="8" s="1"/>
  <c r="E25" i="8"/>
  <c r="F52" i="1"/>
  <c r="J25" i="8"/>
  <c r="I25" i="8"/>
  <c r="F52" i="8"/>
  <c r="J52" i="8"/>
  <c r="C52" i="8"/>
  <c r="H52" i="8"/>
  <c r="F79" i="1"/>
  <c r="G52" i="8"/>
  <c r="D80" i="8"/>
  <c r="H80" i="8"/>
  <c r="E80" i="8"/>
  <c r="J80" i="8"/>
  <c r="J13" i="1"/>
  <c r="E57" i="3" s="1"/>
  <c r="K18" i="8"/>
  <c r="K35" i="8"/>
  <c r="W44" i="8"/>
  <c r="K30" i="8"/>
  <c r="K48" i="8"/>
  <c r="K49" i="8"/>
  <c r="K56" i="8"/>
  <c r="K75" i="8"/>
  <c r="K99" i="8"/>
  <c r="K37" i="8"/>
  <c r="K38" i="8"/>
  <c r="K41" i="8"/>
  <c r="K70" i="8"/>
  <c r="K72" i="8"/>
  <c r="K4" i="8"/>
  <c r="C57" i="3"/>
  <c r="V46" i="8"/>
  <c r="K21" i="8"/>
  <c r="K51" i="8"/>
  <c r="J6" i="1"/>
  <c r="E50" i="3" s="1"/>
  <c r="D9" i="8"/>
  <c r="T9" i="8" s="1"/>
  <c r="AA9" i="8" s="1"/>
  <c r="D44" i="8"/>
  <c r="D46" i="8"/>
  <c r="D47" i="8"/>
  <c r="C50" i="3"/>
  <c r="D21" i="8"/>
  <c r="D58" i="8"/>
  <c r="D60" i="8"/>
  <c r="D61" i="8"/>
  <c r="D78" i="8"/>
  <c r="D81" i="8"/>
  <c r="M6" i="1"/>
  <c r="D18" i="8"/>
  <c r="D22" i="8"/>
  <c r="D30" i="8"/>
  <c r="D31" i="8"/>
  <c r="D35" i="8"/>
  <c r="D37" i="8"/>
  <c r="D41" i="8"/>
  <c r="D63" i="8"/>
  <c r="D66" i="8"/>
  <c r="D83" i="8"/>
  <c r="D85" i="8"/>
  <c r="D87" i="8"/>
  <c r="D92" i="8"/>
  <c r="D93" i="8"/>
  <c r="D96" i="8"/>
  <c r="D98" i="8"/>
  <c r="D99" i="8"/>
  <c r="D101" i="8"/>
  <c r="D102" i="8"/>
  <c r="D5" i="8"/>
  <c r="D3" i="8"/>
  <c r="W9" i="8"/>
  <c r="D23" i="8"/>
  <c r="D24" i="8"/>
  <c r="D38" i="8"/>
  <c r="D48" i="8"/>
  <c r="D50" i="8"/>
  <c r="D51" i="8"/>
  <c r="J97" i="1"/>
  <c r="O97" i="1" s="1"/>
  <c r="K97" i="1"/>
  <c r="P97" i="1" s="1"/>
  <c r="F19" i="8"/>
  <c r="T19" i="8" s="1"/>
  <c r="AA19" i="8" s="1"/>
  <c r="G19" i="8"/>
  <c r="W19" i="8"/>
  <c r="I19" i="8"/>
  <c r="H19" i="8"/>
  <c r="D19" i="8"/>
  <c r="I29" i="8"/>
  <c r="F29" i="8"/>
  <c r="F56" i="1"/>
  <c r="H29" i="8"/>
  <c r="T29" i="8" s="1"/>
  <c r="AA29" i="8" s="1"/>
  <c r="K29" i="8"/>
  <c r="J29" i="8"/>
  <c r="C33" i="8"/>
  <c r="J33" i="8"/>
  <c r="F33" i="8"/>
  <c r="F60" i="1"/>
  <c r="G33" i="8"/>
  <c r="E33" i="8"/>
  <c r="C53" i="8"/>
  <c r="G53" i="8"/>
  <c r="K53" i="8"/>
  <c r="F80" i="1"/>
  <c r="D53" i="8"/>
  <c r="I53" i="8"/>
  <c r="H53" i="8"/>
  <c r="D62" i="8"/>
  <c r="H62" i="8"/>
  <c r="C62" i="8"/>
  <c r="I62" i="8"/>
  <c r="F89" i="1"/>
  <c r="H37" i="1"/>
  <c r="M37" i="1" s="1"/>
  <c r="G42" i="1"/>
  <c r="L42" i="1" s="1"/>
  <c r="K42" i="1"/>
  <c r="P42" i="1" s="1"/>
  <c r="H71" i="1"/>
  <c r="M71" i="1" s="1"/>
  <c r="H127" i="1"/>
  <c r="M127" i="1" s="1"/>
  <c r="G127" i="1"/>
  <c r="L127" i="1" s="1"/>
  <c r="H119" i="1"/>
  <c r="M119" i="1" s="1"/>
  <c r="J119" i="1"/>
  <c r="O119" i="1" s="1"/>
  <c r="H111" i="1"/>
  <c r="M111" i="1" s="1"/>
  <c r="G111" i="1"/>
  <c r="L111" i="1" s="1"/>
  <c r="F107" i="1"/>
  <c r="I102" i="1"/>
  <c r="N102" i="1" s="1"/>
  <c r="G102" i="1"/>
  <c r="L102" i="1" s="1"/>
  <c r="J65" i="1"/>
  <c r="O65" i="1" s="1"/>
  <c r="G65" i="1"/>
  <c r="L65" i="1" s="1"/>
  <c r="J41" i="1"/>
  <c r="O41" i="1" s="1"/>
  <c r="G41" i="1"/>
  <c r="L41" i="1" s="1"/>
  <c r="D100" i="8"/>
  <c r="K97" i="8"/>
  <c r="K96" i="8"/>
  <c r="K95" i="8"/>
  <c r="D94" i="8"/>
  <c r="K90" i="8"/>
  <c r="D89" i="8"/>
  <c r="G80" i="8"/>
  <c r="D76" i="8"/>
  <c r="D71" i="8"/>
  <c r="K68" i="8"/>
  <c r="K65" i="8"/>
  <c r="K64" i="8"/>
  <c r="D64" i="8"/>
  <c r="E62" i="8"/>
  <c r="D57" i="8"/>
  <c r="F53" i="8"/>
  <c r="D40" i="8"/>
  <c r="E29" i="8"/>
  <c r="D25" i="8"/>
  <c r="W8" i="8"/>
  <c r="E67" i="8"/>
  <c r="I67" i="8"/>
  <c r="G67" i="8"/>
  <c r="D79" i="8"/>
  <c r="H79" i="8"/>
  <c r="E79" i="8"/>
  <c r="J79" i="8"/>
  <c r="E90" i="8"/>
  <c r="I90" i="8"/>
  <c r="D90" i="8"/>
  <c r="J90" i="8"/>
  <c r="C40" i="8"/>
  <c r="G40" i="8"/>
  <c r="H40" i="8"/>
  <c r="F40" i="8"/>
  <c r="E40" i="8"/>
  <c r="C74" i="8"/>
  <c r="G74" i="8"/>
  <c r="K74" i="8"/>
  <c r="F74" i="8"/>
  <c r="G12" i="8"/>
  <c r="G21" i="8"/>
  <c r="G38" i="8"/>
  <c r="G41" i="8"/>
  <c r="J9" i="1"/>
  <c r="E53" i="3" s="1"/>
  <c r="V23" i="8"/>
  <c r="G44" i="8"/>
  <c r="G46" i="8"/>
  <c r="G47" i="8"/>
  <c r="G48" i="8"/>
  <c r="G54" i="8"/>
  <c r="G56" i="8"/>
  <c r="G75" i="8"/>
  <c r="W22" i="8"/>
  <c r="G17" i="8"/>
  <c r="G58" i="8"/>
  <c r="G70" i="8"/>
  <c r="G88" i="8"/>
  <c r="G5" i="8"/>
  <c r="C53" i="3"/>
  <c r="Z28" i="3" s="1"/>
  <c r="AJ28" i="3" s="1"/>
  <c r="G49" i="8"/>
  <c r="I37" i="1"/>
  <c r="N37" i="1" s="1"/>
  <c r="I41" i="1"/>
  <c r="N41" i="1" s="1"/>
  <c r="H42" i="1"/>
  <c r="M42" i="1" s="1"/>
  <c r="H45" i="1"/>
  <c r="M45" i="1" s="1"/>
  <c r="G46" i="1"/>
  <c r="L46" i="1" s="1"/>
  <c r="J46" i="1"/>
  <c r="O46" i="1" s="1"/>
  <c r="G50" i="1"/>
  <c r="L50" i="1" s="1"/>
  <c r="K50" i="1"/>
  <c r="P50" i="1" s="1"/>
  <c r="I65" i="1"/>
  <c r="N65" i="1" s="1"/>
  <c r="I71" i="1"/>
  <c r="N71" i="1" s="1"/>
  <c r="K91" i="1"/>
  <c r="P91" i="1" s="1"/>
  <c r="G97" i="1"/>
  <c r="L97" i="1" s="1"/>
  <c r="J102" i="1"/>
  <c r="O102" i="1" s="1"/>
  <c r="I111" i="1"/>
  <c r="N111" i="1" s="1"/>
  <c r="G119" i="1"/>
  <c r="L119" i="1" s="1"/>
  <c r="I127" i="1"/>
  <c r="N127" i="1" s="1"/>
  <c r="I126" i="1"/>
  <c r="N126" i="1" s="1"/>
  <c r="G126" i="1"/>
  <c r="L126" i="1" s="1"/>
  <c r="I122" i="1"/>
  <c r="N122" i="1" s="1"/>
  <c r="H122" i="1"/>
  <c r="M122" i="1" s="1"/>
  <c r="I118" i="1"/>
  <c r="N118" i="1" s="1"/>
  <c r="J118" i="1"/>
  <c r="O118" i="1" s="1"/>
  <c r="I114" i="1"/>
  <c r="N114" i="1" s="1"/>
  <c r="K114" i="1"/>
  <c r="P114" i="1" s="1"/>
  <c r="I110" i="1"/>
  <c r="N110" i="1" s="1"/>
  <c r="G110" i="1"/>
  <c r="L110" i="1" s="1"/>
  <c r="F106" i="1"/>
  <c r="F101" i="1"/>
  <c r="F94" i="1"/>
  <c r="J78" i="1"/>
  <c r="O78" i="1" s="1"/>
  <c r="G78" i="1"/>
  <c r="L78" i="1" s="1"/>
  <c r="K74" i="1"/>
  <c r="P74" i="1" s="1"/>
  <c r="G74" i="1"/>
  <c r="L74" i="1" s="1"/>
  <c r="J49" i="1"/>
  <c r="O49" i="1" s="1"/>
  <c r="G49" i="1"/>
  <c r="L49" i="1" s="1"/>
  <c r="G7" i="8"/>
  <c r="G6" i="8"/>
  <c r="G4" i="8"/>
  <c r="K100" i="8"/>
  <c r="G100" i="8"/>
  <c r="G98" i="8"/>
  <c r="G94" i="8"/>
  <c r="K93" i="8"/>
  <c r="G93" i="8"/>
  <c r="G91" i="8"/>
  <c r="H90" i="8"/>
  <c r="K89" i="8"/>
  <c r="G89" i="8"/>
  <c r="K88" i="8"/>
  <c r="D88" i="8"/>
  <c r="D86" i="8"/>
  <c r="D84" i="8"/>
  <c r="K82" i="8"/>
  <c r="F80" i="8"/>
  <c r="G79" i="8"/>
  <c r="J74" i="8"/>
  <c r="D74" i="8"/>
  <c r="G72" i="8"/>
  <c r="H67" i="8"/>
  <c r="G63" i="8"/>
  <c r="J62" i="8"/>
  <c r="K61" i="8"/>
  <c r="G61" i="8"/>
  <c r="K60" i="8"/>
  <c r="G60" i="8"/>
  <c r="D55" i="8"/>
  <c r="E53" i="8"/>
  <c r="I52" i="8"/>
  <c r="D42" i="8"/>
  <c r="D36" i="8"/>
  <c r="K32" i="8"/>
  <c r="D29" i="8"/>
  <c r="C25" i="8"/>
  <c r="X6" i="8"/>
  <c r="C6" i="8"/>
  <c r="T6" i="8" s="1"/>
  <c r="F6" i="8"/>
  <c r="J6" i="8"/>
  <c r="D6" i="8"/>
  <c r="I6" i="8"/>
  <c r="V10" i="8"/>
  <c r="F71" i="8"/>
  <c r="J71" i="8"/>
  <c r="E71" i="8"/>
  <c r="K71" i="8"/>
  <c r="F98" i="1"/>
  <c r="C77" i="8"/>
  <c r="G77" i="8"/>
  <c r="K77" i="8"/>
  <c r="F104" i="1"/>
  <c r="E77" i="8"/>
  <c r="J77" i="8"/>
  <c r="G35" i="1"/>
  <c r="L35" i="1" s="1"/>
  <c r="K35" i="1"/>
  <c r="P35" i="1" s="1"/>
  <c r="J37" i="1"/>
  <c r="O37" i="1" s="1"/>
  <c r="J39" i="1"/>
  <c r="O39" i="1" s="1"/>
  <c r="I42" i="1"/>
  <c r="N42" i="1" s="1"/>
  <c r="I45" i="1"/>
  <c r="N45" i="1" s="1"/>
  <c r="K46" i="1"/>
  <c r="P46" i="1" s="1"/>
  <c r="I49" i="1"/>
  <c r="N49" i="1" s="1"/>
  <c r="H50" i="1"/>
  <c r="M50" i="1" s="1"/>
  <c r="H54" i="1"/>
  <c r="M54" i="1" s="1"/>
  <c r="J59" i="1"/>
  <c r="O59" i="1" s="1"/>
  <c r="K71" i="1"/>
  <c r="P71" i="1" s="1"/>
  <c r="H74" i="1"/>
  <c r="M74" i="1" s="1"/>
  <c r="H78" i="1"/>
  <c r="M78" i="1" s="1"/>
  <c r="K78" i="1"/>
  <c r="P78" i="1" s="1"/>
  <c r="G91" i="1"/>
  <c r="L91" i="1" s="1"/>
  <c r="H97" i="1"/>
  <c r="M97" i="1" s="1"/>
  <c r="K102" i="1"/>
  <c r="P102" i="1" s="1"/>
  <c r="H110" i="1"/>
  <c r="M110" i="1" s="1"/>
  <c r="J111" i="1"/>
  <c r="O111" i="1" s="1"/>
  <c r="J114" i="1"/>
  <c r="O114" i="1" s="1"/>
  <c r="G118" i="1"/>
  <c r="L118" i="1" s="1"/>
  <c r="I119" i="1"/>
  <c r="N119" i="1" s="1"/>
  <c r="K122" i="1"/>
  <c r="P122" i="1" s="1"/>
  <c r="H126" i="1"/>
  <c r="M126" i="1" s="1"/>
  <c r="J127" i="1"/>
  <c r="O127" i="1" s="1"/>
  <c r="J125" i="1"/>
  <c r="O125" i="1" s="1"/>
  <c r="G125" i="1"/>
  <c r="L125" i="1" s="1"/>
  <c r="F117" i="1"/>
  <c r="J113" i="1"/>
  <c r="O113" i="1" s="1"/>
  <c r="K113" i="1"/>
  <c r="P113" i="1" s="1"/>
  <c r="J109" i="1"/>
  <c r="O109" i="1" s="1"/>
  <c r="G109" i="1"/>
  <c r="L109" i="1" s="1"/>
  <c r="J105" i="1"/>
  <c r="O105" i="1" s="1"/>
  <c r="H105" i="1"/>
  <c r="M105" i="1" s="1"/>
  <c r="F67" i="1"/>
  <c r="F33" i="1"/>
  <c r="M13" i="1"/>
  <c r="M9" i="1"/>
  <c r="K5" i="8"/>
  <c r="K3" i="8"/>
  <c r="G3" i="8"/>
  <c r="G101" i="8"/>
  <c r="K98" i="8"/>
  <c r="G95" i="8"/>
  <c r="G90" i="8"/>
  <c r="K87" i="8"/>
  <c r="G87" i="8"/>
  <c r="K86" i="8"/>
  <c r="G86" i="8"/>
  <c r="K85" i="8"/>
  <c r="G85" i="8"/>
  <c r="K84" i="8"/>
  <c r="G84" i="8"/>
  <c r="K83" i="8"/>
  <c r="G83" i="8"/>
  <c r="K81" i="8"/>
  <c r="G81" i="8"/>
  <c r="K80" i="8"/>
  <c r="C80" i="8"/>
  <c r="F79" i="8"/>
  <c r="F77" i="8"/>
  <c r="I74" i="8"/>
  <c r="D73" i="8"/>
  <c r="H71" i="8"/>
  <c r="D70" i="8"/>
  <c r="D68" i="8"/>
  <c r="F67" i="8"/>
  <c r="G62" i="8"/>
  <c r="D56" i="8"/>
  <c r="D54" i="8"/>
  <c r="E52" i="8"/>
  <c r="K40" i="8"/>
  <c r="D39" i="8"/>
  <c r="G37" i="8"/>
  <c r="K33" i="8"/>
  <c r="K19" i="8"/>
  <c r="G18" i="8"/>
  <c r="D13" i="8"/>
  <c r="X26" i="8"/>
  <c r="H26" i="8"/>
  <c r="D26" i="8"/>
  <c r="C26" i="8"/>
  <c r="J26" i="8"/>
  <c r="Y27" i="8"/>
  <c r="I27" i="8"/>
  <c r="C27" i="8"/>
  <c r="K27" i="8"/>
  <c r="E27" i="8"/>
  <c r="D27" i="8"/>
  <c r="V29" i="8"/>
  <c r="Y36" i="8"/>
  <c r="F36" i="8"/>
  <c r="K36" i="8"/>
  <c r="C36" i="8"/>
  <c r="H36" i="8"/>
  <c r="G36" i="8"/>
  <c r="E36" i="8"/>
  <c r="W33" i="8"/>
  <c r="X45" i="8"/>
  <c r="D45" i="8"/>
  <c r="H45" i="8"/>
  <c r="G45" i="8"/>
  <c r="F72" i="1"/>
  <c r="E45" i="8"/>
  <c r="C45" i="8"/>
  <c r="J45" i="8"/>
  <c r="E64" i="8"/>
  <c r="I64" i="8"/>
  <c r="G64" i="8"/>
  <c r="J21" i="1"/>
  <c r="E65" i="3" s="1"/>
  <c r="C65" i="3"/>
  <c r="V7" i="8"/>
  <c r="H7" i="8"/>
  <c r="G13" i="8"/>
  <c r="J13" i="8"/>
  <c r="F40" i="1"/>
  <c r="W20" i="8"/>
  <c r="G20" i="8"/>
  <c r="H20" i="8"/>
  <c r="X32" i="8"/>
  <c r="H32" i="8"/>
  <c r="T32" i="8" s="1"/>
  <c r="J32" i="8"/>
  <c r="F32" i="8"/>
  <c r="X34" i="8"/>
  <c r="F34" i="8"/>
  <c r="C34" i="8"/>
  <c r="H34" i="8"/>
  <c r="Y43" i="8"/>
  <c r="D43" i="8"/>
  <c r="H43" i="8"/>
  <c r="G43" i="8"/>
  <c r="D59" i="8"/>
  <c r="H59" i="8"/>
  <c r="F69" i="8"/>
  <c r="J69" i="8"/>
  <c r="F96" i="1"/>
  <c r="C76" i="8"/>
  <c r="G76" i="8"/>
  <c r="K76" i="8"/>
  <c r="D82" i="8"/>
  <c r="H82" i="8"/>
  <c r="E95" i="8"/>
  <c r="I95" i="8"/>
  <c r="E91" i="8"/>
  <c r="I91" i="8"/>
  <c r="C39" i="8"/>
  <c r="G39" i="8"/>
  <c r="H39" i="8"/>
  <c r="C73" i="8"/>
  <c r="G73" i="8"/>
  <c r="K73" i="8"/>
  <c r="F100" i="1"/>
  <c r="F70" i="1"/>
  <c r="F47" i="1"/>
  <c r="F34" i="1"/>
  <c r="F7" i="8"/>
  <c r="J95" i="8"/>
  <c r="D95" i="8"/>
  <c r="J91" i="8"/>
  <c r="D91" i="8"/>
  <c r="I82" i="8"/>
  <c r="C82" i="8"/>
  <c r="J76" i="8"/>
  <c r="E76" i="8"/>
  <c r="F73" i="8"/>
  <c r="G69" i="8"/>
  <c r="F59" i="8"/>
  <c r="I43" i="8"/>
  <c r="I39" i="8"/>
  <c r="G34" i="8"/>
  <c r="D32" i="8"/>
  <c r="K20" i="8"/>
  <c r="W5" i="8"/>
  <c r="H5" i="8"/>
  <c r="F32" i="1"/>
  <c r="Y24" i="8"/>
  <c r="H24" i="8"/>
  <c r="I24" i="8"/>
  <c r="E51" i="8"/>
  <c r="I51" i="8"/>
  <c r="C51" i="8"/>
  <c r="H51" i="8"/>
  <c r="C55" i="8"/>
  <c r="G55" i="8"/>
  <c r="K55" i="8"/>
  <c r="C57" i="8"/>
  <c r="G57" i="8"/>
  <c r="K57" i="8"/>
  <c r="F84" i="1"/>
  <c r="F72" i="8"/>
  <c r="J72" i="8"/>
  <c r="E101" i="8"/>
  <c r="I101" i="8"/>
  <c r="F128" i="1"/>
  <c r="E98" i="8"/>
  <c r="I98" i="8"/>
  <c r="E92" i="8"/>
  <c r="I92" i="8"/>
  <c r="E88" i="8"/>
  <c r="I88" i="8"/>
  <c r="C52" i="3"/>
  <c r="F14" i="8"/>
  <c r="F35" i="8"/>
  <c r="F37" i="8"/>
  <c r="F41" i="8"/>
  <c r="F42" i="8"/>
  <c r="F49" i="8"/>
  <c r="F68" i="8"/>
  <c r="F70" i="8"/>
  <c r="F31" i="1"/>
  <c r="Z4" i="8"/>
  <c r="F4" i="8"/>
  <c r="J4" i="8"/>
  <c r="D4" i="8"/>
  <c r="AB20" i="3"/>
  <c r="AA9" i="3"/>
  <c r="AB9" i="3"/>
  <c r="AA32" i="3"/>
  <c r="AB46" i="3"/>
  <c r="W17" i="8"/>
  <c r="K17" i="8"/>
  <c r="F22" i="8"/>
  <c r="T22" i="8" s="1"/>
  <c r="H22" i="8"/>
  <c r="X28" i="8"/>
  <c r="H28" i="8"/>
  <c r="T28" i="8" s="1"/>
  <c r="AA28" i="8" s="1"/>
  <c r="I28" i="8"/>
  <c r="Z42" i="8"/>
  <c r="C42" i="8"/>
  <c r="G42" i="8"/>
  <c r="E49" i="8"/>
  <c r="I49" i="8"/>
  <c r="Y37" i="8"/>
  <c r="C56" i="3"/>
  <c r="Z44" i="3" s="1"/>
  <c r="AJ44" i="3" s="1"/>
  <c r="J41" i="8"/>
  <c r="T41" i="8" s="1"/>
  <c r="J12" i="8"/>
  <c r="J15" i="8"/>
  <c r="J16" i="8"/>
  <c r="J10" i="1"/>
  <c r="E54" i="3" s="1"/>
  <c r="H23" i="8"/>
  <c r="H44" i="8"/>
  <c r="H46" i="8"/>
  <c r="H47" i="8"/>
  <c r="F10" i="8"/>
  <c r="D8" i="8"/>
  <c r="T8" i="8" s="1"/>
  <c r="AA8" i="8" s="1"/>
  <c r="F8" i="8"/>
  <c r="H14" i="8"/>
  <c r="Y18" i="8"/>
  <c r="Y30" i="8"/>
  <c r="Y41" i="8"/>
  <c r="K46" i="8"/>
  <c r="T46" i="8" s="1"/>
  <c r="AA106" i="3"/>
  <c r="AA85" i="3"/>
  <c r="AA64" i="3"/>
  <c r="AA42" i="3"/>
  <c r="AA21" i="3"/>
  <c r="AB100" i="3"/>
  <c r="AB78" i="3"/>
  <c r="AB57" i="3"/>
  <c r="AB36" i="3"/>
  <c r="AB14" i="3"/>
  <c r="AU9" i="3"/>
  <c r="AA101" i="3"/>
  <c r="AA80" i="3"/>
  <c r="AA58" i="3"/>
  <c r="AA37" i="3"/>
  <c r="AS9" i="3" s="1"/>
  <c r="AA16" i="3"/>
  <c r="AB94" i="3"/>
  <c r="AB73" i="3"/>
  <c r="AB52" i="3"/>
  <c r="AB30" i="3"/>
  <c r="Z36" i="3"/>
  <c r="AA90" i="3"/>
  <c r="AA69" i="3"/>
  <c r="AA48" i="3"/>
  <c r="AA26" i="3"/>
  <c r="AB105" i="3"/>
  <c r="AB84" i="3"/>
  <c r="AB62" i="3"/>
  <c r="AB41" i="3"/>
  <c r="AU11" i="3"/>
  <c r="Z20" i="3"/>
  <c r="AJ20" i="3" s="1"/>
  <c r="AU8" i="3"/>
  <c r="F20" i="2"/>
  <c r="I20" i="2" s="1"/>
  <c r="E20" i="2"/>
  <c r="H20" i="2" s="1"/>
  <c r="G20" i="2"/>
  <c r="J20" i="2" s="1"/>
  <c r="F118" i="2"/>
  <c r="I118" i="2" s="1"/>
  <c r="E118" i="2"/>
  <c r="H118" i="2" s="1"/>
  <c r="G118" i="2"/>
  <c r="J118" i="2" s="1"/>
  <c r="E116" i="2"/>
  <c r="H116" i="2" s="1"/>
  <c r="G116" i="2"/>
  <c r="J116" i="2" s="1"/>
  <c r="F116" i="2"/>
  <c r="I116" i="2" s="1"/>
  <c r="F114" i="2"/>
  <c r="I114" i="2" s="1"/>
  <c r="E114" i="2"/>
  <c r="H114" i="2" s="1"/>
  <c r="G114" i="2"/>
  <c r="J114" i="2" s="1"/>
  <c r="E112" i="2"/>
  <c r="H112" i="2" s="1"/>
  <c r="G112" i="2"/>
  <c r="J112" i="2" s="1"/>
  <c r="F112" i="2"/>
  <c r="I112" i="2" s="1"/>
  <c r="F110" i="2"/>
  <c r="I110" i="2" s="1"/>
  <c r="E110" i="2"/>
  <c r="H110" i="2" s="1"/>
  <c r="G110" i="2"/>
  <c r="J110" i="2" s="1"/>
  <c r="E108" i="2"/>
  <c r="H108" i="2" s="1"/>
  <c r="G108" i="2"/>
  <c r="J108" i="2" s="1"/>
  <c r="F108" i="2"/>
  <c r="I108" i="2" s="1"/>
  <c r="F106" i="2"/>
  <c r="I106" i="2" s="1"/>
  <c r="E106" i="2"/>
  <c r="H106" i="2" s="1"/>
  <c r="G106" i="2"/>
  <c r="J106" i="2" s="1"/>
  <c r="E104" i="2"/>
  <c r="H104" i="2" s="1"/>
  <c r="G104" i="2"/>
  <c r="J104" i="2" s="1"/>
  <c r="F104" i="2"/>
  <c r="I104" i="2" s="1"/>
  <c r="F102" i="2"/>
  <c r="I102" i="2" s="1"/>
  <c r="E102" i="2"/>
  <c r="H102" i="2" s="1"/>
  <c r="G102" i="2"/>
  <c r="J102" i="2" s="1"/>
  <c r="E100" i="2"/>
  <c r="H100" i="2" s="1"/>
  <c r="G100" i="2"/>
  <c r="J100" i="2" s="1"/>
  <c r="F100" i="2"/>
  <c r="I100" i="2" s="1"/>
  <c r="F98" i="2"/>
  <c r="I98" i="2" s="1"/>
  <c r="E98" i="2"/>
  <c r="H98" i="2" s="1"/>
  <c r="G98" i="2"/>
  <c r="J98" i="2" s="1"/>
  <c r="E96" i="2"/>
  <c r="H96" i="2" s="1"/>
  <c r="G96" i="2"/>
  <c r="J96" i="2" s="1"/>
  <c r="F96" i="2"/>
  <c r="I96" i="2" s="1"/>
  <c r="F94" i="2"/>
  <c r="I94" i="2" s="1"/>
  <c r="E94" i="2"/>
  <c r="H94" i="2" s="1"/>
  <c r="G94" i="2"/>
  <c r="J94" i="2" s="1"/>
  <c r="E92" i="2"/>
  <c r="H92" i="2" s="1"/>
  <c r="G92" i="2"/>
  <c r="J92" i="2" s="1"/>
  <c r="F92" i="2"/>
  <c r="I92" i="2" s="1"/>
  <c r="F90" i="2"/>
  <c r="I90" i="2" s="1"/>
  <c r="E90" i="2"/>
  <c r="H90" i="2" s="1"/>
  <c r="G90" i="2"/>
  <c r="J90" i="2" s="1"/>
  <c r="E88" i="2"/>
  <c r="H88" i="2" s="1"/>
  <c r="G88" i="2"/>
  <c r="J88" i="2" s="1"/>
  <c r="F88" i="2"/>
  <c r="I88" i="2" s="1"/>
  <c r="F86" i="2"/>
  <c r="I86" i="2" s="1"/>
  <c r="E86" i="2"/>
  <c r="H86" i="2" s="1"/>
  <c r="G86" i="2"/>
  <c r="J86" i="2" s="1"/>
  <c r="E84" i="2"/>
  <c r="H84" i="2" s="1"/>
  <c r="G84" i="2"/>
  <c r="J84" i="2" s="1"/>
  <c r="F84" i="2"/>
  <c r="I84" i="2" s="1"/>
  <c r="F82" i="2"/>
  <c r="I82" i="2" s="1"/>
  <c r="E82" i="2"/>
  <c r="H82" i="2" s="1"/>
  <c r="G82" i="2"/>
  <c r="J82" i="2" s="1"/>
  <c r="E80" i="2"/>
  <c r="H80" i="2" s="1"/>
  <c r="G80" i="2"/>
  <c r="J80" i="2" s="1"/>
  <c r="F80" i="2"/>
  <c r="I80" i="2" s="1"/>
  <c r="F78" i="2"/>
  <c r="I78" i="2" s="1"/>
  <c r="E78" i="2"/>
  <c r="H78" i="2" s="1"/>
  <c r="G78" i="2"/>
  <c r="J78" i="2" s="1"/>
  <c r="E76" i="2"/>
  <c r="H76" i="2" s="1"/>
  <c r="G76" i="2"/>
  <c r="J76" i="2" s="1"/>
  <c r="F76" i="2"/>
  <c r="I76" i="2" s="1"/>
  <c r="F74" i="2"/>
  <c r="I74" i="2" s="1"/>
  <c r="E74" i="2"/>
  <c r="H74" i="2" s="1"/>
  <c r="G74" i="2"/>
  <c r="J74" i="2" s="1"/>
  <c r="E72" i="2"/>
  <c r="H72" i="2" s="1"/>
  <c r="G72" i="2"/>
  <c r="J72" i="2" s="1"/>
  <c r="F72" i="2"/>
  <c r="I72" i="2" s="1"/>
  <c r="F70" i="2"/>
  <c r="I70" i="2" s="1"/>
  <c r="E70" i="2"/>
  <c r="H70" i="2" s="1"/>
  <c r="G70" i="2"/>
  <c r="J70" i="2" s="1"/>
  <c r="E68" i="2"/>
  <c r="H68" i="2" s="1"/>
  <c r="G68" i="2"/>
  <c r="J68" i="2" s="1"/>
  <c r="F68" i="2"/>
  <c r="I68" i="2" s="1"/>
  <c r="F66" i="2"/>
  <c r="I66" i="2" s="1"/>
  <c r="E66" i="2"/>
  <c r="H66" i="2" s="1"/>
  <c r="G66" i="2"/>
  <c r="J66" i="2" s="1"/>
  <c r="E64" i="2"/>
  <c r="H64" i="2" s="1"/>
  <c r="G64" i="2"/>
  <c r="J64" i="2" s="1"/>
  <c r="F64" i="2"/>
  <c r="I64" i="2" s="1"/>
  <c r="F62" i="2"/>
  <c r="I62" i="2" s="1"/>
  <c r="E62" i="2"/>
  <c r="H62" i="2" s="1"/>
  <c r="G62" i="2"/>
  <c r="J62" i="2" s="1"/>
  <c r="E60" i="2"/>
  <c r="H60" i="2" s="1"/>
  <c r="G60" i="2"/>
  <c r="J60" i="2" s="1"/>
  <c r="F60" i="2"/>
  <c r="I60" i="2" s="1"/>
  <c r="F58" i="2"/>
  <c r="I58" i="2" s="1"/>
  <c r="E58" i="2"/>
  <c r="H58" i="2" s="1"/>
  <c r="G58" i="2"/>
  <c r="J58" i="2" s="1"/>
  <c r="E56" i="2"/>
  <c r="H56" i="2" s="1"/>
  <c r="G56" i="2"/>
  <c r="J56" i="2" s="1"/>
  <c r="F56" i="2"/>
  <c r="I56" i="2" s="1"/>
  <c r="F54" i="2"/>
  <c r="I54" i="2" s="1"/>
  <c r="E54" i="2"/>
  <c r="H54" i="2" s="1"/>
  <c r="G54" i="2"/>
  <c r="J54" i="2" s="1"/>
  <c r="E52" i="2"/>
  <c r="H52" i="2" s="1"/>
  <c r="G52" i="2"/>
  <c r="J52" i="2" s="1"/>
  <c r="F52" i="2"/>
  <c r="I52" i="2" s="1"/>
  <c r="F50" i="2"/>
  <c r="I50" i="2" s="1"/>
  <c r="E50" i="2"/>
  <c r="H50" i="2" s="1"/>
  <c r="G50" i="2"/>
  <c r="J50" i="2" s="1"/>
  <c r="E48" i="2"/>
  <c r="H48" i="2" s="1"/>
  <c r="G48" i="2"/>
  <c r="J48" i="2" s="1"/>
  <c r="F48" i="2"/>
  <c r="I48" i="2" s="1"/>
  <c r="F46" i="2"/>
  <c r="I46" i="2" s="1"/>
  <c r="E46" i="2"/>
  <c r="H46" i="2" s="1"/>
  <c r="G46" i="2"/>
  <c r="J46" i="2" s="1"/>
  <c r="E44" i="2"/>
  <c r="H44" i="2" s="1"/>
  <c r="G44" i="2"/>
  <c r="J44" i="2" s="1"/>
  <c r="F44" i="2"/>
  <c r="I44" i="2" s="1"/>
  <c r="F42" i="2"/>
  <c r="I42" i="2" s="1"/>
  <c r="E42" i="2"/>
  <c r="H42" i="2" s="1"/>
  <c r="G42" i="2"/>
  <c r="J42" i="2" s="1"/>
  <c r="E40" i="2"/>
  <c r="H40" i="2" s="1"/>
  <c r="G40" i="2"/>
  <c r="J40" i="2" s="1"/>
  <c r="F40" i="2"/>
  <c r="I40" i="2" s="1"/>
  <c r="F38" i="2"/>
  <c r="I38" i="2" s="1"/>
  <c r="E38" i="2"/>
  <c r="H38" i="2" s="1"/>
  <c r="G38" i="2"/>
  <c r="J38" i="2" s="1"/>
  <c r="E36" i="2"/>
  <c r="H36" i="2" s="1"/>
  <c r="G36" i="2"/>
  <c r="J36" i="2" s="1"/>
  <c r="F36" i="2"/>
  <c r="I36" i="2" s="1"/>
  <c r="F34" i="2"/>
  <c r="I34" i="2" s="1"/>
  <c r="E34" i="2"/>
  <c r="H34" i="2" s="1"/>
  <c r="G34" i="2"/>
  <c r="J34" i="2" s="1"/>
  <c r="E32" i="2"/>
  <c r="H32" i="2" s="1"/>
  <c r="G32" i="2"/>
  <c r="J32" i="2" s="1"/>
  <c r="F32" i="2"/>
  <c r="I32" i="2" s="1"/>
  <c r="F30" i="2"/>
  <c r="I30" i="2" s="1"/>
  <c r="E30" i="2"/>
  <c r="H30" i="2" s="1"/>
  <c r="G30" i="2"/>
  <c r="J30" i="2" s="1"/>
  <c r="E28" i="2"/>
  <c r="H28" i="2" s="1"/>
  <c r="G28" i="2"/>
  <c r="J28" i="2" s="1"/>
  <c r="F28" i="2"/>
  <c r="I28" i="2" s="1"/>
  <c r="F26" i="2"/>
  <c r="I26" i="2" s="1"/>
  <c r="E26" i="2"/>
  <c r="H26" i="2" s="1"/>
  <c r="G26" i="2"/>
  <c r="J26" i="2" s="1"/>
  <c r="E24" i="2"/>
  <c r="H24" i="2" s="1"/>
  <c r="G24" i="2"/>
  <c r="J24" i="2" s="1"/>
  <c r="F24" i="2"/>
  <c r="I24" i="2" s="1"/>
  <c r="F22" i="2"/>
  <c r="I22" i="2" s="1"/>
  <c r="E22" i="2"/>
  <c r="H22" i="2" s="1"/>
  <c r="G22" i="2"/>
  <c r="J22" i="2" s="1"/>
  <c r="D32" i="4"/>
  <c r="D33" i="4"/>
  <c r="D31" i="4"/>
  <c r="AA8" i="3"/>
  <c r="AA102" i="3"/>
  <c r="AA97" i="3"/>
  <c r="AA92" i="3"/>
  <c r="AA86" i="3"/>
  <c r="AA81" i="3"/>
  <c r="AA76" i="3"/>
  <c r="AA70" i="3"/>
  <c r="AA65" i="3"/>
  <c r="AA60" i="3"/>
  <c r="AA54" i="3"/>
  <c r="AA49" i="3"/>
  <c r="AA44" i="3"/>
  <c r="AA38" i="3"/>
  <c r="AA33" i="3"/>
  <c r="AA28" i="3"/>
  <c r="AA22" i="3"/>
  <c r="AA17" i="3"/>
  <c r="AS8" i="3" s="1"/>
  <c r="AA12" i="3"/>
  <c r="AB106" i="3"/>
  <c r="AB101" i="3"/>
  <c r="AB96" i="3"/>
  <c r="AB90" i="3"/>
  <c r="AB85" i="3"/>
  <c r="AB80" i="3"/>
  <c r="AB74" i="3"/>
  <c r="AB69" i="3"/>
  <c r="AB64" i="3"/>
  <c r="AB58" i="3"/>
  <c r="AB53" i="3"/>
  <c r="AB48" i="3"/>
  <c r="AB42" i="3"/>
  <c r="AB37" i="3"/>
  <c r="AB32" i="3"/>
  <c r="AB26" i="3"/>
  <c r="AB21" i="3"/>
  <c r="AB16" i="3"/>
  <c r="AB10" i="3"/>
  <c r="Z42" i="3"/>
  <c r="AJ42" i="3" s="1"/>
  <c r="Z34" i="3"/>
  <c r="Z18" i="3"/>
  <c r="O2" i="3"/>
  <c r="Z17" i="3"/>
  <c r="AJ17" i="3" s="1"/>
  <c r="Z19" i="3"/>
  <c r="Z21" i="3"/>
  <c r="Z25" i="3"/>
  <c r="AJ25" i="3" s="1"/>
  <c r="Z27" i="3"/>
  <c r="Z29" i="3"/>
  <c r="AJ29" i="3" s="1"/>
  <c r="Z31" i="3"/>
  <c r="Z33" i="3"/>
  <c r="Z35" i="3"/>
  <c r="AJ35" i="3" s="1"/>
  <c r="Z37" i="3"/>
  <c r="Z41" i="3"/>
  <c r="Z43" i="3"/>
  <c r="AB11" i="3"/>
  <c r="AB15" i="3"/>
  <c r="AB19" i="3"/>
  <c r="AB23" i="3"/>
  <c r="AB27" i="3"/>
  <c r="AB31" i="3"/>
  <c r="AB35" i="3"/>
  <c r="AB39" i="3"/>
  <c r="AB43" i="3"/>
  <c r="AB47" i="3"/>
  <c r="AB51" i="3"/>
  <c r="AB55" i="3"/>
  <c r="AB59" i="3"/>
  <c r="AB63" i="3"/>
  <c r="AB67" i="3"/>
  <c r="AB71" i="3"/>
  <c r="AB75" i="3"/>
  <c r="AB79" i="3"/>
  <c r="AB83" i="3"/>
  <c r="AB87" i="3"/>
  <c r="AB91" i="3"/>
  <c r="AB95" i="3"/>
  <c r="AB99" i="3"/>
  <c r="AB103" i="3"/>
  <c r="AB107" i="3"/>
  <c r="AA11" i="3"/>
  <c r="AA15" i="3"/>
  <c r="AA19" i="3"/>
  <c r="AA23" i="3"/>
  <c r="AA27" i="3"/>
  <c r="AA31" i="3"/>
  <c r="AA35" i="3"/>
  <c r="AA39" i="3"/>
  <c r="AA43" i="3"/>
  <c r="AA47" i="3"/>
  <c r="AA51" i="3"/>
  <c r="AA55" i="3"/>
  <c r="AA59" i="3"/>
  <c r="AA63" i="3"/>
  <c r="AA67" i="3"/>
  <c r="AA71" i="3"/>
  <c r="AA75" i="3"/>
  <c r="AA79" i="3"/>
  <c r="AA83" i="3"/>
  <c r="AA87" i="3"/>
  <c r="AA91" i="3"/>
  <c r="AA95" i="3"/>
  <c r="AA99" i="3"/>
  <c r="AA103" i="3"/>
  <c r="AA107" i="3"/>
  <c r="AA105" i="3"/>
  <c r="AA100" i="3"/>
  <c r="AA94" i="3"/>
  <c r="AA89" i="3"/>
  <c r="AA84" i="3"/>
  <c r="AA78" i="3"/>
  <c r="AA73" i="3"/>
  <c r="AA68" i="3"/>
  <c r="AA62" i="3"/>
  <c r="AA57" i="3"/>
  <c r="AS10" i="3" s="1"/>
  <c r="AA52" i="3"/>
  <c r="AA46" i="3"/>
  <c r="AA41" i="3"/>
  <c r="AA36" i="3"/>
  <c r="AA30" i="3"/>
  <c r="AA25" i="3"/>
  <c r="AA20" i="3"/>
  <c r="AA14" i="3"/>
  <c r="AB104" i="3"/>
  <c r="AB98" i="3"/>
  <c r="AB93" i="3"/>
  <c r="AB88" i="3"/>
  <c r="AB82" i="3"/>
  <c r="AB77" i="3"/>
  <c r="AB72" i="3"/>
  <c r="AB66" i="3"/>
  <c r="AB61" i="3"/>
  <c r="AB56" i="3"/>
  <c r="AB50" i="3"/>
  <c r="AB45" i="3"/>
  <c r="AB40" i="3"/>
  <c r="AB34" i="3"/>
  <c r="AB29" i="3"/>
  <c r="AB24" i="3"/>
  <c r="AB18" i="3"/>
  <c r="AB13" i="3"/>
  <c r="Z46" i="3"/>
  <c r="Z38" i="3"/>
  <c r="Z30" i="3"/>
  <c r="AJ30" i="3" s="1"/>
  <c r="Z22" i="3"/>
  <c r="AJ22" i="3" s="1"/>
  <c r="C11" i="8"/>
  <c r="F11" i="8"/>
  <c r="AA104" i="3"/>
  <c r="AA98" i="3"/>
  <c r="AA93" i="3"/>
  <c r="AA88" i="3"/>
  <c r="AA82" i="3"/>
  <c r="AA77" i="3"/>
  <c r="AS11" i="3" s="1"/>
  <c r="AA72" i="3"/>
  <c r="AA66" i="3"/>
  <c r="AA61" i="3"/>
  <c r="AA56" i="3"/>
  <c r="AA50" i="3"/>
  <c r="AA45" i="3"/>
  <c r="AA40" i="3"/>
  <c r="AA34" i="3"/>
  <c r="AA29" i="3"/>
  <c r="AA24" i="3"/>
  <c r="AA18" i="3"/>
  <c r="AA13" i="3"/>
  <c r="AB8" i="3"/>
  <c r="AB102" i="3"/>
  <c r="AB97" i="3"/>
  <c r="AB92" i="3"/>
  <c r="AB86" i="3"/>
  <c r="AB81" i="3"/>
  <c r="AB76" i="3"/>
  <c r="AB70" i="3"/>
  <c r="AB65" i="3"/>
  <c r="AB60" i="3"/>
  <c r="AB54" i="3"/>
  <c r="AB49" i="3"/>
  <c r="AB44" i="3"/>
  <c r="AB38" i="3"/>
  <c r="AB33" i="3"/>
  <c r="AB28" i="3"/>
  <c r="AB22" i="3"/>
  <c r="AB17" i="3"/>
  <c r="AB12" i="3"/>
  <c r="Z40" i="3"/>
  <c r="Z32" i="3"/>
  <c r="P2" i="3"/>
  <c r="F99" i="8"/>
  <c r="J99" i="8"/>
  <c r="I37" i="8"/>
  <c r="T37" i="8" s="1"/>
  <c r="Z39" i="8"/>
  <c r="X37" i="8"/>
  <c r="W43" i="8"/>
  <c r="Y44" i="8"/>
  <c r="Y46" i="8"/>
  <c r="X42" i="8"/>
  <c r="Y38" i="8"/>
  <c r="X39" i="8"/>
  <c r="X40" i="8"/>
  <c r="W41" i="8"/>
  <c r="Y33" i="8"/>
  <c r="W34" i="8"/>
  <c r="Y35" i="8"/>
  <c r="W36" i="8"/>
  <c r="Z32" i="8"/>
  <c r="W28" i="8"/>
  <c r="Y29" i="8"/>
  <c r="W30" i="8"/>
  <c r="Y31" i="8"/>
  <c r="X27" i="8"/>
  <c r="Y23" i="8"/>
  <c r="W24" i="8"/>
  <c r="Y25" i="8"/>
  <c r="W26" i="8"/>
  <c r="Z22" i="8"/>
  <c r="W18" i="8"/>
  <c r="J37" i="8"/>
  <c r="U37" i="8" s="1"/>
  <c r="W37" i="8"/>
  <c r="J39" i="8"/>
  <c r="T39" i="8" s="1"/>
  <c r="V44" i="8"/>
  <c r="Z45" i="8"/>
  <c r="X46" i="8"/>
  <c r="V38" i="8"/>
  <c r="V39" i="8"/>
  <c r="W40" i="8"/>
  <c r="X41" i="8"/>
  <c r="V33" i="8"/>
  <c r="Z34" i="8"/>
  <c r="X35" i="8"/>
  <c r="X36" i="8"/>
  <c r="W32" i="8"/>
  <c r="Z28" i="8"/>
  <c r="X29" i="8"/>
  <c r="X30" i="8"/>
  <c r="V31" i="8"/>
  <c r="V27" i="8"/>
  <c r="X23" i="8"/>
  <c r="X24" i="8"/>
  <c r="V25" i="8"/>
  <c r="Z26" i="8"/>
  <c r="Y22" i="8"/>
  <c r="X18" i="8"/>
  <c r="V19" i="8"/>
  <c r="Z19" i="8"/>
  <c r="X20" i="8"/>
  <c r="V21" i="8"/>
  <c r="Z21" i="8"/>
  <c r="Y17" i="8"/>
  <c r="V13" i="8"/>
  <c r="Z13" i="8"/>
  <c r="X14" i="8"/>
  <c r="V15" i="8"/>
  <c r="Z15" i="8"/>
  <c r="X16" i="8"/>
  <c r="W12" i="8"/>
  <c r="V12" i="8"/>
  <c r="X8" i="8"/>
  <c r="V9" i="8"/>
  <c r="Z9" i="8"/>
  <c r="X10" i="8"/>
  <c r="V11" i="8"/>
  <c r="Z11" i="8"/>
  <c r="Y7" i="8"/>
  <c r="W4" i="8"/>
  <c r="Y5" i="8"/>
  <c r="W6" i="8"/>
  <c r="W3" i="8"/>
  <c r="V3" i="8"/>
  <c r="G8" i="8"/>
  <c r="G9" i="8"/>
  <c r="K9" i="8"/>
  <c r="G10" i="8"/>
  <c r="G11" i="8"/>
  <c r="K11" i="8"/>
  <c r="H12" i="8"/>
  <c r="C13" i="8"/>
  <c r="H13" i="8"/>
  <c r="Z43" i="8"/>
  <c r="Z44" i="8"/>
  <c r="Y45" i="8"/>
  <c r="V42" i="8"/>
  <c r="Z38" i="8"/>
  <c r="Y40" i="8"/>
  <c r="Z41" i="8"/>
  <c r="Z33" i="8"/>
  <c r="Y34" i="8"/>
  <c r="Z35" i="8"/>
  <c r="Z36" i="8"/>
  <c r="V32" i="8"/>
  <c r="Y28" i="8"/>
  <c r="Z29" i="8"/>
  <c r="Z30" i="8"/>
  <c r="Z31" i="8"/>
  <c r="Z27" i="8"/>
  <c r="Z23" i="8"/>
  <c r="Z24" i="8"/>
  <c r="Z25" i="8"/>
  <c r="Y26" i="8"/>
  <c r="V22" i="8"/>
  <c r="Z18" i="8"/>
  <c r="Y19" i="8"/>
  <c r="Y20" i="8"/>
  <c r="X21" i="8"/>
  <c r="X17" i="8"/>
  <c r="W13" i="8"/>
  <c r="V14" i="8"/>
  <c r="Z16" i="8"/>
  <c r="Z12" i="8"/>
  <c r="Y8" i="8"/>
  <c r="X9" i="8"/>
  <c r="W10" i="8"/>
  <c r="W11" i="8"/>
  <c r="W7" i="8"/>
  <c r="V4" i="8"/>
  <c r="Z5" i="8"/>
  <c r="Y6" i="8"/>
  <c r="Z3" i="8"/>
  <c r="V37" i="8"/>
  <c r="W39" i="8"/>
  <c r="Z20" i="8"/>
  <c r="Y21" i="8"/>
  <c r="Z17" i="8"/>
  <c r="X13" i="8"/>
  <c r="W14" i="8"/>
  <c r="W15" i="8"/>
  <c r="V16" i="8"/>
  <c r="Z8" i="8"/>
  <c r="Y9" i="8"/>
  <c r="Y10" i="8"/>
  <c r="X11" i="8"/>
  <c r="X7" i="8"/>
  <c r="X4" i="8"/>
  <c r="V5" i="8"/>
  <c r="Z6" i="8"/>
  <c r="Z37" i="8"/>
  <c r="X44" i="8"/>
  <c r="W42" i="8"/>
  <c r="X38" i="8"/>
  <c r="V41" i="8"/>
  <c r="X33" i="8"/>
  <c r="V36" i="8"/>
  <c r="Y32" i="8"/>
  <c r="V30" i="8"/>
  <c r="X31" i="8"/>
  <c r="V24" i="8"/>
  <c r="X25" i="8"/>
  <c r="V18" i="8"/>
  <c r="X19" i="8"/>
  <c r="V17" i="8"/>
  <c r="Y14" i="8"/>
  <c r="Y15" i="8"/>
  <c r="V8" i="8"/>
  <c r="Y11" i="8"/>
  <c r="Y4" i="8"/>
  <c r="X5" i="8"/>
  <c r="X3" i="8"/>
  <c r="K43" i="8"/>
  <c r="T43" i="8" s="1"/>
  <c r="J42" i="8"/>
  <c r="T42" i="8" s="1"/>
  <c r="I33" i="8"/>
  <c r="T33" i="8" s="1"/>
  <c r="AA33" i="8" s="1"/>
  <c r="H30" i="8"/>
  <c r="T30" i="8" s="1"/>
  <c r="AA30" i="8" s="1"/>
  <c r="G24" i="8"/>
  <c r="T24" i="8" s="1"/>
  <c r="AA24" i="8" s="1"/>
  <c r="G27" i="8"/>
  <c r="T27" i="8" s="1"/>
  <c r="F21" i="8"/>
  <c r="T21" i="8" s="1"/>
  <c r="AA21" i="8" s="1"/>
  <c r="F17" i="8"/>
  <c r="U17" i="8" s="1"/>
  <c r="E13" i="8"/>
  <c r="T13" i="8" s="1"/>
  <c r="AA13" i="8" s="1"/>
  <c r="D10" i="8"/>
  <c r="T10" i="8" s="1"/>
  <c r="AA10" i="8" s="1"/>
  <c r="C4" i="8"/>
  <c r="T4" i="8" s="1"/>
  <c r="C7" i="8"/>
  <c r="T7" i="8" s="1"/>
  <c r="E8" i="8"/>
  <c r="J8" i="8"/>
  <c r="E9" i="8"/>
  <c r="J9" i="8"/>
  <c r="E10" i="8"/>
  <c r="J10" i="8"/>
  <c r="E11" i="8"/>
  <c r="J11" i="8"/>
  <c r="F12" i="8"/>
  <c r="K12" i="8"/>
  <c r="F13" i="8"/>
  <c r="K13" i="8"/>
  <c r="G14" i="8"/>
  <c r="K14" i="8"/>
  <c r="G15" i="8"/>
  <c r="K15" i="8"/>
  <c r="G16" i="8"/>
  <c r="K16" i="8"/>
  <c r="H17" i="8"/>
  <c r="C18" i="8"/>
  <c r="H18" i="8"/>
  <c r="F30" i="1"/>
  <c r="Z40" i="8"/>
  <c r="J40" i="8"/>
  <c r="T40" i="8" s="1"/>
  <c r="V45" i="8"/>
  <c r="W46" i="8"/>
  <c r="V40" i="8"/>
  <c r="V34" i="8"/>
  <c r="W35" i="8"/>
  <c r="V28" i="8"/>
  <c r="W29" i="8"/>
  <c r="W27" i="8"/>
  <c r="W23" i="8"/>
  <c r="V26" i="8"/>
  <c r="X22" i="8"/>
  <c r="V20" i="8"/>
  <c r="Y13" i="8"/>
  <c r="W16" i="8"/>
  <c r="Y12" i="8"/>
  <c r="Z10" i="8"/>
  <c r="Z7" i="8"/>
  <c r="V6" i="8"/>
  <c r="K44" i="8"/>
  <c r="T44" i="8" s="1"/>
  <c r="K47" i="8"/>
  <c r="T47" i="8" s="1"/>
  <c r="J38" i="8"/>
  <c r="T38" i="8" s="1"/>
  <c r="I36" i="8"/>
  <c r="T36" i="8" s="1"/>
  <c r="AA36" i="8" s="1"/>
  <c r="H31" i="8"/>
  <c r="T31" i="8" s="1"/>
  <c r="AA31" i="8" s="1"/>
  <c r="H27" i="8"/>
  <c r="U27" i="8" s="1"/>
  <c r="G23" i="8"/>
  <c r="T23" i="8" s="1"/>
  <c r="AA23" i="8" s="1"/>
  <c r="F20" i="8"/>
  <c r="T20" i="8" s="1"/>
  <c r="AA20" i="8" s="1"/>
  <c r="E14" i="8"/>
  <c r="T14" i="8" s="1"/>
  <c r="AA14" i="8" s="1"/>
  <c r="E17" i="8"/>
  <c r="T17" i="8" s="1"/>
  <c r="D11" i="8"/>
  <c r="T11" i="8" s="1"/>
  <c r="AA11" i="8" s="1"/>
  <c r="D7" i="8"/>
  <c r="U7" i="8" s="1"/>
  <c r="C3" i="8"/>
  <c r="T3" i="8" s="1"/>
  <c r="H8" i="8"/>
  <c r="H9" i="8"/>
  <c r="H10" i="8"/>
  <c r="H11" i="8"/>
  <c r="I12" i="8"/>
  <c r="I13" i="8"/>
  <c r="D14" i="8"/>
  <c r="I14" i="8"/>
  <c r="D15" i="8"/>
  <c r="I15" i="8"/>
  <c r="D16" i="8"/>
  <c r="I16" i="8"/>
  <c r="D17" i="8"/>
  <c r="J17" i="8"/>
  <c r="E18" i="8"/>
  <c r="J18" i="8"/>
  <c r="E19" i="8"/>
  <c r="J19" i="8"/>
  <c r="E20" i="8"/>
  <c r="J20" i="8"/>
  <c r="E21" i="8"/>
  <c r="J21" i="8"/>
  <c r="E22" i="8"/>
  <c r="K22" i="8"/>
  <c r="F23" i="8"/>
  <c r="K23" i="8"/>
  <c r="F24" i="8"/>
  <c r="K24" i="8"/>
  <c r="F25" i="8"/>
  <c r="K25" i="8"/>
  <c r="F26" i="8"/>
  <c r="K26" i="8"/>
  <c r="F27" i="8"/>
  <c r="C28" i="8"/>
  <c r="G28" i="8"/>
  <c r="C29" i="8"/>
  <c r="G29" i="8"/>
  <c r="C30" i="8"/>
  <c r="G30" i="8"/>
  <c r="C31" i="8"/>
  <c r="G31" i="8"/>
  <c r="C32" i="8"/>
  <c r="G32" i="8"/>
  <c r="D33" i="8"/>
  <c r="H33" i="8"/>
  <c r="K69" i="1" l="1"/>
  <c r="P69" i="1" s="1"/>
  <c r="G69" i="1"/>
  <c r="L69" i="1" s="1"/>
  <c r="I90" i="1"/>
  <c r="N90" i="1" s="1"/>
  <c r="J64" i="1"/>
  <c r="O64" i="1" s="1"/>
  <c r="J77" i="1"/>
  <c r="O77" i="1" s="1"/>
  <c r="AA22" i="8"/>
  <c r="H103" i="1"/>
  <c r="M103" i="1" s="1"/>
  <c r="AJ38" i="3"/>
  <c r="AJ33" i="3"/>
  <c r="AJ40" i="3"/>
  <c r="AJ37" i="3"/>
  <c r="AJ19" i="3"/>
  <c r="AJ34" i="3"/>
  <c r="AJ36" i="3"/>
  <c r="H116" i="1"/>
  <c r="M116" i="1" s="1"/>
  <c r="G116" i="1"/>
  <c r="L116" i="1" s="1"/>
  <c r="G103" i="1"/>
  <c r="L103" i="1" s="1"/>
  <c r="AJ27" i="3"/>
  <c r="AJ43" i="3"/>
  <c r="J129" i="1"/>
  <c r="O129" i="1" s="1"/>
  <c r="H112" i="1"/>
  <c r="M112" i="1" s="1"/>
  <c r="J116" i="1"/>
  <c r="O116" i="1" s="1"/>
  <c r="AJ32" i="3"/>
  <c r="AJ46" i="3"/>
  <c r="AJ41" i="3"/>
  <c r="AJ31" i="3"/>
  <c r="AJ21" i="3"/>
  <c r="AJ18" i="3"/>
  <c r="AJ39" i="3"/>
  <c r="K103" i="1"/>
  <c r="P103" i="1" s="1"/>
  <c r="J112" i="1"/>
  <c r="O112" i="1" s="1"/>
  <c r="J103" i="1"/>
  <c r="O103" i="1" s="1"/>
  <c r="H129" i="1"/>
  <c r="M129" i="1" s="1"/>
  <c r="J95" i="1"/>
  <c r="O95" i="1" s="1"/>
  <c r="I112" i="1"/>
  <c r="N112" i="1" s="1"/>
  <c r="H95" i="1"/>
  <c r="M95" i="1" s="1"/>
  <c r="K90" i="1"/>
  <c r="P90" i="1" s="1"/>
  <c r="I129" i="1"/>
  <c r="N129" i="1" s="1"/>
  <c r="K129" i="1"/>
  <c r="P129" i="1" s="1"/>
  <c r="H90" i="1"/>
  <c r="M90" i="1" s="1"/>
  <c r="G112" i="1"/>
  <c r="L112" i="1" s="1"/>
  <c r="K116" i="1"/>
  <c r="P116" i="1" s="1"/>
  <c r="I69" i="1"/>
  <c r="N69" i="1" s="1"/>
  <c r="J69" i="1"/>
  <c r="O69" i="1" s="1"/>
  <c r="AD37" i="8"/>
  <c r="H124" i="1"/>
  <c r="M124" i="1" s="1"/>
  <c r="H99" i="1"/>
  <c r="M99" i="1" s="1"/>
  <c r="J90" i="1"/>
  <c r="O90" i="1" s="1"/>
  <c r="J124" i="1"/>
  <c r="O124" i="1" s="1"/>
  <c r="J61" i="1"/>
  <c r="O61" i="1" s="1"/>
  <c r="K95" i="1"/>
  <c r="P95" i="1" s="1"/>
  <c r="I95" i="1"/>
  <c r="N95" i="1" s="1"/>
  <c r="H77" i="1"/>
  <c r="M77" i="1" s="1"/>
  <c r="K77" i="1"/>
  <c r="P77" i="1" s="1"/>
  <c r="G77" i="1"/>
  <c r="L77" i="1" s="1"/>
  <c r="H123" i="1"/>
  <c r="M123" i="1" s="1"/>
  <c r="K64" i="1"/>
  <c r="P64" i="1" s="1"/>
  <c r="I124" i="1"/>
  <c r="N124" i="1" s="1"/>
  <c r="G115" i="1"/>
  <c r="L115" i="1" s="1"/>
  <c r="I115" i="1"/>
  <c r="N115" i="1" s="1"/>
  <c r="J115" i="1"/>
  <c r="O115" i="1" s="1"/>
  <c r="K115" i="1"/>
  <c r="P115" i="1" s="1"/>
  <c r="I123" i="1"/>
  <c r="N123" i="1" s="1"/>
  <c r="I64" i="1"/>
  <c r="N64" i="1" s="1"/>
  <c r="K123" i="1"/>
  <c r="P123" i="1" s="1"/>
  <c r="K124" i="1"/>
  <c r="P124" i="1" s="1"/>
  <c r="G64" i="1"/>
  <c r="L64" i="1" s="1"/>
  <c r="J123" i="1"/>
  <c r="O123" i="1" s="1"/>
  <c r="J83" i="1"/>
  <c r="O83" i="1" s="1"/>
  <c r="H83" i="1"/>
  <c r="M83" i="1" s="1"/>
  <c r="K83" i="1"/>
  <c r="P83" i="1" s="1"/>
  <c r="G83" i="1"/>
  <c r="L83" i="1" s="1"/>
  <c r="I83" i="1"/>
  <c r="N83" i="1" s="1"/>
  <c r="H86" i="1"/>
  <c r="M86" i="1" s="1"/>
  <c r="AA12" i="8"/>
  <c r="AA32" i="8"/>
  <c r="AA27" i="8"/>
  <c r="AA7" i="8"/>
  <c r="AA17" i="8"/>
  <c r="G82" i="1"/>
  <c r="L82" i="1" s="1"/>
  <c r="H82" i="1"/>
  <c r="M82" i="1" s="1"/>
  <c r="AE28" i="3"/>
  <c r="G55" i="1"/>
  <c r="L55" i="1" s="1"/>
  <c r="Z9" i="3"/>
  <c r="Z8" i="3"/>
  <c r="Z11" i="3"/>
  <c r="Z10" i="3"/>
  <c r="I121" i="1"/>
  <c r="N121" i="1" s="1"/>
  <c r="K121" i="1"/>
  <c r="P121" i="1" s="1"/>
  <c r="G121" i="1"/>
  <c r="L121" i="1" s="1"/>
  <c r="J87" i="1"/>
  <c r="O87" i="1" s="1"/>
  <c r="H87" i="1"/>
  <c r="M87" i="1" s="1"/>
  <c r="K87" i="1"/>
  <c r="P87" i="1" s="1"/>
  <c r="J121" i="1"/>
  <c r="O121" i="1" s="1"/>
  <c r="I87" i="1"/>
  <c r="N87" i="1" s="1"/>
  <c r="I43" i="1"/>
  <c r="N43" i="1" s="1"/>
  <c r="K43" i="1"/>
  <c r="P43" i="1" s="1"/>
  <c r="H43" i="1"/>
  <c r="M43" i="1" s="1"/>
  <c r="G43" i="1"/>
  <c r="L43" i="1" s="1"/>
  <c r="J43" i="1"/>
  <c r="O43" i="1" s="1"/>
  <c r="Z45" i="3"/>
  <c r="I14" i="1"/>
  <c r="K13" i="1"/>
  <c r="F57" i="3" s="1"/>
  <c r="K45" i="8"/>
  <c r="T45" i="8" s="1"/>
  <c r="K101" i="8"/>
  <c r="L13" i="1"/>
  <c r="K28" i="8"/>
  <c r="K39" i="8"/>
  <c r="K79" i="8"/>
  <c r="K102" i="8"/>
  <c r="K6" i="8"/>
  <c r="K91" i="8"/>
  <c r="K42" i="8"/>
  <c r="U42" i="8" s="1"/>
  <c r="K54" i="8"/>
  <c r="K31" i="8"/>
  <c r="K58" i="8"/>
  <c r="K78" i="8"/>
  <c r="K66" i="8"/>
  <c r="K62" i="8"/>
  <c r="K52" i="8"/>
  <c r="K94" i="8"/>
  <c r="K92" i="8"/>
  <c r="K63" i="8"/>
  <c r="K34" i="8"/>
  <c r="K7" i="8"/>
  <c r="K59" i="8"/>
  <c r="D57" i="3"/>
  <c r="W45" i="8"/>
  <c r="X43" i="8"/>
  <c r="Y42" i="8"/>
  <c r="K8" i="8"/>
  <c r="K10" i="8"/>
  <c r="Z46" i="8"/>
  <c r="V43" i="8"/>
  <c r="K50" i="8"/>
  <c r="G81" i="1"/>
  <c r="L81" i="1" s="1"/>
  <c r="J81" i="1"/>
  <c r="O81" i="1" s="1"/>
  <c r="K81" i="1"/>
  <c r="P81" i="1" s="1"/>
  <c r="K86" i="1"/>
  <c r="P86" i="1" s="1"/>
  <c r="I86" i="1"/>
  <c r="N86" i="1" s="1"/>
  <c r="J86" i="1"/>
  <c r="O86" i="1" s="1"/>
  <c r="Z26" i="3"/>
  <c r="AJ26" i="3" s="1"/>
  <c r="Z23" i="3"/>
  <c r="Z24" i="3"/>
  <c r="H81" i="1"/>
  <c r="M81" i="1" s="1"/>
  <c r="I55" i="1"/>
  <c r="N55" i="1" s="1"/>
  <c r="K55" i="1"/>
  <c r="P55" i="1" s="1"/>
  <c r="H55" i="1"/>
  <c r="M55" i="1" s="1"/>
  <c r="H92" i="1"/>
  <c r="M92" i="1" s="1"/>
  <c r="J92" i="1"/>
  <c r="O92" i="1" s="1"/>
  <c r="I92" i="1"/>
  <c r="N92" i="1" s="1"/>
  <c r="G92" i="1"/>
  <c r="L92" i="1" s="1"/>
  <c r="K92" i="1"/>
  <c r="P92" i="1" s="1"/>
  <c r="K76" i="1"/>
  <c r="P76" i="1" s="1"/>
  <c r="G76" i="1"/>
  <c r="L76" i="1" s="1"/>
  <c r="I76" i="1"/>
  <c r="N76" i="1" s="1"/>
  <c r="H76" i="1"/>
  <c r="M76" i="1" s="1"/>
  <c r="J76" i="1"/>
  <c r="O76" i="1" s="1"/>
  <c r="K61" i="1"/>
  <c r="P61" i="1" s="1"/>
  <c r="I61" i="1"/>
  <c r="N61" i="1" s="1"/>
  <c r="H61" i="1"/>
  <c r="M61" i="1" s="1"/>
  <c r="G99" i="1"/>
  <c r="L99" i="1" s="1"/>
  <c r="J99" i="1"/>
  <c r="O99" i="1" s="1"/>
  <c r="I99" i="1"/>
  <c r="N99" i="1" s="1"/>
  <c r="I82" i="1"/>
  <c r="N82" i="1" s="1"/>
  <c r="J82" i="1"/>
  <c r="O82" i="1" s="1"/>
  <c r="G62" i="1"/>
  <c r="L62" i="1" s="1"/>
  <c r="H62" i="1"/>
  <c r="M62" i="1" s="1"/>
  <c r="K62" i="1"/>
  <c r="P62" i="1" s="1"/>
  <c r="J62" i="1"/>
  <c r="O62" i="1" s="1"/>
  <c r="I62" i="1"/>
  <c r="N62" i="1" s="1"/>
  <c r="J34" i="1"/>
  <c r="O34" i="1" s="1"/>
  <c r="I34" i="1"/>
  <c r="N34" i="1" s="1"/>
  <c r="H34" i="1"/>
  <c r="M34" i="1" s="1"/>
  <c r="K34" i="1"/>
  <c r="P34" i="1" s="1"/>
  <c r="G34" i="1"/>
  <c r="L34" i="1" s="1"/>
  <c r="K94" i="1"/>
  <c r="P94" i="1" s="1"/>
  <c r="G94" i="1"/>
  <c r="L94" i="1" s="1"/>
  <c r="J94" i="1"/>
  <c r="O94" i="1" s="1"/>
  <c r="I94" i="1"/>
  <c r="N94" i="1" s="1"/>
  <c r="H94" i="1"/>
  <c r="M94" i="1" s="1"/>
  <c r="K60" i="1"/>
  <c r="P60" i="1" s="1"/>
  <c r="H60" i="1"/>
  <c r="M60" i="1" s="1"/>
  <c r="I60" i="1"/>
  <c r="N60" i="1" s="1"/>
  <c r="J60" i="1"/>
  <c r="O60" i="1" s="1"/>
  <c r="G60" i="1"/>
  <c r="L60" i="1" s="1"/>
  <c r="H79" i="1"/>
  <c r="M79" i="1" s="1"/>
  <c r="K79" i="1"/>
  <c r="P79" i="1" s="1"/>
  <c r="J79" i="1"/>
  <c r="O79" i="1" s="1"/>
  <c r="I79" i="1"/>
  <c r="N79" i="1" s="1"/>
  <c r="G79" i="1"/>
  <c r="L79" i="1" s="1"/>
  <c r="I47" i="1"/>
  <c r="N47" i="1" s="1"/>
  <c r="J47" i="1"/>
  <c r="O47" i="1" s="1"/>
  <c r="K47" i="1"/>
  <c r="P47" i="1" s="1"/>
  <c r="H47" i="1"/>
  <c r="M47" i="1" s="1"/>
  <c r="G47" i="1"/>
  <c r="L47" i="1" s="1"/>
  <c r="H67" i="1"/>
  <c r="M67" i="1" s="1"/>
  <c r="J67" i="1"/>
  <c r="O67" i="1" s="1"/>
  <c r="I67" i="1"/>
  <c r="N67" i="1" s="1"/>
  <c r="K67" i="1"/>
  <c r="P67" i="1" s="1"/>
  <c r="G67" i="1"/>
  <c r="L67" i="1" s="1"/>
  <c r="J101" i="1"/>
  <c r="O101" i="1" s="1"/>
  <c r="G101" i="1"/>
  <c r="L101" i="1" s="1"/>
  <c r="I101" i="1"/>
  <c r="N101" i="1" s="1"/>
  <c r="H101" i="1"/>
  <c r="M101" i="1" s="1"/>
  <c r="K101" i="1"/>
  <c r="P101" i="1" s="1"/>
  <c r="Z12" i="3"/>
  <c r="Z14" i="3"/>
  <c r="Z13" i="3"/>
  <c r="AJ13" i="3" s="1"/>
  <c r="Z16" i="3"/>
  <c r="AI44" i="3"/>
  <c r="Z15" i="3"/>
  <c r="G40" i="1"/>
  <c r="L40" i="1" s="1"/>
  <c r="H40" i="1"/>
  <c r="M40" i="1" s="1"/>
  <c r="K40" i="1"/>
  <c r="P40" i="1" s="1"/>
  <c r="J40" i="1"/>
  <c r="O40" i="1" s="1"/>
  <c r="I40" i="1"/>
  <c r="N40" i="1" s="1"/>
  <c r="J33" i="1"/>
  <c r="O33" i="1" s="1"/>
  <c r="G33" i="1"/>
  <c r="L33" i="1" s="1"/>
  <c r="I33" i="1"/>
  <c r="N33" i="1" s="1"/>
  <c r="H33" i="1"/>
  <c r="M33" i="1" s="1"/>
  <c r="K33" i="1"/>
  <c r="P33" i="1" s="1"/>
  <c r="G32" i="1"/>
  <c r="L32" i="1" s="1"/>
  <c r="H32" i="1"/>
  <c r="M32" i="1" s="1"/>
  <c r="K32" i="1"/>
  <c r="P32" i="1" s="1"/>
  <c r="J32" i="1"/>
  <c r="O32" i="1" s="1"/>
  <c r="I32" i="1"/>
  <c r="N32" i="1" s="1"/>
  <c r="K72" i="1"/>
  <c r="P72" i="1" s="1"/>
  <c r="H72" i="1"/>
  <c r="M72" i="1" s="1"/>
  <c r="I72" i="1"/>
  <c r="N72" i="1" s="1"/>
  <c r="G72" i="1"/>
  <c r="L72" i="1" s="1"/>
  <c r="J72" i="1"/>
  <c r="O72" i="1" s="1"/>
  <c r="H107" i="1"/>
  <c r="M107" i="1" s="1"/>
  <c r="I107" i="1"/>
  <c r="N107" i="1" s="1"/>
  <c r="K107" i="1"/>
  <c r="P107" i="1" s="1"/>
  <c r="J107" i="1"/>
  <c r="O107" i="1" s="1"/>
  <c r="G107" i="1"/>
  <c r="L107" i="1" s="1"/>
  <c r="AA40" i="8"/>
  <c r="AI36" i="3"/>
  <c r="AE37" i="8"/>
  <c r="AB37" i="8"/>
  <c r="G31" i="1"/>
  <c r="L31" i="1" s="1"/>
  <c r="I31" i="1"/>
  <c r="N31" i="1" s="1"/>
  <c r="J31" i="1"/>
  <c r="O31" i="1" s="1"/>
  <c r="K31" i="1"/>
  <c r="P31" i="1" s="1"/>
  <c r="H31" i="1"/>
  <c r="M31" i="1" s="1"/>
  <c r="K128" i="1"/>
  <c r="P128" i="1" s="1"/>
  <c r="G128" i="1"/>
  <c r="L128" i="1" s="1"/>
  <c r="H128" i="1"/>
  <c r="M128" i="1" s="1"/>
  <c r="J128" i="1"/>
  <c r="O128" i="1" s="1"/>
  <c r="I128" i="1"/>
  <c r="N128" i="1" s="1"/>
  <c r="K70" i="1"/>
  <c r="P70" i="1" s="1"/>
  <c r="G70" i="1"/>
  <c r="L70" i="1" s="1"/>
  <c r="J70" i="1"/>
  <c r="O70" i="1" s="1"/>
  <c r="I70" i="1"/>
  <c r="N70" i="1" s="1"/>
  <c r="H70" i="1"/>
  <c r="M70" i="1" s="1"/>
  <c r="J117" i="1"/>
  <c r="O117" i="1" s="1"/>
  <c r="I117" i="1"/>
  <c r="N117" i="1" s="1"/>
  <c r="K117" i="1"/>
  <c r="P117" i="1" s="1"/>
  <c r="H117" i="1"/>
  <c r="M117" i="1" s="1"/>
  <c r="G117" i="1"/>
  <c r="L117" i="1" s="1"/>
  <c r="I106" i="1"/>
  <c r="N106" i="1" s="1"/>
  <c r="H106" i="1"/>
  <c r="M106" i="1" s="1"/>
  <c r="K106" i="1"/>
  <c r="P106" i="1" s="1"/>
  <c r="J106" i="1"/>
  <c r="O106" i="1" s="1"/>
  <c r="G106" i="1"/>
  <c r="L106" i="1" s="1"/>
  <c r="H89" i="1"/>
  <c r="M89" i="1" s="1"/>
  <c r="K89" i="1"/>
  <c r="P89" i="1" s="1"/>
  <c r="J89" i="1"/>
  <c r="O89" i="1" s="1"/>
  <c r="I89" i="1"/>
  <c r="N89" i="1" s="1"/>
  <c r="G89" i="1"/>
  <c r="L89" i="1" s="1"/>
  <c r="I80" i="1"/>
  <c r="N80" i="1" s="1"/>
  <c r="J80" i="1"/>
  <c r="O80" i="1" s="1"/>
  <c r="H80" i="1"/>
  <c r="M80" i="1" s="1"/>
  <c r="K80" i="1"/>
  <c r="P80" i="1" s="1"/>
  <c r="G80" i="1"/>
  <c r="L80" i="1" s="1"/>
  <c r="AM20" i="3"/>
  <c r="AH36" i="3"/>
  <c r="I84" i="1"/>
  <c r="N84" i="1" s="1"/>
  <c r="K84" i="1"/>
  <c r="P84" i="1" s="1"/>
  <c r="G84" i="1"/>
  <c r="L84" i="1" s="1"/>
  <c r="J84" i="1"/>
  <c r="O84" i="1" s="1"/>
  <c r="H84" i="1"/>
  <c r="M84" i="1" s="1"/>
  <c r="K100" i="1"/>
  <c r="P100" i="1" s="1"/>
  <c r="G100" i="1"/>
  <c r="L100" i="1" s="1"/>
  <c r="H100" i="1"/>
  <c r="M100" i="1" s="1"/>
  <c r="J100" i="1"/>
  <c r="O100" i="1" s="1"/>
  <c r="I100" i="1"/>
  <c r="N100" i="1" s="1"/>
  <c r="K96" i="1"/>
  <c r="P96" i="1" s="1"/>
  <c r="G96" i="1"/>
  <c r="L96" i="1" s="1"/>
  <c r="J96" i="1"/>
  <c r="O96" i="1" s="1"/>
  <c r="I96" i="1"/>
  <c r="N96" i="1" s="1"/>
  <c r="H96" i="1"/>
  <c r="M96" i="1" s="1"/>
  <c r="K104" i="1"/>
  <c r="P104" i="1" s="1"/>
  <c r="G104" i="1"/>
  <c r="L104" i="1" s="1"/>
  <c r="H104" i="1"/>
  <c r="M104" i="1" s="1"/>
  <c r="J104" i="1"/>
  <c r="O104" i="1" s="1"/>
  <c r="I104" i="1"/>
  <c r="N104" i="1" s="1"/>
  <c r="I98" i="1"/>
  <c r="N98" i="1" s="1"/>
  <c r="K98" i="1"/>
  <c r="P98" i="1" s="1"/>
  <c r="J98" i="1"/>
  <c r="O98" i="1" s="1"/>
  <c r="H98" i="1"/>
  <c r="M98" i="1" s="1"/>
  <c r="G98" i="1"/>
  <c r="L98" i="1" s="1"/>
  <c r="G56" i="1"/>
  <c r="L56" i="1" s="1"/>
  <c r="I56" i="1"/>
  <c r="N56" i="1" s="1"/>
  <c r="H56" i="1"/>
  <c r="M56" i="1" s="1"/>
  <c r="K56" i="1"/>
  <c r="P56" i="1" s="1"/>
  <c r="J56" i="1"/>
  <c r="O56" i="1" s="1"/>
  <c r="K52" i="1"/>
  <c r="P52" i="1" s="1"/>
  <c r="H52" i="1"/>
  <c r="M52" i="1" s="1"/>
  <c r="J52" i="1"/>
  <c r="O52" i="1" s="1"/>
  <c r="G52" i="1"/>
  <c r="L52" i="1" s="1"/>
  <c r="I52" i="1"/>
  <c r="N52" i="1" s="1"/>
  <c r="AP36" i="3"/>
  <c r="AI20" i="3"/>
  <c r="AI28" i="3"/>
  <c r="AE44" i="3"/>
  <c r="AP32" i="3"/>
  <c r="AI32" i="3"/>
  <c r="AH32" i="3"/>
  <c r="AE32" i="3"/>
  <c r="AP38" i="3"/>
  <c r="AH38" i="3"/>
  <c r="AE38" i="3"/>
  <c r="AI38" i="3"/>
  <c r="AP29" i="3"/>
  <c r="AH29" i="3"/>
  <c r="AE29" i="3"/>
  <c r="AI29" i="3"/>
  <c r="AH21" i="3"/>
  <c r="AE21" i="3"/>
  <c r="AP21" i="3"/>
  <c r="AI21" i="3"/>
  <c r="G30" i="1"/>
  <c r="L30" i="1" s="1"/>
  <c r="K30" i="1"/>
  <c r="P30" i="1" s="1"/>
  <c r="X30" i="1" s="1"/>
  <c r="I30" i="1"/>
  <c r="N30" i="1" s="1"/>
  <c r="V30" i="1" s="1"/>
  <c r="J30" i="1"/>
  <c r="O30" i="1" s="1"/>
  <c r="W30" i="1" s="1"/>
  <c r="H30" i="1"/>
  <c r="M30" i="1" s="1"/>
  <c r="U30" i="1" s="1"/>
  <c r="AP40" i="3"/>
  <c r="AI40" i="3"/>
  <c r="AH40" i="3"/>
  <c r="AE40" i="3"/>
  <c r="AH46" i="3"/>
  <c r="AP46" i="3"/>
  <c r="AI46" i="3"/>
  <c r="AE46" i="3"/>
  <c r="AP43" i="3"/>
  <c r="AH43" i="3"/>
  <c r="AE43" i="3"/>
  <c r="AI43" i="3"/>
  <c r="AI27" i="3"/>
  <c r="AP27" i="3"/>
  <c r="AH27" i="3"/>
  <c r="AE27" i="3"/>
  <c r="AP34" i="3"/>
  <c r="AI34" i="3"/>
  <c r="AH34" i="3"/>
  <c r="AE34" i="3"/>
  <c r="AE36" i="3"/>
  <c r="U40" i="8"/>
  <c r="AP20" i="3"/>
  <c r="AP30" i="3"/>
  <c r="AH30" i="3"/>
  <c r="AE30" i="3"/>
  <c r="AI30" i="3"/>
  <c r="AI39" i="3"/>
  <c r="AH39" i="3"/>
  <c r="AP39" i="3"/>
  <c r="AE39" i="3"/>
  <c r="AP31" i="3"/>
  <c r="AH31" i="3"/>
  <c r="AE31" i="3"/>
  <c r="AI31" i="3"/>
  <c r="AP28" i="3"/>
  <c r="AI18" i="3"/>
  <c r="AH18" i="3"/>
  <c r="AE18" i="3"/>
  <c r="AP18" i="3"/>
  <c r="AE20" i="3"/>
  <c r="AH28" i="3"/>
  <c r="AH20" i="3"/>
  <c r="AI37" i="3"/>
  <c r="AW9" i="3" s="1"/>
  <c r="AH37" i="3"/>
  <c r="AV9" i="3" s="1"/>
  <c r="AR9" i="3"/>
  <c r="AP37" i="3"/>
  <c r="AE37" i="3"/>
  <c r="AH44" i="3"/>
  <c r="AC37" i="8"/>
  <c r="AP35" i="3"/>
  <c r="AI35" i="3"/>
  <c r="AH35" i="3"/>
  <c r="AE35" i="3"/>
  <c r="AP19" i="3"/>
  <c r="AI19" i="3"/>
  <c r="AH19" i="3"/>
  <c r="AE19" i="3"/>
  <c r="AA37" i="8"/>
  <c r="AI22" i="3"/>
  <c r="AH22" i="3"/>
  <c r="AE22" i="3"/>
  <c r="AP22" i="3"/>
  <c r="AI41" i="3"/>
  <c r="AP41" i="3"/>
  <c r="AE41" i="3"/>
  <c r="AH41" i="3"/>
  <c r="AP33" i="3"/>
  <c r="AI33" i="3"/>
  <c r="AH33" i="3"/>
  <c r="AE33" i="3"/>
  <c r="AP25" i="3"/>
  <c r="AH25" i="3"/>
  <c r="AE25" i="3"/>
  <c r="AI25" i="3"/>
  <c r="AH17" i="3"/>
  <c r="AV8" i="3" s="1"/>
  <c r="AE17" i="3"/>
  <c r="AP17" i="3"/>
  <c r="AR8" i="3"/>
  <c r="AI17" i="3"/>
  <c r="AW8" i="3" s="1"/>
  <c r="AP44" i="3"/>
  <c r="AH42" i="3"/>
  <c r="AE42" i="3"/>
  <c r="AI42" i="3"/>
  <c r="AP42" i="3"/>
  <c r="AE45" i="3" l="1"/>
  <c r="AJ45" i="3"/>
  <c r="AK45" i="3" s="1"/>
  <c r="AP8" i="3"/>
  <c r="AJ8" i="3"/>
  <c r="AO8" i="3" s="1"/>
  <c r="AH12" i="3"/>
  <c r="AJ12" i="3"/>
  <c r="AI23" i="3"/>
  <c r="AJ23" i="3"/>
  <c r="AM23" i="3" s="1"/>
  <c r="AP10" i="3"/>
  <c r="AJ10" i="3"/>
  <c r="AH16" i="3"/>
  <c r="AJ16" i="3"/>
  <c r="AK16" i="3" s="1"/>
  <c r="AP11" i="3"/>
  <c r="AJ11" i="3"/>
  <c r="AN11" i="3" s="1"/>
  <c r="AE15" i="3"/>
  <c r="AJ15" i="3"/>
  <c r="AM15" i="3" s="1"/>
  <c r="AP14" i="3"/>
  <c r="AJ14" i="3"/>
  <c r="AO14" i="3" s="1"/>
  <c r="AP24" i="3"/>
  <c r="AJ24" i="3"/>
  <c r="AK24" i="3" s="1"/>
  <c r="AE9" i="3"/>
  <c r="AJ9" i="3"/>
  <c r="AK9" i="3" s="1"/>
  <c r="AE8" i="3"/>
  <c r="AP13" i="3"/>
  <c r="AH8" i="3"/>
  <c r="AI13" i="3"/>
  <c r="AH45" i="3"/>
  <c r="AL20" i="3"/>
  <c r="AH10" i="3"/>
  <c r="AL10" i="3"/>
  <c r="AH11" i="3"/>
  <c r="AE13" i="3"/>
  <c r="AO20" i="3"/>
  <c r="AE16" i="3"/>
  <c r="AE24" i="3"/>
  <c r="AK20" i="3"/>
  <c r="AI24" i="3"/>
  <c r="AP9" i="3"/>
  <c r="AP15" i="3"/>
  <c r="AI9" i="3"/>
  <c r="AH15" i="3"/>
  <c r="AP23" i="3"/>
  <c r="AH9" i="3"/>
  <c r="AH14" i="3"/>
  <c r="AI15" i="3"/>
  <c r="AE11" i="3"/>
  <c r="AE26" i="3"/>
  <c r="AI8" i="3"/>
  <c r="AH13" i="3"/>
  <c r="AI11" i="3"/>
  <c r="AH26" i="3"/>
  <c r="AI45" i="3"/>
  <c r="AN20" i="3"/>
  <c r="AP12" i="3"/>
  <c r="AI16" i="3"/>
  <c r="AH23" i="3"/>
  <c r="AI26" i="3"/>
  <c r="AP26" i="3"/>
  <c r="AE10" i="3"/>
  <c r="AE23" i="3"/>
  <c r="AI10" i="3"/>
  <c r="AE14" i="3"/>
  <c r="AH24" i="3"/>
  <c r="Z47" i="3"/>
  <c r="AJ47" i="3" s="1"/>
  <c r="Z51" i="3"/>
  <c r="AJ51" i="3" s="1"/>
  <c r="Z48" i="3"/>
  <c r="AJ48" i="3" s="1"/>
  <c r="Z50" i="3"/>
  <c r="AJ50" i="3" s="1"/>
  <c r="Z49" i="3"/>
  <c r="AJ49" i="3" s="1"/>
  <c r="AP45" i="3"/>
  <c r="AI14" i="3"/>
  <c r="I15" i="1"/>
  <c r="L13" i="8"/>
  <c r="L55" i="8"/>
  <c r="L100" i="8"/>
  <c r="L35" i="8"/>
  <c r="L46" i="8"/>
  <c r="L71" i="8"/>
  <c r="L84" i="8"/>
  <c r="L92" i="8"/>
  <c r="W47" i="8"/>
  <c r="L70" i="8"/>
  <c r="L77" i="8"/>
  <c r="L99" i="8"/>
  <c r="L14" i="1"/>
  <c r="L75" i="8"/>
  <c r="L97" i="8"/>
  <c r="L76" i="8"/>
  <c r="L95" i="8"/>
  <c r="L34" i="8"/>
  <c r="L25" i="8"/>
  <c r="L94" i="8"/>
  <c r="L42" i="8"/>
  <c r="L43" i="8"/>
  <c r="L65" i="8"/>
  <c r="L89" i="8"/>
  <c r="L8" i="8"/>
  <c r="L9" i="8"/>
  <c r="L52" i="8"/>
  <c r="T52" i="8" s="1"/>
  <c r="L37" i="8"/>
  <c r="L41" i="8"/>
  <c r="L59" i="8"/>
  <c r="L78" i="8"/>
  <c r="L82" i="8"/>
  <c r="V48" i="8"/>
  <c r="L45" i="8"/>
  <c r="L64" i="8"/>
  <c r="L69" i="8"/>
  <c r="L85" i="8"/>
  <c r="L96" i="8"/>
  <c r="L23" i="8"/>
  <c r="L4" i="8"/>
  <c r="L24" i="8"/>
  <c r="W51" i="8"/>
  <c r="X49" i="8"/>
  <c r="L12" i="8"/>
  <c r="Z48" i="8"/>
  <c r="V47" i="8"/>
  <c r="L33" i="8"/>
  <c r="Y49" i="8"/>
  <c r="L21" i="8"/>
  <c r="L22" i="8"/>
  <c r="L61" i="8"/>
  <c r="L81" i="8"/>
  <c r="L48" i="8"/>
  <c r="T48" i="8" s="1"/>
  <c r="L57" i="8"/>
  <c r="L68" i="8"/>
  <c r="L87" i="8"/>
  <c r="W50" i="8"/>
  <c r="L54" i="8"/>
  <c r="L72" i="8"/>
  <c r="L53" i="8"/>
  <c r="Y50" i="8"/>
  <c r="Z51" i="8"/>
  <c r="Z49" i="8"/>
  <c r="L47" i="8"/>
  <c r="U47" i="8" s="1"/>
  <c r="L17" i="8"/>
  <c r="V51" i="8"/>
  <c r="L28" i="8"/>
  <c r="L36" i="8"/>
  <c r="L90" i="8"/>
  <c r="L49" i="8"/>
  <c r="T49" i="8" s="1"/>
  <c r="L39" i="8"/>
  <c r="L5" i="8"/>
  <c r="L66" i="8"/>
  <c r="L93" i="8"/>
  <c r="L101" i="8"/>
  <c r="X48" i="8"/>
  <c r="L30" i="8"/>
  <c r="L11" i="8"/>
  <c r="L20" i="8"/>
  <c r="L60" i="8"/>
  <c r="L80" i="8"/>
  <c r="L56" i="8"/>
  <c r="L83" i="8"/>
  <c r="L44" i="8"/>
  <c r="L14" i="8"/>
  <c r="L51" i="8"/>
  <c r="T51" i="8" s="1"/>
  <c r="L18" i="8"/>
  <c r="L29" i="8"/>
  <c r="L86" i="8"/>
  <c r="L98" i="8"/>
  <c r="D58" i="3"/>
  <c r="X51" i="8"/>
  <c r="L38" i="8"/>
  <c r="L26" i="8"/>
  <c r="L62" i="8"/>
  <c r="L3" i="8"/>
  <c r="L10" i="8"/>
  <c r="L63" i="8"/>
  <c r="L73" i="8"/>
  <c r="L88" i="8"/>
  <c r="L15" i="8"/>
  <c r="Z47" i="8"/>
  <c r="Y47" i="8"/>
  <c r="Z50" i="8"/>
  <c r="X47" i="8"/>
  <c r="L27" i="8"/>
  <c r="L31" i="8"/>
  <c r="L19" i="8"/>
  <c r="L58" i="8"/>
  <c r="L79" i="8"/>
  <c r="L16" i="8"/>
  <c r="L74" i="8"/>
  <c r="L32" i="8"/>
  <c r="L6" i="8"/>
  <c r="L91" i="8"/>
  <c r="Y48" i="8"/>
  <c r="Y51" i="8"/>
  <c r="V49" i="8"/>
  <c r="L50" i="8"/>
  <c r="T50" i="8" s="1"/>
  <c r="K14" i="1"/>
  <c r="F58" i="3" s="1"/>
  <c r="L40" i="8"/>
  <c r="L7" i="8"/>
  <c r="L67" i="8"/>
  <c r="L102" i="8"/>
  <c r="W49" i="8"/>
  <c r="V50" i="8"/>
  <c r="X50" i="8"/>
  <c r="W48" i="8"/>
  <c r="T30" i="1"/>
  <c r="AL2" i="3"/>
  <c r="AM2" i="3" s="1"/>
  <c r="AP16" i="3"/>
  <c r="AE12" i="3"/>
  <c r="AI12" i="3"/>
  <c r="AM31" i="3"/>
  <c r="AN31" i="3"/>
  <c r="AO31" i="3"/>
  <c r="AK31" i="3"/>
  <c r="AL31" i="3"/>
  <c r="AN30" i="3"/>
  <c r="AK30" i="3"/>
  <c r="AO30" i="3"/>
  <c r="AL30" i="3"/>
  <c r="AM30" i="3"/>
  <c r="AN34" i="3"/>
  <c r="AK34" i="3"/>
  <c r="AO34" i="3"/>
  <c r="AL34" i="3"/>
  <c r="AM34" i="3"/>
  <c r="AN38" i="3"/>
  <c r="AK38" i="3"/>
  <c r="AO38" i="3"/>
  <c r="AL38" i="3"/>
  <c r="AM38" i="3"/>
  <c r="AL32" i="3"/>
  <c r="AM32" i="3"/>
  <c r="AO32" i="3"/>
  <c r="AK32" i="3"/>
  <c r="AN32" i="3"/>
  <c r="AK41" i="3"/>
  <c r="AO41" i="3"/>
  <c r="AL41" i="3"/>
  <c r="AM41" i="3"/>
  <c r="AN41" i="3"/>
  <c r="AK13" i="3"/>
  <c r="AO13" i="3"/>
  <c r="AL13" i="3"/>
  <c r="AM13" i="3"/>
  <c r="AN13" i="3"/>
  <c r="AN18" i="3"/>
  <c r="AK18" i="3"/>
  <c r="AO18" i="3"/>
  <c r="AL18" i="3"/>
  <c r="AM18" i="3"/>
  <c r="AM39" i="3"/>
  <c r="AN39" i="3"/>
  <c r="AO39" i="3"/>
  <c r="AK39" i="3"/>
  <c r="AL39" i="3"/>
  <c r="AL44" i="3"/>
  <c r="AM44" i="3"/>
  <c r="AN44" i="3"/>
  <c r="AO44" i="3"/>
  <c r="AK44" i="3"/>
  <c r="AK21" i="3"/>
  <c r="AO21" i="3"/>
  <c r="AL21" i="3"/>
  <c r="AM21" i="3"/>
  <c r="AN21" i="3"/>
  <c r="AK29" i="3"/>
  <c r="AO29" i="3"/>
  <c r="AL29" i="3"/>
  <c r="AN29" i="3"/>
  <c r="AM29" i="3"/>
  <c r="AL36" i="3"/>
  <c r="AM36" i="3"/>
  <c r="AN36" i="3"/>
  <c r="AK36" i="3"/>
  <c r="AO36" i="3"/>
  <c r="AM19" i="3"/>
  <c r="AN19" i="3"/>
  <c r="AK19" i="3"/>
  <c r="AL19" i="3"/>
  <c r="AO19" i="3"/>
  <c r="AM27" i="3"/>
  <c r="AN27" i="3"/>
  <c r="AK27" i="3"/>
  <c r="AO27" i="3"/>
  <c r="AL27" i="3"/>
  <c r="AN46" i="3"/>
  <c r="AK46" i="3"/>
  <c r="AO46" i="3"/>
  <c r="AL46" i="3"/>
  <c r="AM46" i="3"/>
  <c r="AN42" i="3"/>
  <c r="AK42" i="3"/>
  <c r="AO42" i="3"/>
  <c r="AL42" i="3"/>
  <c r="AM42" i="3"/>
  <c r="AK17" i="3"/>
  <c r="AO17" i="3"/>
  <c r="AL17" i="3"/>
  <c r="AM17" i="3"/>
  <c r="AN17" i="3"/>
  <c r="AK25" i="3"/>
  <c r="AO25" i="3"/>
  <c r="AL25" i="3"/>
  <c r="AM25" i="3"/>
  <c r="AN25" i="3"/>
  <c r="AK33" i="3"/>
  <c r="AO33" i="3"/>
  <c r="AL33" i="3"/>
  <c r="AM33" i="3"/>
  <c r="AN33" i="3"/>
  <c r="AN22" i="3"/>
  <c r="AK22" i="3"/>
  <c r="AO22" i="3"/>
  <c r="AL22" i="3"/>
  <c r="AM22" i="3"/>
  <c r="AM35" i="3"/>
  <c r="AN35" i="3"/>
  <c r="AK35" i="3"/>
  <c r="AL35" i="3"/>
  <c r="AO35" i="3"/>
  <c r="AK37" i="3"/>
  <c r="AO37" i="3"/>
  <c r="AL37" i="3"/>
  <c r="AM37" i="3"/>
  <c r="AN37" i="3"/>
  <c r="AL28" i="3"/>
  <c r="AM28" i="3"/>
  <c r="AN28" i="3"/>
  <c r="AO28" i="3"/>
  <c r="AK28" i="3"/>
  <c r="AM43" i="3"/>
  <c r="AN43" i="3"/>
  <c r="AK43" i="3"/>
  <c r="AL43" i="3"/>
  <c r="AO43" i="3"/>
  <c r="AL40" i="3"/>
  <c r="AM40" i="3"/>
  <c r="AK40" i="3"/>
  <c r="AN40" i="3"/>
  <c r="AO40" i="3"/>
  <c r="AN26" i="3"/>
  <c r="AK26" i="3"/>
  <c r="AO26" i="3"/>
  <c r="AM26" i="3"/>
  <c r="AL26" i="3"/>
  <c r="R30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59" i="1"/>
  <c r="C55" i="1"/>
  <c r="C51" i="1"/>
  <c r="C47" i="1"/>
  <c r="C43" i="1"/>
  <c r="C39" i="1"/>
  <c r="C35" i="1"/>
  <c r="C31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128" i="1"/>
  <c r="C120" i="1"/>
  <c r="C112" i="1"/>
  <c r="C104" i="1"/>
  <c r="C96" i="1"/>
  <c r="C88" i="1"/>
  <c r="C80" i="1"/>
  <c r="C72" i="1"/>
  <c r="C64" i="1"/>
  <c r="C56" i="1"/>
  <c r="C48" i="1"/>
  <c r="C40" i="1"/>
  <c r="C32" i="1"/>
  <c r="C126" i="1"/>
  <c r="C118" i="1"/>
  <c r="C110" i="1"/>
  <c r="C102" i="1"/>
  <c r="C94" i="1"/>
  <c r="C86" i="1"/>
  <c r="C78" i="1"/>
  <c r="C70" i="1"/>
  <c r="C62" i="1"/>
  <c r="C54" i="1"/>
  <c r="C46" i="1"/>
  <c r="C38" i="1"/>
  <c r="C116" i="1"/>
  <c r="C100" i="1"/>
  <c r="C84" i="1"/>
  <c r="C60" i="1"/>
  <c r="C36" i="1"/>
  <c r="C122" i="1"/>
  <c r="C114" i="1"/>
  <c r="C106" i="1"/>
  <c r="C98" i="1"/>
  <c r="C90" i="1"/>
  <c r="C82" i="1"/>
  <c r="C74" i="1"/>
  <c r="C66" i="1"/>
  <c r="C58" i="1"/>
  <c r="C50" i="1"/>
  <c r="C42" i="1"/>
  <c r="C34" i="1"/>
  <c r="C124" i="1"/>
  <c r="C108" i="1"/>
  <c r="C92" i="1"/>
  <c r="C76" i="1"/>
  <c r="C68" i="1"/>
  <c r="C52" i="1"/>
  <c r="C44" i="1"/>
  <c r="AL16" i="3" l="1"/>
  <c r="AL9" i="3"/>
  <c r="AM9" i="3"/>
  <c r="AO10" i="3"/>
  <c r="AK10" i="3"/>
  <c r="AO9" i="3"/>
  <c r="AN9" i="3"/>
  <c r="AM10" i="3"/>
  <c r="AN10" i="3"/>
  <c r="AN24" i="3"/>
  <c r="AK8" i="3"/>
  <c r="AO23" i="3"/>
  <c r="AM16" i="3"/>
  <c r="AN8" i="3"/>
  <c r="AM8" i="3"/>
  <c r="AO15" i="3"/>
  <c r="AL8" i="3"/>
  <c r="AN15" i="3"/>
  <c r="AO11" i="3"/>
  <c r="AM11" i="3"/>
  <c r="AL23" i="3"/>
  <c r="AK15" i="3"/>
  <c r="AL11" i="3"/>
  <c r="AN16" i="3"/>
  <c r="AN23" i="3"/>
  <c r="AK23" i="3"/>
  <c r="AL15" i="3"/>
  <c r="AO16" i="3"/>
  <c r="AO24" i="3"/>
  <c r="AL24" i="3"/>
  <c r="AM24" i="3"/>
  <c r="AK14" i="3"/>
  <c r="AM14" i="3"/>
  <c r="AN14" i="3"/>
  <c r="AK11" i="3"/>
  <c r="AL14" i="3"/>
  <c r="AM45" i="3"/>
  <c r="AL45" i="3"/>
  <c r="K15" i="1"/>
  <c r="F59" i="3" s="1"/>
  <c r="M74" i="8"/>
  <c r="M78" i="8"/>
  <c r="M37" i="8"/>
  <c r="M59" i="8"/>
  <c r="M61" i="8"/>
  <c r="M17" i="8"/>
  <c r="M35" i="8"/>
  <c r="M49" i="8"/>
  <c r="M62" i="8"/>
  <c r="M38" i="8"/>
  <c r="M82" i="8"/>
  <c r="M68" i="8"/>
  <c r="M31" i="8"/>
  <c r="Y53" i="8"/>
  <c r="M23" i="8"/>
  <c r="M42" i="8"/>
  <c r="M46" i="8"/>
  <c r="M41" i="8"/>
  <c r="M66" i="8"/>
  <c r="M85" i="8"/>
  <c r="M89" i="8"/>
  <c r="M93" i="8"/>
  <c r="M97" i="8"/>
  <c r="M102" i="8"/>
  <c r="L15" i="1"/>
  <c r="M34" i="8"/>
  <c r="M6" i="8"/>
  <c r="M3" i="8"/>
  <c r="M73" i="8"/>
  <c r="M69" i="8"/>
  <c r="M48" i="8"/>
  <c r="V54" i="8"/>
  <c r="X52" i="8"/>
  <c r="Y54" i="8"/>
  <c r="V55" i="8"/>
  <c r="M60" i="8"/>
  <c r="M99" i="8"/>
  <c r="Y52" i="8"/>
  <c r="M26" i="8"/>
  <c r="W56" i="8"/>
  <c r="M64" i="8"/>
  <c r="M84" i="8"/>
  <c r="M90" i="8"/>
  <c r="M95" i="8"/>
  <c r="M101" i="8"/>
  <c r="W54" i="8"/>
  <c r="M40" i="8"/>
  <c r="M80" i="8"/>
  <c r="M77" i="8"/>
  <c r="M39" i="8"/>
  <c r="M28" i="8"/>
  <c r="X55" i="8"/>
  <c r="Z55" i="8"/>
  <c r="Z53" i="8"/>
  <c r="W53" i="8"/>
  <c r="M15" i="8"/>
  <c r="M32" i="8"/>
  <c r="M55" i="8"/>
  <c r="T55" i="8" s="1"/>
  <c r="D59" i="3"/>
  <c r="M24" i="8"/>
  <c r="M21" i="8"/>
  <c r="M87" i="8"/>
  <c r="M98" i="8"/>
  <c r="M18" i="8"/>
  <c r="M30" i="8"/>
  <c r="M19" i="8"/>
  <c r="W52" i="8"/>
  <c r="M71" i="8"/>
  <c r="M45" i="8"/>
  <c r="M88" i="8"/>
  <c r="M100" i="8"/>
  <c r="M36" i="8"/>
  <c r="M81" i="8"/>
  <c r="Z54" i="8"/>
  <c r="V53" i="8"/>
  <c r="Z52" i="8"/>
  <c r="M9" i="8"/>
  <c r="M11" i="8"/>
  <c r="M33" i="8"/>
  <c r="M70" i="8"/>
  <c r="M76" i="8"/>
  <c r="I16" i="1"/>
  <c r="M22" i="8"/>
  <c r="M43" i="8"/>
  <c r="M56" i="8"/>
  <c r="T56" i="8" s="1"/>
  <c r="M65" i="8"/>
  <c r="M86" i="8"/>
  <c r="M91" i="8"/>
  <c r="M96" i="8"/>
  <c r="M12" i="8"/>
  <c r="M52" i="8"/>
  <c r="U52" i="8" s="1"/>
  <c r="M50" i="8"/>
  <c r="M72" i="8"/>
  <c r="M20" i="8"/>
  <c r="M7" i="8"/>
  <c r="V56" i="8"/>
  <c r="Y56" i="8"/>
  <c r="V52" i="8"/>
  <c r="Y55" i="8"/>
  <c r="X56" i="8"/>
  <c r="M54" i="8"/>
  <c r="T54" i="8" s="1"/>
  <c r="X54" i="8"/>
  <c r="M53" i="8"/>
  <c r="T53" i="8" s="1"/>
  <c r="M8" i="8"/>
  <c r="M10" i="8"/>
  <c r="M14" i="8"/>
  <c r="M29" i="8"/>
  <c r="M75" i="8"/>
  <c r="M44" i="8"/>
  <c r="M67" i="8"/>
  <c r="M92" i="8"/>
  <c r="M51" i="8"/>
  <c r="M4" i="8"/>
  <c r="M58" i="8"/>
  <c r="M79" i="8"/>
  <c r="M47" i="8"/>
  <c r="X53" i="8"/>
  <c r="Z56" i="8"/>
  <c r="M57" i="8"/>
  <c r="T57" i="8" s="1"/>
  <c r="M13" i="8"/>
  <c r="M27" i="8"/>
  <c r="W55" i="8"/>
  <c r="M25" i="8"/>
  <c r="M63" i="8"/>
  <c r="M83" i="8"/>
  <c r="M94" i="8"/>
  <c r="M5" i="8"/>
  <c r="M16" i="8"/>
  <c r="AP47" i="3"/>
  <c r="AI47" i="3"/>
  <c r="AH47" i="3"/>
  <c r="AE47" i="3"/>
  <c r="AO45" i="3"/>
  <c r="AE48" i="3"/>
  <c r="AP48" i="3"/>
  <c r="AI48" i="3"/>
  <c r="AH48" i="3"/>
  <c r="AH49" i="3"/>
  <c r="AE49" i="3"/>
  <c r="AP49" i="3"/>
  <c r="AI49" i="3"/>
  <c r="Z54" i="3"/>
  <c r="AJ54" i="3" s="1"/>
  <c r="Z53" i="3"/>
  <c r="AJ53" i="3" s="1"/>
  <c r="Z55" i="3"/>
  <c r="AJ55" i="3" s="1"/>
  <c r="Z56" i="3"/>
  <c r="AJ56" i="3" s="1"/>
  <c r="Z52" i="3"/>
  <c r="AJ52" i="3" s="1"/>
  <c r="AH50" i="3"/>
  <c r="AE50" i="3"/>
  <c r="AP50" i="3"/>
  <c r="AI50" i="3"/>
  <c r="AN45" i="3"/>
  <c r="AI51" i="3"/>
  <c r="AP51" i="3"/>
  <c r="AH51" i="3"/>
  <c r="AE51" i="3"/>
  <c r="AM12" i="3"/>
  <c r="AK12" i="3"/>
  <c r="AN12" i="3"/>
  <c r="AO12" i="3"/>
  <c r="AL12" i="3"/>
  <c r="AP55" i="3" l="1"/>
  <c r="AE55" i="3"/>
  <c r="AI55" i="3"/>
  <c r="AH55" i="3"/>
  <c r="Z60" i="3"/>
  <c r="AJ60" i="3" s="1"/>
  <c r="Z58" i="3"/>
  <c r="AJ58" i="3" s="1"/>
  <c r="Z59" i="3"/>
  <c r="AJ59" i="3" s="1"/>
  <c r="Z57" i="3"/>
  <c r="AJ57" i="3" s="1"/>
  <c r="Z61" i="3"/>
  <c r="AJ61" i="3" s="1"/>
  <c r="AI52" i="3"/>
  <c r="AE52" i="3"/>
  <c r="AP52" i="3"/>
  <c r="AH52" i="3"/>
  <c r="AH54" i="3"/>
  <c r="AP54" i="3"/>
  <c r="AE54" i="3"/>
  <c r="AI54" i="3"/>
  <c r="AN48" i="3"/>
  <c r="AL48" i="3"/>
  <c r="AO48" i="3"/>
  <c r="AK48" i="3"/>
  <c r="AM48" i="3"/>
  <c r="AE53" i="3"/>
  <c r="AP53" i="3"/>
  <c r="AI53" i="3"/>
  <c r="AH53" i="3"/>
  <c r="AM47" i="3"/>
  <c r="AL47" i="3"/>
  <c r="AO47" i="3"/>
  <c r="AK47" i="3"/>
  <c r="AN47" i="3"/>
  <c r="N61" i="8"/>
  <c r="T61" i="8" s="1"/>
  <c r="W60" i="8"/>
  <c r="X60" i="8"/>
  <c r="D60" i="3"/>
  <c r="N13" i="8"/>
  <c r="N10" i="8"/>
  <c r="N30" i="8"/>
  <c r="N49" i="8"/>
  <c r="N9" i="8"/>
  <c r="N34" i="8"/>
  <c r="N39" i="8"/>
  <c r="N44" i="8"/>
  <c r="N69" i="8"/>
  <c r="N4" i="8"/>
  <c r="N32" i="8"/>
  <c r="N82" i="8"/>
  <c r="N22" i="8"/>
  <c r="N65" i="8"/>
  <c r="N90" i="8"/>
  <c r="N59" i="8"/>
  <c r="T59" i="8" s="1"/>
  <c r="N85" i="8"/>
  <c r="N5" i="8"/>
  <c r="N73" i="8"/>
  <c r="N88" i="8"/>
  <c r="N37" i="8"/>
  <c r="N100" i="8"/>
  <c r="N74" i="8"/>
  <c r="V58" i="8"/>
  <c r="W59" i="8"/>
  <c r="X57" i="8"/>
  <c r="Y61" i="8"/>
  <c r="V59" i="8"/>
  <c r="N21" i="8"/>
  <c r="N17" i="8"/>
  <c r="V57" i="8"/>
  <c r="Y59" i="8"/>
  <c r="N28" i="8"/>
  <c r="N51" i="8"/>
  <c r="N36" i="8"/>
  <c r="N46" i="8"/>
  <c r="N55" i="8"/>
  <c r="N76" i="8"/>
  <c r="N79" i="8"/>
  <c r="N91" i="8"/>
  <c r="N84" i="8"/>
  <c r="N75" i="8"/>
  <c r="N92" i="8"/>
  <c r="X61" i="8"/>
  <c r="X59" i="8"/>
  <c r="N12" i="8"/>
  <c r="N58" i="8"/>
  <c r="T58" i="8" s="1"/>
  <c r="N29" i="8"/>
  <c r="N8" i="8"/>
  <c r="N38" i="8"/>
  <c r="N68" i="8"/>
  <c r="N26" i="8"/>
  <c r="N14" i="8"/>
  <c r="N78" i="8"/>
  <c r="N83" i="8"/>
  <c r="N63" i="8"/>
  <c r="N16" i="8"/>
  <c r="N66" i="8"/>
  <c r="Z57" i="8"/>
  <c r="W57" i="8"/>
  <c r="Y60" i="8"/>
  <c r="Z60" i="8"/>
  <c r="N11" i="8"/>
  <c r="N60" i="8"/>
  <c r="T60" i="8" s="1"/>
  <c r="Z61" i="8"/>
  <c r="K16" i="1"/>
  <c r="F60" i="3" s="1"/>
  <c r="N27" i="8"/>
  <c r="N31" i="8"/>
  <c r="N50" i="8"/>
  <c r="N15" i="8"/>
  <c r="N35" i="8"/>
  <c r="N40" i="8"/>
  <c r="N45" i="8"/>
  <c r="N70" i="8"/>
  <c r="N6" i="8"/>
  <c r="N54" i="8"/>
  <c r="N3" i="8"/>
  <c r="N24" i="8"/>
  <c r="N67" i="8"/>
  <c r="N95" i="8"/>
  <c r="N77" i="8"/>
  <c r="N87" i="8"/>
  <c r="N7" i="8"/>
  <c r="N80" i="8"/>
  <c r="N93" i="8"/>
  <c r="N64" i="8"/>
  <c r="L16" i="1"/>
  <c r="N89" i="8"/>
  <c r="W61" i="8"/>
  <c r="N99" i="8"/>
  <c r="W58" i="8"/>
  <c r="Y57" i="8"/>
  <c r="Z59" i="8"/>
  <c r="V60" i="8"/>
  <c r="N20" i="8"/>
  <c r="N57" i="8"/>
  <c r="U57" i="8" s="1"/>
  <c r="Y58" i="8"/>
  <c r="N47" i="8"/>
  <c r="N25" i="8"/>
  <c r="N42" i="8"/>
  <c r="N71" i="8"/>
  <c r="N23" i="8"/>
  <c r="I17" i="1"/>
  <c r="N52" i="8"/>
  <c r="N97" i="8"/>
  <c r="N56" i="8"/>
  <c r="N98" i="8"/>
  <c r="N41" i="8"/>
  <c r="V61" i="8"/>
  <c r="Z58" i="8"/>
  <c r="X58" i="8"/>
  <c r="N19" i="8"/>
  <c r="N62" i="8"/>
  <c r="T62" i="8" s="1"/>
  <c r="N48" i="8"/>
  <c r="N33" i="8"/>
  <c r="N43" i="8"/>
  <c r="N72" i="8"/>
  <c r="N81" i="8"/>
  <c r="N53" i="8"/>
  <c r="N102" i="8"/>
  <c r="N101" i="8"/>
  <c r="N86" i="8"/>
  <c r="N96" i="8"/>
  <c r="N94" i="8"/>
  <c r="N18" i="8"/>
  <c r="AM51" i="3"/>
  <c r="AL51" i="3"/>
  <c r="AK51" i="3"/>
  <c r="AO51" i="3"/>
  <c r="AN51" i="3"/>
  <c r="AO50" i="3"/>
  <c r="AM50" i="3"/>
  <c r="AL50" i="3"/>
  <c r="AN50" i="3"/>
  <c r="AK50" i="3"/>
  <c r="AP56" i="3"/>
  <c r="AH56" i="3"/>
  <c r="AE56" i="3"/>
  <c r="AI56" i="3"/>
  <c r="AK49" i="3"/>
  <c r="AN49" i="3"/>
  <c r="AO49" i="3"/>
  <c r="AL49" i="3"/>
  <c r="AM49" i="3"/>
  <c r="AA61" i="8" l="1"/>
  <c r="AI59" i="3"/>
  <c r="AP59" i="3"/>
  <c r="AE59" i="3"/>
  <c r="AH59" i="3"/>
  <c r="Z65" i="3"/>
  <c r="AJ65" i="3" s="1"/>
  <c r="Z66" i="3"/>
  <c r="AJ66" i="3" s="1"/>
  <c r="Z64" i="3"/>
  <c r="AJ64" i="3" s="1"/>
  <c r="Z63" i="3"/>
  <c r="AJ63" i="3" s="1"/>
  <c r="Z62" i="3"/>
  <c r="AJ62" i="3" s="1"/>
  <c r="AK54" i="3"/>
  <c r="AL54" i="3"/>
  <c r="AM54" i="3"/>
  <c r="AO54" i="3"/>
  <c r="AN54" i="3"/>
  <c r="AL52" i="3"/>
  <c r="AO52" i="3"/>
  <c r="AM52" i="3"/>
  <c r="AN52" i="3"/>
  <c r="AK52" i="3"/>
  <c r="Y65" i="8"/>
  <c r="O32" i="8"/>
  <c r="O36" i="8"/>
  <c r="O20" i="8"/>
  <c r="O50" i="8"/>
  <c r="O75" i="8"/>
  <c r="Z63" i="8"/>
  <c r="O21" i="8"/>
  <c r="O53" i="8"/>
  <c r="O80" i="8"/>
  <c r="O90" i="8"/>
  <c r="O95" i="8"/>
  <c r="O101" i="8"/>
  <c r="O28" i="8"/>
  <c r="O41" i="8"/>
  <c r="O71" i="8"/>
  <c r="O69" i="8"/>
  <c r="O42" i="8"/>
  <c r="O58" i="8"/>
  <c r="O85" i="8"/>
  <c r="O5" i="8"/>
  <c r="O82" i="8"/>
  <c r="O59" i="8"/>
  <c r="W65" i="8"/>
  <c r="O65" i="8"/>
  <c r="T65" i="8" s="1"/>
  <c r="Z65" i="8"/>
  <c r="O14" i="8"/>
  <c r="X64" i="8"/>
  <c r="O22" i="8"/>
  <c r="O26" i="8"/>
  <c r="W62" i="8"/>
  <c r="O67" i="8"/>
  <c r="T67" i="8" s="1"/>
  <c r="O34" i="8"/>
  <c r="O37" i="8"/>
  <c r="O77" i="8"/>
  <c r="O78" i="8"/>
  <c r="O92" i="8"/>
  <c r="O19" i="8"/>
  <c r="O43" i="8"/>
  <c r="O99" i="8"/>
  <c r="O81" i="8"/>
  <c r="O31" i="8"/>
  <c r="O70" i="8"/>
  <c r="V66" i="8"/>
  <c r="O16" i="8"/>
  <c r="O24" i="8"/>
  <c r="Z62" i="8"/>
  <c r="Y63" i="8"/>
  <c r="O47" i="8"/>
  <c r="L17" i="1"/>
  <c r="O52" i="8"/>
  <c r="O89" i="8"/>
  <c r="O100" i="8"/>
  <c r="O49" i="8"/>
  <c r="O48" i="8"/>
  <c r="O54" i="8"/>
  <c r="O4" i="8"/>
  <c r="O38" i="8"/>
  <c r="V63" i="8"/>
  <c r="O13" i="8"/>
  <c r="O25" i="8"/>
  <c r="O11" i="8"/>
  <c r="V62" i="8"/>
  <c r="O33" i="8"/>
  <c r="O64" i="8"/>
  <c r="T64" i="8" s="1"/>
  <c r="O29" i="8"/>
  <c r="O51" i="8"/>
  <c r="O76" i="8"/>
  <c r="Y66" i="8"/>
  <c r="O40" i="8"/>
  <c r="O61" i="8"/>
  <c r="O84" i="8"/>
  <c r="O91" i="8"/>
  <c r="O97" i="8"/>
  <c r="O6" i="8"/>
  <c r="O39" i="8"/>
  <c r="O55" i="8"/>
  <c r="O96" i="8"/>
  <c r="O102" i="8"/>
  <c r="O45" i="8"/>
  <c r="O72" i="8"/>
  <c r="O87" i="8"/>
  <c r="O7" i="8"/>
  <c r="O88" i="8"/>
  <c r="O60" i="8"/>
  <c r="Y64" i="8"/>
  <c r="X63" i="8"/>
  <c r="X66" i="8"/>
  <c r="O15" i="8"/>
  <c r="W63" i="8"/>
  <c r="O23" i="8"/>
  <c r="O8" i="8"/>
  <c r="O9" i="8"/>
  <c r="Z64" i="8"/>
  <c r="O66" i="8"/>
  <c r="T66" i="8" s="1"/>
  <c r="O12" i="8"/>
  <c r="O73" i="8"/>
  <c r="O62" i="8"/>
  <c r="U62" i="8" s="1"/>
  <c r="O44" i="8"/>
  <c r="O86" i="8"/>
  <c r="O98" i="8"/>
  <c r="O57" i="8"/>
  <c r="K17" i="1"/>
  <c r="F61" i="3" s="1"/>
  <c r="O46" i="8"/>
  <c r="O3" i="8"/>
  <c r="O93" i="8"/>
  <c r="X62" i="8"/>
  <c r="V65" i="8"/>
  <c r="O10" i="8"/>
  <c r="O63" i="8"/>
  <c r="T63" i="8" s="1"/>
  <c r="D61" i="3"/>
  <c r="I18" i="1"/>
  <c r="O35" i="8"/>
  <c r="O17" i="8"/>
  <c r="O74" i="8"/>
  <c r="O18" i="8"/>
  <c r="O79" i="8"/>
  <c r="O94" i="8"/>
  <c r="O27" i="8"/>
  <c r="O68" i="8"/>
  <c r="O30" i="8"/>
  <c r="O83" i="8"/>
  <c r="O56" i="8"/>
  <c r="X65" i="8"/>
  <c r="W66" i="8"/>
  <c r="Z66" i="8"/>
  <c r="W64" i="8"/>
  <c r="Y62" i="8"/>
  <c r="V64" i="8"/>
  <c r="AI61" i="3"/>
  <c r="AE61" i="3"/>
  <c r="AP61" i="3"/>
  <c r="AH61" i="3"/>
  <c r="AI60" i="3"/>
  <c r="AH60" i="3"/>
  <c r="AP60" i="3"/>
  <c r="AE60" i="3"/>
  <c r="AN56" i="3"/>
  <c r="AM56" i="3"/>
  <c r="AL56" i="3"/>
  <c r="AO56" i="3"/>
  <c r="AK56" i="3"/>
  <c r="AM53" i="3"/>
  <c r="AK53" i="3"/>
  <c r="AN53" i="3"/>
  <c r="AO53" i="3"/>
  <c r="AL53" i="3"/>
  <c r="AP58" i="3"/>
  <c r="AE58" i="3"/>
  <c r="AI58" i="3"/>
  <c r="AH58" i="3"/>
  <c r="AP57" i="3"/>
  <c r="AI57" i="3"/>
  <c r="AW10" i="3" s="1"/>
  <c r="AE57" i="3"/>
  <c r="AH57" i="3"/>
  <c r="AV10" i="3" s="1"/>
  <c r="AR10" i="3"/>
  <c r="AM55" i="3"/>
  <c r="AK55" i="3"/>
  <c r="AN55" i="3"/>
  <c r="AO55" i="3"/>
  <c r="AL55" i="3"/>
  <c r="AN59" i="3" l="1"/>
  <c r="AK59" i="3"/>
  <c r="AL59" i="3"/>
  <c r="AM59" i="3"/>
  <c r="AO59" i="3"/>
  <c r="AM57" i="3"/>
  <c r="AO57" i="3"/>
  <c r="AK57" i="3"/>
  <c r="AN57" i="3"/>
  <c r="AL57" i="3"/>
  <c r="AL58" i="3"/>
  <c r="AK58" i="3"/>
  <c r="AN58" i="3"/>
  <c r="AM58" i="3"/>
  <c r="AO58" i="3"/>
  <c r="AL61" i="3"/>
  <c r="AM61" i="3"/>
  <c r="AO61" i="3"/>
  <c r="AN61" i="3"/>
  <c r="AK61" i="3"/>
  <c r="AP62" i="3"/>
  <c r="AE62" i="3"/>
  <c r="AH62" i="3"/>
  <c r="AI62" i="3"/>
  <c r="AI65" i="3"/>
  <c r="AH65" i="3"/>
  <c r="AE65" i="3"/>
  <c r="AP65" i="3"/>
  <c r="K18" i="1"/>
  <c r="F62" i="3" s="1"/>
  <c r="P39" i="8"/>
  <c r="Y69" i="8"/>
  <c r="P32" i="8"/>
  <c r="P55" i="8"/>
  <c r="P80" i="8"/>
  <c r="P3" i="8"/>
  <c r="P22" i="8"/>
  <c r="P49" i="8"/>
  <c r="P65" i="8"/>
  <c r="P4" i="8"/>
  <c r="P42" i="8"/>
  <c r="P16" i="8"/>
  <c r="P64" i="8"/>
  <c r="P89" i="8"/>
  <c r="P100" i="8"/>
  <c r="P90" i="8"/>
  <c r="X68" i="8"/>
  <c r="P44" i="8"/>
  <c r="P6" i="8"/>
  <c r="P86" i="8"/>
  <c r="P83" i="8"/>
  <c r="P98" i="8"/>
  <c r="Z71" i="8"/>
  <c r="V68" i="8"/>
  <c r="Y68" i="8"/>
  <c r="X71" i="8"/>
  <c r="P28" i="8"/>
  <c r="P12" i="8"/>
  <c r="W68" i="8"/>
  <c r="W69" i="8"/>
  <c r="W71" i="8"/>
  <c r="P37" i="8"/>
  <c r="P19" i="8"/>
  <c r="P78" i="8"/>
  <c r="P7" i="8"/>
  <c r="P60" i="8"/>
  <c r="P33" i="8"/>
  <c r="P25" i="8"/>
  <c r="P93" i="8"/>
  <c r="P96" i="8"/>
  <c r="P101" i="8"/>
  <c r="P61" i="8"/>
  <c r="V70" i="8"/>
  <c r="Z67" i="8"/>
  <c r="P68" i="8"/>
  <c r="T68" i="8" s="1"/>
  <c r="P8" i="8"/>
  <c r="Z69" i="8"/>
  <c r="P14" i="8"/>
  <c r="P38" i="8"/>
  <c r="P24" i="8"/>
  <c r="P79" i="8"/>
  <c r="P15" i="8"/>
  <c r="P62" i="8"/>
  <c r="P35" i="8"/>
  <c r="P59" i="8"/>
  <c r="P94" i="8"/>
  <c r="P97" i="8"/>
  <c r="P102" i="8"/>
  <c r="P63" i="8"/>
  <c r="V67" i="8"/>
  <c r="P10" i="8"/>
  <c r="P17" i="8"/>
  <c r="P31" i="8"/>
  <c r="X67" i="8"/>
  <c r="D62" i="3"/>
  <c r="P67" i="8"/>
  <c r="U67" i="8" s="1"/>
  <c r="P40" i="8"/>
  <c r="Y67" i="8"/>
  <c r="P52" i="8"/>
  <c r="P56" i="8"/>
  <c r="P81" i="8"/>
  <c r="P5" i="8"/>
  <c r="P34" i="8"/>
  <c r="P50" i="8"/>
  <c r="P75" i="8"/>
  <c r="P72" i="8"/>
  <c r="T72" i="8" s="1"/>
  <c r="P46" i="8"/>
  <c r="P23" i="8"/>
  <c r="P66" i="8"/>
  <c r="P92" i="8"/>
  <c r="L18" i="1"/>
  <c r="P95" i="8"/>
  <c r="P18" i="8"/>
  <c r="P91" i="8"/>
  <c r="P26" i="8"/>
  <c r="P58" i="8"/>
  <c r="P84" i="8"/>
  <c r="P13" i="8"/>
  <c r="W70" i="8"/>
  <c r="Z70" i="8"/>
  <c r="P69" i="8"/>
  <c r="T69" i="8" s="1"/>
  <c r="Y71" i="8"/>
  <c r="P29" i="8"/>
  <c r="X69" i="8"/>
  <c r="P71" i="8"/>
  <c r="T71" i="8" s="1"/>
  <c r="P11" i="8"/>
  <c r="X70" i="8"/>
  <c r="P70" i="8"/>
  <c r="T70" i="8" s="1"/>
  <c r="P41" i="8"/>
  <c r="P53" i="8"/>
  <c r="P82" i="8"/>
  <c r="P36" i="8"/>
  <c r="P76" i="8"/>
  <c r="P47" i="8"/>
  <c r="P74" i="8"/>
  <c r="P51" i="8"/>
  <c r="P20" i="8"/>
  <c r="P45" i="8"/>
  <c r="P85" i="8"/>
  <c r="Y70" i="8"/>
  <c r="P9" i="8"/>
  <c r="P30" i="8"/>
  <c r="Z68" i="8"/>
  <c r="I19" i="1"/>
  <c r="P54" i="8"/>
  <c r="P99" i="8"/>
  <c r="P43" i="8"/>
  <c r="P77" i="8"/>
  <c r="P48" i="8"/>
  <c r="P88" i="8"/>
  <c r="P57" i="8"/>
  <c r="P21" i="8"/>
  <c r="P73" i="8"/>
  <c r="P87" i="8"/>
  <c r="V71" i="8"/>
  <c r="P27" i="8"/>
  <c r="W67" i="8"/>
  <c r="V69" i="8"/>
  <c r="AP64" i="3"/>
  <c r="AH64" i="3"/>
  <c r="AE64" i="3"/>
  <c r="AI64" i="3"/>
  <c r="Z70" i="3"/>
  <c r="AJ70" i="3" s="1"/>
  <c r="Z71" i="3"/>
  <c r="AJ71" i="3" s="1"/>
  <c r="Z68" i="3"/>
  <c r="AJ68" i="3" s="1"/>
  <c r="Z67" i="3"/>
  <c r="AJ67" i="3" s="1"/>
  <c r="Z69" i="3"/>
  <c r="AJ69" i="3" s="1"/>
  <c r="AP66" i="3"/>
  <c r="AI66" i="3"/>
  <c r="AH66" i="3"/>
  <c r="AE66" i="3"/>
  <c r="AN60" i="3"/>
  <c r="AL60" i="3"/>
  <c r="AK60" i="3"/>
  <c r="AM60" i="3"/>
  <c r="AO60" i="3"/>
  <c r="AE63" i="3"/>
  <c r="AI63" i="3"/>
  <c r="AH63" i="3"/>
  <c r="AP63" i="3"/>
  <c r="AN64" i="3" l="1"/>
  <c r="AM64" i="3"/>
  <c r="AL64" i="3"/>
  <c r="AO64" i="3"/>
  <c r="AK64" i="3"/>
  <c r="AK66" i="3"/>
  <c r="AN66" i="3"/>
  <c r="AO66" i="3"/>
  <c r="AL66" i="3"/>
  <c r="AM66" i="3"/>
  <c r="AE71" i="3"/>
  <c r="AI71" i="3"/>
  <c r="AH71" i="3"/>
  <c r="AN65" i="3"/>
  <c r="AM65" i="3"/>
  <c r="AO65" i="3"/>
  <c r="AL65" i="3"/>
  <c r="AK65" i="3"/>
  <c r="AM62" i="3"/>
  <c r="AL62" i="3"/>
  <c r="AK62" i="3"/>
  <c r="AO62" i="3"/>
  <c r="AN62" i="3"/>
  <c r="AI67" i="3"/>
  <c r="AH67" i="3"/>
  <c r="AE67" i="3"/>
  <c r="AP67" i="3"/>
  <c r="Z74" i="3"/>
  <c r="AJ74" i="3" s="1"/>
  <c r="Z73" i="3"/>
  <c r="AJ73" i="3" s="1"/>
  <c r="Z76" i="3"/>
  <c r="AJ76" i="3" s="1"/>
  <c r="Z72" i="3"/>
  <c r="AJ72" i="3" s="1"/>
  <c r="Z75" i="3"/>
  <c r="AJ75" i="3" s="1"/>
  <c r="AE68" i="3"/>
  <c r="AH68" i="3"/>
  <c r="AI68" i="3"/>
  <c r="AP68" i="3"/>
  <c r="AM63" i="3"/>
  <c r="AN63" i="3"/>
  <c r="AK63" i="3"/>
  <c r="AL63" i="3"/>
  <c r="AO63" i="3"/>
  <c r="AP69" i="3"/>
  <c r="AE69" i="3"/>
  <c r="AI69" i="3"/>
  <c r="AH69" i="3"/>
  <c r="AE70" i="3"/>
  <c r="AI70" i="3"/>
  <c r="AP70" i="3"/>
  <c r="AH70" i="3"/>
  <c r="Q10" i="8"/>
  <c r="Q20" i="8"/>
  <c r="Q44" i="8"/>
  <c r="W72" i="8"/>
  <c r="Q48" i="8"/>
  <c r="Q59" i="8"/>
  <c r="Q84" i="8"/>
  <c r="Q88" i="8"/>
  <c r="Q92" i="8"/>
  <c r="Q96" i="8"/>
  <c r="Q101" i="8"/>
  <c r="Q27" i="8"/>
  <c r="Q47" i="8"/>
  <c r="Q7" i="8"/>
  <c r="Q37" i="8"/>
  <c r="Q26" i="8"/>
  <c r="Q56" i="8"/>
  <c r="Q40" i="8"/>
  <c r="Q65" i="8"/>
  <c r="Q78" i="8"/>
  <c r="Q79" i="8"/>
  <c r="Q54" i="8"/>
  <c r="Q6" i="8"/>
  <c r="Y74" i="8"/>
  <c r="Z72" i="8"/>
  <c r="W73" i="8"/>
  <c r="Q76" i="8"/>
  <c r="T76" i="8" s="1"/>
  <c r="Q32" i="8"/>
  <c r="Z76" i="8"/>
  <c r="Q12" i="8"/>
  <c r="Q15" i="8"/>
  <c r="Y73" i="8"/>
  <c r="D63" i="3"/>
  <c r="Q42" i="8"/>
  <c r="Q28" i="8"/>
  <c r="Q61" i="8"/>
  <c r="Q90" i="8"/>
  <c r="Q98" i="8"/>
  <c r="Q35" i="8"/>
  <c r="Q25" i="8"/>
  <c r="Q36" i="8"/>
  <c r="Q55" i="8"/>
  <c r="Q51" i="8"/>
  <c r="Q3" i="8"/>
  <c r="Z73" i="8"/>
  <c r="W74" i="8"/>
  <c r="Y75" i="8"/>
  <c r="V73" i="8"/>
  <c r="Q13" i="8"/>
  <c r="Q8" i="8"/>
  <c r="Q43" i="8"/>
  <c r="Q58" i="8"/>
  <c r="Q87" i="8"/>
  <c r="Q95" i="8"/>
  <c r="Q24" i="8"/>
  <c r="Q99" i="8"/>
  <c r="Q75" i="8"/>
  <c r="T75" i="8" s="1"/>
  <c r="Q82" i="8"/>
  <c r="Q68" i="8"/>
  <c r="Q52" i="8"/>
  <c r="Q11" i="8"/>
  <c r="X76" i="8"/>
  <c r="V72" i="8"/>
  <c r="Q74" i="8"/>
  <c r="T74" i="8" s="1"/>
  <c r="Q14" i="8"/>
  <c r="I20" i="1"/>
  <c r="Q9" i="8"/>
  <c r="Q21" i="8"/>
  <c r="Q45" i="8"/>
  <c r="Q23" i="8"/>
  <c r="Q49" i="8"/>
  <c r="Q60" i="8"/>
  <c r="Q85" i="8"/>
  <c r="Q89" i="8"/>
  <c r="Q93" i="8"/>
  <c r="Q97" i="8"/>
  <c r="Q102" i="8"/>
  <c r="Q33" i="8"/>
  <c r="Q70" i="8"/>
  <c r="Q17" i="8"/>
  <c r="Q38" i="8"/>
  <c r="Q29" i="8"/>
  <c r="Q62" i="8"/>
  <c r="Q53" i="8"/>
  <c r="Q66" i="8"/>
  <c r="L19" i="1"/>
  <c r="Q22" i="8"/>
  <c r="Q80" i="8"/>
  <c r="Q81" i="8"/>
  <c r="Y72" i="8"/>
  <c r="Y76" i="8"/>
  <c r="X72" i="8"/>
  <c r="V76" i="8"/>
  <c r="W76" i="8"/>
  <c r="Z75" i="8"/>
  <c r="W75" i="8"/>
  <c r="Q16" i="8"/>
  <c r="X74" i="8"/>
  <c r="Q18" i="8"/>
  <c r="Q46" i="8"/>
  <c r="Q57" i="8"/>
  <c r="Q86" i="8"/>
  <c r="Q94" i="8"/>
  <c r="K19" i="1"/>
  <c r="F63" i="3" s="1"/>
  <c r="Q71" i="8"/>
  <c r="Q41" i="8"/>
  <c r="Q63" i="8"/>
  <c r="Q67" i="8"/>
  <c r="Q34" i="8"/>
  <c r="Q5" i="8"/>
  <c r="Q77" i="8"/>
  <c r="T77" i="8" s="1"/>
  <c r="Q72" i="8"/>
  <c r="U72" i="8" s="1"/>
  <c r="Z74" i="8"/>
  <c r="AA74" i="8" s="1"/>
  <c r="Q19" i="8"/>
  <c r="X73" i="8"/>
  <c r="Q31" i="8"/>
  <c r="Q83" i="8"/>
  <c r="Q91" i="8"/>
  <c r="Q100" i="8"/>
  <c r="Q39" i="8"/>
  <c r="Q30" i="8"/>
  <c r="Q50" i="8"/>
  <c r="Q64" i="8"/>
  <c r="Q69" i="8"/>
  <c r="Q4" i="8"/>
  <c r="X75" i="8"/>
  <c r="Q73" i="8"/>
  <c r="T73" i="8" s="1"/>
  <c r="V74" i="8"/>
  <c r="V75" i="8"/>
  <c r="AH76" i="3" l="1"/>
  <c r="AI76" i="3"/>
  <c r="AE76" i="3"/>
  <c r="AE73" i="3"/>
  <c r="AI73" i="3"/>
  <c r="AH73" i="3"/>
  <c r="AL70" i="3"/>
  <c r="AM70" i="3"/>
  <c r="AK70" i="3"/>
  <c r="AN70" i="3"/>
  <c r="AO70" i="3"/>
  <c r="AE75" i="3"/>
  <c r="AH75" i="3"/>
  <c r="AI75" i="3"/>
  <c r="AE74" i="3"/>
  <c r="AI74" i="3"/>
  <c r="AH74" i="3"/>
  <c r="AM67" i="3"/>
  <c r="AN67" i="3"/>
  <c r="AO67" i="3"/>
  <c r="AL67" i="3"/>
  <c r="AK67" i="3"/>
  <c r="K20" i="1"/>
  <c r="F64" i="3" s="1"/>
  <c r="R22" i="8"/>
  <c r="R26" i="8"/>
  <c r="R50" i="8"/>
  <c r="R41" i="8"/>
  <c r="R65" i="8"/>
  <c r="I21" i="1"/>
  <c r="R38" i="8"/>
  <c r="R58" i="8"/>
  <c r="R72" i="8"/>
  <c r="R85" i="8"/>
  <c r="R96" i="8"/>
  <c r="R13" i="8"/>
  <c r="R51" i="8"/>
  <c r="R52" i="8"/>
  <c r="R70" i="8"/>
  <c r="R98" i="8"/>
  <c r="R71" i="8"/>
  <c r="R94" i="8"/>
  <c r="R40" i="8"/>
  <c r="R67" i="8"/>
  <c r="R78" i="8"/>
  <c r="T78" i="8" s="1"/>
  <c r="R101" i="8"/>
  <c r="X77" i="8"/>
  <c r="X79" i="8"/>
  <c r="W79" i="8"/>
  <c r="Y81" i="8"/>
  <c r="R10" i="8"/>
  <c r="V78" i="8"/>
  <c r="X80" i="8"/>
  <c r="R18" i="8"/>
  <c r="V77" i="8"/>
  <c r="D64" i="3"/>
  <c r="R24" i="8"/>
  <c r="R27" i="8"/>
  <c r="R4" i="8"/>
  <c r="R46" i="8"/>
  <c r="R74" i="8"/>
  <c r="R88" i="8"/>
  <c r="R31" i="8"/>
  <c r="R60" i="8"/>
  <c r="R89" i="8"/>
  <c r="R55" i="8"/>
  <c r="R44" i="8"/>
  <c r="Z79" i="8"/>
  <c r="V81" i="8"/>
  <c r="R80" i="8"/>
  <c r="T80" i="8" s="1"/>
  <c r="R9" i="8"/>
  <c r="R99" i="8"/>
  <c r="R12" i="8"/>
  <c r="R25" i="8"/>
  <c r="R30" i="8"/>
  <c r="R6" i="8"/>
  <c r="R56" i="8"/>
  <c r="R83" i="8"/>
  <c r="L20" i="1"/>
  <c r="R43" i="8"/>
  <c r="R86" i="8"/>
  <c r="R92" i="8"/>
  <c r="R57" i="8"/>
  <c r="R91" i="8"/>
  <c r="R82" i="8"/>
  <c r="T82" i="8" s="1"/>
  <c r="X78" i="8"/>
  <c r="Z80" i="8"/>
  <c r="R17" i="8"/>
  <c r="R14" i="8"/>
  <c r="R23" i="8"/>
  <c r="R47" i="8"/>
  <c r="Y80" i="8"/>
  <c r="R62" i="8"/>
  <c r="R66" i="8"/>
  <c r="Z81" i="8"/>
  <c r="R42" i="8"/>
  <c r="R59" i="8"/>
  <c r="R73" i="8"/>
  <c r="R87" i="8"/>
  <c r="R102" i="8"/>
  <c r="R29" i="8"/>
  <c r="R34" i="8"/>
  <c r="R54" i="8"/>
  <c r="R75" i="8"/>
  <c r="R3" i="8"/>
  <c r="R76" i="8"/>
  <c r="R100" i="8"/>
  <c r="R53" i="8"/>
  <c r="R90" i="8"/>
  <c r="R7" i="8"/>
  <c r="Z78" i="8"/>
  <c r="Z77" i="8"/>
  <c r="W77" i="8"/>
  <c r="R81" i="8"/>
  <c r="T81" i="8" s="1"/>
  <c r="R77" i="8"/>
  <c r="U77" i="8" s="1"/>
  <c r="R79" i="8"/>
  <c r="T79" i="8" s="1"/>
  <c r="W80" i="8"/>
  <c r="Y77" i="8"/>
  <c r="R19" i="8"/>
  <c r="W81" i="8"/>
  <c r="R15" i="8"/>
  <c r="R48" i="8"/>
  <c r="R63" i="8"/>
  <c r="R28" i="8"/>
  <c r="R68" i="8"/>
  <c r="R5" i="8"/>
  <c r="R35" i="8"/>
  <c r="R84" i="8"/>
  <c r="R36" i="8"/>
  <c r="R32" i="8"/>
  <c r="R95" i="8"/>
  <c r="X81" i="8"/>
  <c r="Y79" i="8"/>
  <c r="W78" i="8"/>
  <c r="R11" i="8"/>
  <c r="R20" i="8"/>
  <c r="R16" i="8"/>
  <c r="R49" i="8"/>
  <c r="R64" i="8"/>
  <c r="R37" i="8"/>
  <c r="R69" i="8"/>
  <c r="R93" i="8"/>
  <c r="R45" i="8"/>
  <c r="R61" i="8"/>
  <c r="R39" i="8"/>
  <c r="R33" i="8"/>
  <c r="R97" i="8"/>
  <c r="Y78" i="8"/>
  <c r="V79" i="8"/>
  <c r="V80" i="8"/>
  <c r="R8" i="8"/>
  <c r="R21" i="8"/>
  <c r="AM68" i="3"/>
  <c r="AN68" i="3"/>
  <c r="AL68" i="3"/>
  <c r="AO68" i="3"/>
  <c r="AK68" i="3"/>
  <c r="Z78" i="3"/>
  <c r="AJ78" i="3" s="1"/>
  <c r="Z81" i="3"/>
  <c r="AJ81" i="3" s="1"/>
  <c r="Z80" i="3"/>
  <c r="AJ80" i="3" s="1"/>
  <c r="Z77" i="3"/>
  <c r="AJ77" i="3" s="1"/>
  <c r="Z79" i="3"/>
  <c r="AJ79" i="3" s="1"/>
  <c r="AN71" i="3"/>
  <c r="AL71" i="3"/>
  <c r="AO71" i="3"/>
  <c r="AM71" i="3"/>
  <c r="AK71" i="3"/>
  <c r="AN69" i="3"/>
  <c r="AM69" i="3"/>
  <c r="AL69" i="3"/>
  <c r="AO69" i="3"/>
  <c r="AK69" i="3"/>
  <c r="AI72" i="3"/>
  <c r="AH72" i="3"/>
  <c r="AE72" i="3"/>
  <c r="AR11" i="3" l="1"/>
  <c r="AI77" i="3"/>
  <c r="AW11" i="3" s="1"/>
  <c r="AH77" i="3"/>
  <c r="AV11" i="3" s="1"/>
  <c r="AE77" i="3"/>
  <c r="AN74" i="3"/>
  <c r="AM74" i="3"/>
  <c r="AO74" i="3"/>
  <c r="AL74" i="3"/>
  <c r="AK74" i="3"/>
  <c r="AL76" i="3"/>
  <c r="AM76" i="3"/>
  <c r="AN76" i="3"/>
  <c r="AO76" i="3"/>
  <c r="AK76" i="3"/>
  <c r="AM72" i="3"/>
  <c r="AL72" i="3"/>
  <c r="AO72" i="3"/>
  <c r="AK72" i="3"/>
  <c r="AN72" i="3"/>
  <c r="AE81" i="3"/>
  <c r="AH81" i="3"/>
  <c r="AI81" i="3"/>
  <c r="AK75" i="3"/>
  <c r="AM75" i="3"/>
  <c r="AL75" i="3"/>
  <c r="AN75" i="3"/>
  <c r="AO75" i="3"/>
  <c r="AL73" i="3"/>
  <c r="AM73" i="3"/>
  <c r="AO73" i="3"/>
  <c r="AN73" i="3"/>
  <c r="AK73" i="3"/>
  <c r="AI80" i="3"/>
  <c r="AE80" i="3"/>
  <c r="AH80" i="3"/>
  <c r="Z83" i="3"/>
  <c r="AJ83" i="3" s="1"/>
  <c r="Z86" i="3"/>
  <c r="AJ86" i="3" s="1"/>
  <c r="Z84" i="3"/>
  <c r="AJ84" i="3" s="1"/>
  <c r="Z85" i="3"/>
  <c r="AJ85" i="3" s="1"/>
  <c r="Z82" i="3"/>
  <c r="AJ82" i="3" s="1"/>
  <c r="AE79" i="3"/>
  <c r="AI79" i="3"/>
  <c r="AH79" i="3"/>
  <c r="AI78" i="3"/>
  <c r="AH78" i="3"/>
  <c r="AE78" i="3"/>
  <c r="Y94" i="8"/>
  <c r="Y90" i="8"/>
  <c r="S28" i="8"/>
  <c r="S33" i="8"/>
  <c r="Y101" i="8"/>
  <c r="S38" i="8"/>
  <c r="S43" i="8"/>
  <c r="S51" i="8"/>
  <c r="S70" i="8"/>
  <c r="Y95" i="8"/>
  <c r="S48" i="8"/>
  <c r="S63" i="8"/>
  <c r="Z97" i="8"/>
  <c r="S52" i="8"/>
  <c r="S73" i="8"/>
  <c r="S5" i="8"/>
  <c r="S50" i="8"/>
  <c r="S61" i="8"/>
  <c r="Z83" i="8"/>
  <c r="S77" i="8"/>
  <c r="S21" i="8"/>
  <c r="S79" i="8"/>
  <c r="X91" i="8"/>
  <c r="V102" i="8"/>
  <c r="W99" i="8"/>
  <c r="Z99" i="8"/>
  <c r="S11" i="8"/>
  <c r="S102" i="8"/>
  <c r="T102" i="8" s="1"/>
  <c r="X100" i="8"/>
  <c r="V92" i="8"/>
  <c r="Z102" i="8"/>
  <c r="W100" i="8"/>
  <c r="X92" i="8"/>
  <c r="W102" i="8"/>
  <c r="W85" i="8"/>
  <c r="Z100" i="8"/>
  <c r="V83" i="8"/>
  <c r="S89" i="8"/>
  <c r="T89" i="8" s="1"/>
  <c r="S90" i="8"/>
  <c r="T90" i="8" s="1"/>
  <c r="Y83" i="8"/>
  <c r="Z98" i="8"/>
  <c r="V89" i="8"/>
  <c r="X101" i="8"/>
  <c r="W97" i="8"/>
  <c r="S98" i="8"/>
  <c r="T98" i="8" s="1"/>
  <c r="S22" i="8"/>
  <c r="S26" i="8"/>
  <c r="Y82" i="8"/>
  <c r="Y98" i="8"/>
  <c r="S12" i="8"/>
  <c r="Z93" i="8"/>
  <c r="X94" i="8"/>
  <c r="S17" i="8"/>
  <c r="S96" i="8"/>
  <c r="T96" i="8" s="1"/>
  <c r="S45" i="8"/>
  <c r="L21" i="1"/>
  <c r="S19" i="8"/>
  <c r="S66" i="8"/>
  <c r="S37" i="8"/>
  <c r="S7" i="8"/>
  <c r="S74" i="8"/>
  <c r="I22" i="1"/>
  <c r="S49" i="8"/>
  <c r="Z96" i="8"/>
  <c r="X88" i="8"/>
  <c r="Y99" i="8"/>
  <c r="W101" i="8"/>
  <c r="X97" i="8"/>
  <c r="Z89" i="8"/>
  <c r="Z101" i="8"/>
  <c r="V93" i="8"/>
  <c r="Y93" i="8"/>
  <c r="S94" i="8"/>
  <c r="T94" i="8" s="1"/>
  <c r="Z90" i="8"/>
  <c r="Y97" i="8"/>
  <c r="V97" i="8"/>
  <c r="Z92" i="8"/>
  <c r="X98" i="8"/>
  <c r="W92" i="8"/>
  <c r="S27" i="8"/>
  <c r="S18" i="8"/>
  <c r="S46" i="8"/>
  <c r="K21" i="1"/>
  <c r="F65" i="3" s="1"/>
  <c r="S41" i="8"/>
  <c r="S3" i="8"/>
  <c r="S58" i="8"/>
  <c r="S47" i="8"/>
  <c r="S75" i="8"/>
  <c r="Y102" i="8"/>
  <c r="S72" i="8"/>
  <c r="Z95" i="8"/>
  <c r="S10" i="8"/>
  <c r="S92" i="8"/>
  <c r="T92" i="8" s="1"/>
  <c r="Y96" i="8"/>
  <c r="Y92" i="8"/>
  <c r="X95" i="8"/>
  <c r="V82" i="8"/>
  <c r="W90" i="8"/>
  <c r="S15" i="8"/>
  <c r="V96" i="8"/>
  <c r="X86" i="8"/>
  <c r="S95" i="8"/>
  <c r="T95" i="8" s="1"/>
  <c r="V98" i="8"/>
  <c r="W87" i="8"/>
  <c r="V101" i="8"/>
  <c r="S84" i="8"/>
  <c r="T84" i="8" s="1"/>
  <c r="D65" i="3"/>
  <c r="S85" i="8"/>
  <c r="T85" i="8" s="1"/>
  <c r="S82" i="8"/>
  <c r="U82" i="8" s="1"/>
  <c r="S29" i="8"/>
  <c r="S34" i="8"/>
  <c r="X82" i="8"/>
  <c r="S39" i="8"/>
  <c r="S44" i="8"/>
  <c r="S67" i="8"/>
  <c r="S71" i="8"/>
  <c r="S93" i="8"/>
  <c r="T93" i="8" s="1"/>
  <c r="S54" i="8"/>
  <c r="S64" i="8"/>
  <c r="Y100" i="8"/>
  <c r="S53" i="8"/>
  <c r="S80" i="8"/>
  <c r="S6" i="8"/>
  <c r="S56" i="8"/>
  <c r="S62" i="8"/>
  <c r="Y86" i="8"/>
  <c r="S78" i="8"/>
  <c r="S32" i="8"/>
  <c r="X83" i="8"/>
  <c r="V94" i="8"/>
  <c r="V85" i="8"/>
  <c r="X84" i="8"/>
  <c r="S8" i="8"/>
  <c r="V91" i="8"/>
  <c r="Y91" i="8"/>
  <c r="V84" i="8"/>
  <c r="Z94" i="8"/>
  <c r="Z87" i="8"/>
  <c r="Y85" i="8"/>
  <c r="S91" i="8"/>
  <c r="T91" i="8" s="1"/>
  <c r="S97" i="8"/>
  <c r="T97" i="8" s="1"/>
  <c r="Z84" i="8"/>
  <c r="W84" i="8"/>
  <c r="W94" i="8"/>
  <c r="S13" i="8"/>
  <c r="W88" i="8"/>
  <c r="V99" i="8"/>
  <c r="W93" i="8"/>
  <c r="X85" i="8"/>
  <c r="Y88" i="8"/>
  <c r="Z85" i="8"/>
  <c r="S16" i="8"/>
  <c r="S23" i="8"/>
  <c r="X87" i="8"/>
  <c r="Y89" i="8"/>
  <c r="W98" i="8"/>
  <c r="W83" i="8"/>
  <c r="V87" i="8"/>
  <c r="X102" i="8"/>
  <c r="W89" i="8"/>
  <c r="S101" i="8"/>
  <c r="T101" i="8" s="1"/>
  <c r="S30" i="8"/>
  <c r="S35" i="8"/>
  <c r="S40" i="8"/>
  <c r="S68" i="8"/>
  <c r="S55" i="8"/>
  <c r="S88" i="8"/>
  <c r="T88" i="8" s="1"/>
  <c r="S81" i="8"/>
  <c r="S59" i="8"/>
  <c r="S65" i="8"/>
  <c r="V86" i="8"/>
  <c r="X90" i="8"/>
  <c r="S9" i="8"/>
  <c r="Z86" i="8"/>
  <c r="W91" i="8"/>
  <c r="Y84" i="8"/>
  <c r="V90" i="8"/>
  <c r="X96" i="8"/>
  <c r="V88" i="8"/>
  <c r="S99" i="8"/>
  <c r="T99" i="8" s="1"/>
  <c r="W95" i="8"/>
  <c r="S24" i="8"/>
  <c r="W86" i="8"/>
  <c r="W82" i="8"/>
  <c r="Z91" i="8"/>
  <c r="Y87" i="8"/>
  <c r="S31" i="8"/>
  <c r="S36" i="8"/>
  <c r="S42" i="8"/>
  <c r="S69" i="8"/>
  <c r="S57" i="8"/>
  <c r="S20" i="8"/>
  <c r="S4" i="8"/>
  <c r="S60" i="8"/>
  <c r="S76" i="8"/>
  <c r="Z88" i="8"/>
  <c r="X99" i="8"/>
  <c r="V95" i="8"/>
  <c r="S86" i="8"/>
  <c r="T86" i="8" s="1"/>
  <c r="X89" i="8"/>
  <c r="V100" i="8"/>
  <c r="W96" i="8"/>
  <c r="S87" i="8"/>
  <c r="T87" i="8" s="1"/>
  <c r="Z82" i="8"/>
  <c r="X93" i="8"/>
  <c r="S14" i="8"/>
  <c r="S100" i="8"/>
  <c r="T100" i="8" s="1"/>
  <c r="S25" i="8"/>
  <c r="S83" i="8"/>
  <c r="T83" i="8" s="1"/>
  <c r="AM79" i="3" l="1"/>
  <c r="AK79" i="3"/>
  <c r="AL79" i="3"/>
  <c r="AO79" i="3"/>
  <c r="AN79" i="3"/>
  <c r="AE83" i="3"/>
  <c r="AI83" i="3"/>
  <c r="AH83" i="3"/>
  <c r="AK77" i="3"/>
  <c r="AL77" i="3"/>
  <c r="AO77" i="3"/>
  <c r="AN77" i="3"/>
  <c r="AM77" i="3"/>
  <c r="Z89" i="3"/>
  <c r="AJ89" i="3" s="1"/>
  <c r="Z91" i="3"/>
  <c r="AJ91" i="3" s="1"/>
  <c r="Z87" i="3"/>
  <c r="AJ87" i="3" s="1"/>
  <c r="Z88" i="3"/>
  <c r="AJ88" i="3" s="1"/>
  <c r="Z90" i="3"/>
  <c r="AJ90" i="3" s="1"/>
  <c r="AN78" i="3"/>
  <c r="AL78" i="3"/>
  <c r="AM78" i="3"/>
  <c r="AK78" i="3"/>
  <c r="AO78" i="3"/>
  <c r="AI85" i="3"/>
  <c r="AE85" i="3"/>
  <c r="AH85" i="3"/>
  <c r="AN81" i="3"/>
  <c r="AL81" i="3"/>
  <c r="AO81" i="3"/>
  <c r="AM81" i="3"/>
  <c r="AK81" i="3"/>
  <c r="AE86" i="3"/>
  <c r="AH86" i="3"/>
  <c r="AI86" i="3"/>
  <c r="AE82" i="3"/>
  <c r="AH82" i="3"/>
  <c r="AI82" i="3"/>
  <c r="D66" i="3"/>
  <c r="I23" i="1"/>
  <c r="K22" i="1"/>
  <c r="F66" i="3" s="1"/>
  <c r="L22" i="1"/>
  <c r="AH84" i="3"/>
  <c r="AI84" i="3"/>
  <c r="AE84" i="3"/>
  <c r="AM80" i="3"/>
  <c r="AK80" i="3"/>
  <c r="AL80" i="3"/>
  <c r="AO80" i="3"/>
  <c r="AN80" i="3"/>
  <c r="AE91" i="3" l="1"/>
  <c r="AH91" i="3"/>
  <c r="AI91" i="3"/>
  <c r="K23" i="1"/>
  <c r="F67" i="3" s="1"/>
  <c r="I24" i="1"/>
  <c r="L23" i="1"/>
  <c r="D67" i="3"/>
  <c r="AE90" i="3"/>
  <c r="AI90" i="3"/>
  <c r="AH90" i="3"/>
  <c r="Z93" i="3"/>
  <c r="AJ93" i="3" s="1"/>
  <c r="Z92" i="3"/>
  <c r="AJ92" i="3" s="1"/>
  <c r="Z95" i="3"/>
  <c r="AJ95" i="3" s="1"/>
  <c r="Z94" i="3"/>
  <c r="AJ94" i="3" s="1"/>
  <c r="Z96" i="3"/>
  <c r="AJ96" i="3" s="1"/>
  <c r="AL86" i="3"/>
  <c r="AM86" i="3"/>
  <c r="AN86" i="3"/>
  <c r="AO86" i="3"/>
  <c r="AK86" i="3"/>
  <c r="AI88" i="3"/>
  <c r="AH88" i="3"/>
  <c r="AE88" i="3"/>
  <c r="AM82" i="3"/>
  <c r="AO82" i="3"/>
  <c r="AN82" i="3"/>
  <c r="AL82" i="3"/>
  <c r="AK82" i="3"/>
  <c r="AN85" i="3"/>
  <c r="AO85" i="3"/>
  <c r="AL85" i="3"/>
  <c r="AK85" i="3"/>
  <c r="AM85" i="3"/>
  <c r="AE89" i="3"/>
  <c r="AI89" i="3"/>
  <c r="AH89" i="3"/>
  <c r="AO84" i="3"/>
  <c r="AN84" i="3"/>
  <c r="AK84" i="3"/>
  <c r="AM84" i="3"/>
  <c r="AL84" i="3"/>
  <c r="AE87" i="3"/>
  <c r="AH87" i="3"/>
  <c r="AI87" i="3"/>
  <c r="AN83" i="3"/>
  <c r="AM83" i="3"/>
  <c r="AL83" i="3"/>
  <c r="AO83" i="3"/>
  <c r="AK83" i="3"/>
  <c r="AI94" i="3" l="1"/>
  <c r="AE94" i="3"/>
  <c r="AH94" i="3"/>
  <c r="AL91" i="3"/>
  <c r="AM91" i="3"/>
  <c r="AN91" i="3"/>
  <c r="AO91" i="3"/>
  <c r="AK91" i="3"/>
  <c r="AI92" i="3"/>
  <c r="AE92" i="3"/>
  <c r="AH92" i="3"/>
  <c r="AK90" i="3"/>
  <c r="AN90" i="3"/>
  <c r="AO90" i="3"/>
  <c r="AL90" i="3"/>
  <c r="AM90" i="3"/>
  <c r="L24" i="1"/>
  <c r="I25" i="1"/>
  <c r="D68" i="3"/>
  <c r="K24" i="1"/>
  <c r="F68" i="3" s="1"/>
  <c r="AK89" i="3"/>
  <c r="AM89" i="3"/>
  <c r="AN89" i="3"/>
  <c r="AO89" i="3"/>
  <c r="AL89" i="3"/>
  <c r="AM88" i="3"/>
  <c r="AN88" i="3"/>
  <c r="AK88" i="3"/>
  <c r="AO88" i="3"/>
  <c r="AL88" i="3"/>
  <c r="Z101" i="3"/>
  <c r="AJ101" i="3" s="1"/>
  <c r="Z99" i="3"/>
  <c r="AJ99" i="3" s="1"/>
  <c r="Z100" i="3"/>
  <c r="AJ100" i="3" s="1"/>
  <c r="Z98" i="3"/>
  <c r="AJ98" i="3" s="1"/>
  <c r="Z97" i="3"/>
  <c r="AJ97" i="3" s="1"/>
  <c r="AE95" i="3"/>
  <c r="AI95" i="3"/>
  <c r="AH95" i="3"/>
  <c r="AN87" i="3"/>
  <c r="AM87" i="3"/>
  <c r="AK87" i="3"/>
  <c r="AL87" i="3"/>
  <c r="AO87" i="3"/>
  <c r="AI96" i="3"/>
  <c r="AH96" i="3"/>
  <c r="AE96" i="3"/>
  <c r="AH93" i="3"/>
  <c r="AI93" i="3"/>
  <c r="AE93" i="3"/>
  <c r="D69" i="3" l="1"/>
  <c r="Z107" i="3" s="1"/>
  <c r="AJ107" i="3" s="1"/>
  <c r="L25" i="1"/>
  <c r="K25" i="1"/>
  <c r="F69" i="3" s="1"/>
  <c r="AH100" i="3"/>
  <c r="AE100" i="3"/>
  <c r="AI100" i="3"/>
  <c r="AN94" i="3"/>
  <c r="AM94" i="3"/>
  <c r="AO94" i="3"/>
  <c r="AL94" i="3"/>
  <c r="AK94" i="3"/>
  <c r="AN96" i="3"/>
  <c r="AK96" i="3"/>
  <c r="AO96" i="3"/>
  <c r="AM96" i="3"/>
  <c r="AL96" i="3"/>
  <c r="AI99" i="3"/>
  <c r="AH99" i="3"/>
  <c r="AE99" i="3"/>
  <c r="AE98" i="3"/>
  <c r="AI98" i="3"/>
  <c r="AH98" i="3"/>
  <c r="AK95" i="3"/>
  <c r="AN95" i="3"/>
  <c r="AO95" i="3"/>
  <c r="AL95" i="3"/>
  <c r="AM95" i="3"/>
  <c r="AL93" i="3"/>
  <c r="AN93" i="3"/>
  <c r="AM93" i="3"/>
  <c r="AO93" i="3"/>
  <c r="AK93" i="3"/>
  <c r="AH97" i="3"/>
  <c r="AE97" i="3"/>
  <c r="AI97" i="3"/>
  <c r="AH101" i="3"/>
  <c r="AI101" i="3"/>
  <c r="AE101" i="3"/>
  <c r="Z103" i="3"/>
  <c r="AJ103" i="3" s="1"/>
  <c r="Z102" i="3"/>
  <c r="AJ102" i="3" s="1"/>
  <c r="Z106" i="3"/>
  <c r="AJ106" i="3" s="1"/>
  <c r="Z105" i="3"/>
  <c r="AJ105" i="3" s="1"/>
  <c r="Z104" i="3"/>
  <c r="AJ104" i="3" s="1"/>
  <c r="AL92" i="3"/>
  <c r="AK92" i="3"/>
  <c r="AN92" i="3"/>
  <c r="AO92" i="3"/>
  <c r="AM92" i="3"/>
  <c r="AH103" i="3" l="1"/>
  <c r="AI103" i="3"/>
  <c r="AE103" i="3"/>
  <c r="AH105" i="3"/>
  <c r="AI105" i="3"/>
  <c r="AE105" i="3"/>
  <c r="AE106" i="3"/>
  <c r="AH106" i="3"/>
  <c r="AI106" i="3"/>
  <c r="AI104" i="3"/>
  <c r="AH104" i="3"/>
  <c r="AE104" i="3"/>
  <c r="AK101" i="3"/>
  <c r="AO101" i="3"/>
  <c r="AN101" i="3"/>
  <c r="AM101" i="3"/>
  <c r="AL101" i="3"/>
  <c r="AN99" i="3"/>
  <c r="AM99" i="3"/>
  <c r="AO99" i="3"/>
  <c r="AK99" i="3"/>
  <c r="AL99" i="3"/>
  <c r="AN100" i="3"/>
  <c r="AO100" i="3"/>
  <c r="AL100" i="3"/>
  <c r="AM100" i="3"/>
  <c r="AK100" i="3"/>
  <c r="AE102" i="3"/>
  <c r="AH102" i="3"/>
  <c r="AI102" i="3"/>
  <c r="AL97" i="3"/>
  <c r="AK97" i="3"/>
  <c r="AM97" i="3"/>
  <c r="AN97" i="3"/>
  <c r="AO97" i="3"/>
  <c r="AK98" i="3"/>
  <c r="AL98" i="3"/>
  <c r="AN98" i="3"/>
  <c r="AO98" i="3"/>
  <c r="AM98" i="3"/>
  <c r="AI107" i="3"/>
  <c r="AE107" i="3"/>
  <c r="AH107" i="3"/>
  <c r="AN107" i="3" l="1"/>
  <c r="AO107" i="3"/>
  <c r="AM107" i="3"/>
  <c r="AL107" i="3"/>
  <c r="AK107" i="3"/>
  <c r="AL103" i="3"/>
  <c r="AM103" i="3"/>
  <c r="AK103" i="3"/>
  <c r="AO103" i="3"/>
  <c r="AN103" i="3"/>
  <c r="AL104" i="3"/>
  <c r="AO104" i="3"/>
  <c r="AM104" i="3"/>
  <c r="AK104" i="3"/>
  <c r="AN104" i="3"/>
  <c r="AL106" i="3"/>
  <c r="AK106" i="3"/>
  <c r="AM106" i="3"/>
  <c r="AO106" i="3"/>
  <c r="AN106" i="3"/>
  <c r="AN105" i="3"/>
  <c r="AL105" i="3"/>
  <c r="AM105" i="3"/>
  <c r="AO105" i="3"/>
  <c r="AK105" i="3"/>
  <c r="AK102" i="3"/>
  <c r="AN102" i="3"/>
  <c r="AM102" i="3"/>
  <c r="AO102" i="3"/>
  <c r="AL102" i="3"/>
</calcChain>
</file>

<file path=xl/comments1.xml><?xml version="1.0" encoding="utf-8"?>
<comments xmlns="http://schemas.openxmlformats.org/spreadsheetml/2006/main">
  <authors>
    <author>Sky123.Org</author>
  </authors>
  <commentLis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Sky123.Org:</t>
        </r>
        <r>
          <rPr>
            <sz val="9"/>
            <color indexed="81"/>
            <rFont val="宋体"/>
            <family val="3"/>
            <charset val="134"/>
          </rPr>
          <t xml:space="preserve">
公式计算所用基础值</t>
        </r>
      </text>
    </comment>
  </commentList>
</comments>
</file>

<file path=xl/sharedStrings.xml><?xml version="1.0" encoding="utf-8"?>
<sst xmlns="http://schemas.openxmlformats.org/spreadsheetml/2006/main" count="829" uniqueCount="444">
  <si>
    <t>宠物初始属性</t>
    <phoneticPr fontId="2" type="noConversion"/>
  </si>
  <si>
    <t>宠物属性点</t>
    <phoneticPr fontId="2" type="noConversion"/>
  </si>
  <si>
    <t>角色成长配点</t>
    <phoneticPr fontId="2" type="noConversion"/>
  </si>
  <si>
    <t>宠物成长配点</t>
    <phoneticPr fontId="2" type="noConversion"/>
  </si>
  <si>
    <t>宠物等级</t>
    <phoneticPr fontId="2" type="noConversion"/>
  </si>
  <si>
    <t>角色累积成长</t>
    <phoneticPr fontId="2" type="noConversion"/>
  </si>
  <si>
    <t>宠物成长点数</t>
    <phoneticPr fontId="2" type="noConversion"/>
  </si>
  <si>
    <t>生命</t>
    <phoneticPr fontId="2" type="noConversion"/>
  </si>
  <si>
    <t>攻击</t>
    <phoneticPr fontId="2" type="noConversion"/>
  </si>
  <si>
    <t>护甲</t>
    <phoneticPr fontId="2" type="noConversion"/>
  </si>
  <si>
    <t>减免伤害</t>
    <phoneticPr fontId="2" type="noConversion"/>
  </si>
  <si>
    <t>最终伤害</t>
    <phoneticPr fontId="2" type="noConversion"/>
  </si>
  <si>
    <t>属性点</t>
    <phoneticPr fontId="2" type="noConversion"/>
  </si>
  <si>
    <t>宠物标准投放比</t>
    <phoneticPr fontId="2" type="noConversion"/>
  </si>
  <si>
    <t>比例</t>
    <phoneticPr fontId="2" type="noConversion"/>
  </si>
  <si>
    <t>生命</t>
    <phoneticPr fontId="2" type="noConversion"/>
  </si>
  <si>
    <t>攻击</t>
    <phoneticPr fontId="2" type="noConversion"/>
  </si>
  <si>
    <t>减免伤害</t>
    <phoneticPr fontId="2" type="noConversion"/>
  </si>
  <si>
    <t>属性值</t>
    <phoneticPr fontId="2" type="noConversion"/>
  </si>
  <si>
    <t>宠物进阶等级</t>
    <phoneticPr fontId="2" type="noConversion"/>
  </si>
  <si>
    <t>进阶属性比例</t>
    <phoneticPr fontId="2" type="noConversion"/>
  </si>
  <si>
    <t>宠物星级</t>
    <phoneticPr fontId="2" type="noConversion"/>
  </si>
  <si>
    <t>成长属性点增量</t>
    <phoneticPr fontId="2" type="noConversion"/>
  </si>
  <si>
    <t>宠物属性计算方式：</t>
    <phoneticPr fontId="2" type="noConversion"/>
  </si>
  <si>
    <t>(宠物属性初值+f(lv)*宠物属性点数*宠物属性分配比例*属性价值))*(1+宠物进阶属性增量+宠物升星属性增量）</t>
    <phoneticPr fontId="2" type="noConversion"/>
  </si>
  <si>
    <t>宠物属性初值=1级宠物1级属性</t>
    <phoneticPr fontId="2" type="noConversion"/>
  </si>
  <si>
    <t>宠物属性点数=宠物属性点/角色成长配点</t>
    <phoneticPr fontId="2" type="noConversion"/>
  </si>
  <si>
    <t>天赋类型</t>
    <phoneticPr fontId="2" type="noConversion"/>
  </si>
  <si>
    <t>最终伤害</t>
    <phoneticPr fontId="2" type="noConversion"/>
  </si>
  <si>
    <t>初级</t>
    <phoneticPr fontId="2" type="noConversion"/>
  </si>
  <si>
    <t>中级</t>
    <phoneticPr fontId="2" type="noConversion"/>
  </si>
  <si>
    <t>高级</t>
    <phoneticPr fontId="2" type="noConversion"/>
  </si>
  <si>
    <t>天赋初始属性点</t>
    <phoneticPr fontId="2" type="noConversion"/>
  </si>
  <si>
    <t>天赋成长属性点</t>
    <phoneticPr fontId="2" type="noConversion"/>
  </si>
  <si>
    <t>角色成长配点</t>
    <phoneticPr fontId="2" type="noConversion"/>
  </si>
  <si>
    <t>天赋成长配点</t>
    <phoneticPr fontId="2" type="noConversion"/>
  </si>
  <si>
    <t>属性比例</t>
    <phoneticPr fontId="2" type="noConversion"/>
  </si>
  <si>
    <t>成长属性点</t>
    <phoneticPr fontId="2" type="noConversion"/>
  </si>
  <si>
    <t>初始属性点</t>
    <phoneticPr fontId="2" type="noConversion"/>
  </si>
  <si>
    <t>等级</t>
    <phoneticPr fontId="2" type="noConversion"/>
  </si>
  <si>
    <t>角色累积成长</t>
    <phoneticPr fontId="2" type="noConversion"/>
  </si>
  <si>
    <t>初级</t>
    <phoneticPr fontId="2" type="noConversion"/>
  </si>
  <si>
    <t>高级</t>
    <phoneticPr fontId="2" type="noConversion"/>
  </si>
  <si>
    <t>攻击天赋属性值</t>
    <phoneticPr fontId="2" type="noConversion"/>
  </si>
  <si>
    <t>天赋点数</t>
    <phoneticPr fontId="2" type="noConversion"/>
  </si>
  <si>
    <t>天赋组合</t>
    <phoneticPr fontId="2" type="noConversion"/>
  </si>
  <si>
    <t>组合1</t>
    <phoneticPr fontId="2" type="noConversion"/>
  </si>
  <si>
    <t>组合2</t>
  </si>
  <si>
    <t>天赋类型1</t>
    <phoneticPr fontId="2" type="noConversion"/>
  </si>
  <si>
    <t>天赋类型2</t>
    <phoneticPr fontId="2" type="noConversion"/>
  </si>
  <si>
    <t>初级</t>
    <phoneticPr fontId="2" type="noConversion"/>
  </si>
  <si>
    <t>高级</t>
    <phoneticPr fontId="2" type="noConversion"/>
  </si>
  <si>
    <t>总属性比重</t>
    <phoneticPr fontId="2" type="noConversion"/>
  </si>
  <si>
    <t>组合3</t>
  </si>
  <si>
    <t>组合4</t>
  </si>
  <si>
    <t>天赋属性类型</t>
    <phoneticPr fontId="2" type="noConversion"/>
  </si>
  <si>
    <t>生命</t>
    <phoneticPr fontId="2" type="noConversion"/>
  </si>
  <si>
    <t>攻击</t>
    <phoneticPr fontId="2" type="noConversion"/>
  </si>
  <si>
    <t>护甲</t>
    <phoneticPr fontId="2" type="noConversion"/>
  </si>
  <si>
    <t>减免伤害</t>
    <phoneticPr fontId="2" type="noConversion"/>
  </si>
  <si>
    <t>防御型</t>
    <phoneticPr fontId="2" type="noConversion"/>
  </si>
  <si>
    <t>攻击型</t>
    <phoneticPr fontId="2" type="noConversion"/>
  </si>
  <si>
    <t>宠物类型</t>
    <phoneticPr fontId="2" type="noConversion"/>
  </si>
  <si>
    <t>攻击型</t>
    <phoneticPr fontId="2" type="noConversion"/>
  </si>
  <si>
    <t>防御型</t>
    <phoneticPr fontId="2" type="noConversion"/>
  </si>
  <si>
    <t>辅助型</t>
    <phoneticPr fontId="2" type="noConversion"/>
  </si>
  <si>
    <t>初级</t>
    <phoneticPr fontId="2" type="noConversion"/>
  </si>
  <si>
    <t>*宠物2个属性天赋标准为2个中级天赋</t>
    <phoneticPr fontId="2" type="noConversion"/>
  </si>
  <si>
    <t>宠物光环天赋列表</t>
    <phoneticPr fontId="2" type="noConversion"/>
  </si>
  <si>
    <t>天赋名称</t>
    <phoneticPr fontId="2" type="noConversion"/>
  </si>
  <si>
    <t>天赋效果</t>
    <phoneticPr fontId="2" type="noConversion"/>
  </si>
  <si>
    <t>专注光环</t>
    <phoneticPr fontId="2" type="noConversion"/>
  </si>
  <si>
    <t>所有出战宠物攻击+2%</t>
    <phoneticPr fontId="2" type="noConversion"/>
  </si>
  <si>
    <t>所有出战宠物暴击几率+2%</t>
    <phoneticPr fontId="2" type="noConversion"/>
  </si>
  <si>
    <t>所有出战宠物暴击伤害+2%</t>
    <phoneticPr fontId="2" type="noConversion"/>
  </si>
  <si>
    <t>所有出战宠物生命+2%</t>
    <phoneticPr fontId="2" type="noConversion"/>
  </si>
  <si>
    <t>所有出战宠物护甲+2%</t>
    <phoneticPr fontId="2" type="noConversion"/>
  </si>
  <si>
    <t>所有出战宠物抗暴几率+2%</t>
    <phoneticPr fontId="2" type="noConversion"/>
  </si>
  <si>
    <t>所有出战宠物在生命低于30%时，会瞬间回复30%生命，冷却时间10秒</t>
    <phoneticPr fontId="2" type="noConversion"/>
  </si>
  <si>
    <t>所有出战宠物对怪物的伤害提高10%</t>
    <phoneticPr fontId="2" type="noConversion"/>
  </si>
  <si>
    <t>所有出战宠物对英雄的伤害提高10%</t>
    <phoneticPr fontId="2" type="noConversion"/>
  </si>
  <si>
    <t>所有出战宠物在对敌人造成伤害时，有10%几率眩晕敌人，持续1秒</t>
    <phoneticPr fontId="2" type="noConversion"/>
  </si>
  <si>
    <t>天赋类型</t>
    <phoneticPr fontId="2" type="noConversion"/>
  </si>
  <si>
    <t>攻击型</t>
    <phoneticPr fontId="2" type="noConversion"/>
  </si>
  <si>
    <t>防御型</t>
    <phoneticPr fontId="2" type="noConversion"/>
  </si>
  <si>
    <t>辅助型</t>
    <phoneticPr fontId="2" type="noConversion"/>
  </si>
  <si>
    <t>装备进阶等级</t>
  </si>
  <si>
    <t>装备星级</t>
  </si>
  <si>
    <t>星级属性增量</t>
  </si>
  <si>
    <t>成长属性点</t>
  </si>
  <si>
    <t>宝石等级</t>
  </si>
  <si>
    <t>单颗属性点</t>
  </si>
  <si>
    <t>宠物成长属性点</t>
    <phoneticPr fontId="2" type="noConversion"/>
  </si>
  <si>
    <t>装备属性点</t>
    <phoneticPr fontId="2" type="noConversion"/>
  </si>
  <si>
    <t>宠物成长初始属性点</t>
    <phoneticPr fontId="2" type="noConversion"/>
  </si>
  <si>
    <t>角色成长配点</t>
    <phoneticPr fontId="2" type="noConversion"/>
  </si>
  <si>
    <t>宝石属性点</t>
    <phoneticPr fontId="2" type="noConversion"/>
  </si>
  <si>
    <t>天赋属性点</t>
    <phoneticPr fontId="2" type="noConversion"/>
  </si>
  <si>
    <t>天赋初始属性点</t>
    <phoneticPr fontId="2" type="noConversion"/>
  </si>
  <si>
    <t>天赋成长配点</t>
    <phoneticPr fontId="2" type="noConversion"/>
  </si>
  <si>
    <t>宠物属性点和</t>
    <phoneticPr fontId="2" type="noConversion"/>
  </si>
  <si>
    <t>等级</t>
    <phoneticPr fontId="2" type="noConversion"/>
  </si>
  <si>
    <t>累积成长</t>
    <phoneticPr fontId="2" type="noConversion"/>
  </si>
  <si>
    <t>出战宠物等级</t>
    <phoneticPr fontId="2" type="noConversion"/>
  </si>
  <si>
    <t>装备等级</t>
    <phoneticPr fontId="2" type="noConversion"/>
  </si>
  <si>
    <t>装备进阶等级</t>
    <phoneticPr fontId="2" type="noConversion"/>
  </si>
  <si>
    <t>装备星级</t>
    <phoneticPr fontId="2" type="noConversion"/>
  </si>
  <si>
    <t>宝石等级</t>
    <phoneticPr fontId="2" type="noConversion"/>
  </si>
  <si>
    <t>宝石颗数</t>
    <phoneticPr fontId="2" type="noConversion"/>
  </si>
  <si>
    <t>天赋等级</t>
    <phoneticPr fontId="2" type="noConversion"/>
  </si>
  <si>
    <t>属性名称</t>
    <phoneticPr fontId="2" type="noConversion"/>
  </si>
  <si>
    <t>生命</t>
    <phoneticPr fontId="2" type="noConversion"/>
  </si>
  <si>
    <t>攻击</t>
    <phoneticPr fontId="2" type="noConversion"/>
  </si>
  <si>
    <t>护甲</t>
    <phoneticPr fontId="2" type="noConversion"/>
  </si>
  <si>
    <t>减免伤害</t>
    <phoneticPr fontId="2" type="noConversion"/>
  </si>
  <si>
    <t>最终伤害</t>
    <phoneticPr fontId="2" type="noConversion"/>
  </si>
  <si>
    <t>宠物成长</t>
    <phoneticPr fontId="2" type="noConversion"/>
  </si>
  <si>
    <t>宠物进阶</t>
    <phoneticPr fontId="2" type="noConversion"/>
  </si>
  <si>
    <t>宠物升星</t>
    <phoneticPr fontId="2" type="noConversion"/>
  </si>
  <si>
    <t>装备进阶</t>
    <phoneticPr fontId="2" type="noConversion"/>
  </si>
  <si>
    <t>装备觉醒</t>
    <phoneticPr fontId="2" type="noConversion"/>
  </si>
  <si>
    <t>天赋</t>
    <phoneticPr fontId="2" type="noConversion"/>
  </si>
  <si>
    <t>宝石</t>
    <phoneticPr fontId="2" type="noConversion"/>
  </si>
  <si>
    <t>宠物缘分</t>
    <phoneticPr fontId="2" type="noConversion"/>
  </si>
  <si>
    <t>属性和</t>
    <phoneticPr fontId="2" type="noConversion"/>
  </si>
  <si>
    <t>最小</t>
    <phoneticPr fontId="2" type="noConversion"/>
  </si>
  <si>
    <t>标准分配</t>
    <phoneticPr fontId="2" type="noConversion"/>
  </si>
  <si>
    <t>最小属性</t>
    <phoneticPr fontId="2" type="noConversion"/>
  </si>
  <si>
    <t>最大属性</t>
    <phoneticPr fontId="2" type="noConversion"/>
  </si>
  <si>
    <t>*天赋最大属性为1个高级天赋</t>
    <phoneticPr fontId="2" type="noConversion"/>
  </si>
  <si>
    <t>属性点数</t>
    <phoneticPr fontId="2" type="noConversion"/>
  </si>
  <si>
    <t>助战宠1属性比例</t>
    <phoneticPr fontId="2" type="noConversion"/>
  </si>
  <si>
    <t>助战宠2属性比例</t>
    <phoneticPr fontId="2" type="noConversion"/>
  </si>
  <si>
    <t>助战宠1</t>
    <phoneticPr fontId="2" type="noConversion"/>
  </si>
  <si>
    <t>助战宠2</t>
    <phoneticPr fontId="2" type="noConversion"/>
  </si>
  <si>
    <t>助战宠加成</t>
    <phoneticPr fontId="2" type="noConversion"/>
  </si>
  <si>
    <t>宠物进阶等级</t>
  </si>
  <si>
    <t>进阶属性比例</t>
  </si>
  <si>
    <t>宠物星级</t>
  </si>
  <si>
    <t>成长属性点增量</t>
  </si>
  <si>
    <t>宠物进阶等级</t>
    <phoneticPr fontId="2" type="noConversion"/>
  </si>
  <si>
    <t>宠物星级</t>
    <phoneticPr fontId="2" type="noConversion"/>
  </si>
  <si>
    <t>28%+28%</t>
    <phoneticPr fontId="2" type="noConversion"/>
  </si>
  <si>
    <t>36%+36%</t>
    <phoneticPr fontId="2" type="noConversion"/>
  </si>
  <si>
    <t>30%+30%</t>
    <phoneticPr fontId="2" type="noConversion"/>
  </si>
  <si>
    <t>32%+32%</t>
    <phoneticPr fontId="2" type="noConversion"/>
  </si>
  <si>
    <t>34%+34%</t>
    <phoneticPr fontId="2" type="noConversion"/>
  </si>
  <si>
    <t>宠物类型</t>
    <phoneticPr fontId="2" type="noConversion"/>
  </si>
  <si>
    <t>宠物编号</t>
    <phoneticPr fontId="2" type="noConversion"/>
  </si>
  <si>
    <t>辅助型</t>
    <phoneticPr fontId="2" type="noConversion"/>
  </si>
  <si>
    <t>宠物名称</t>
    <phoneticPr fontId="2" type="noConversion"/>
  </si>
  <si>
    <t>宠物类型</t>
    <phoneticPr fontId="2" type="noConversion"/>
  </si>
  <si>
    <t>寒冰魔巫</t>
    <phoneticPr fontId="2" type="noConversion"/>
  </si>
  <si>
    <t>辅助</t>
    <phoneticPr fontId="2" type="noConversion"/>
  </si>
  <si>
    <t>缘1</t>
    <phoneticPr fontId="2" type="noConversion"/>
  </si>
  <si>
    <t>缘2</t>
    <phoneticPr fontId="2" type="noConversion"/>
  </si>
  <si>
    <t>缘3</t>
    <phoneticPr fontId="2" type="noConversion"/>
  </si>
  <si>
    <t>小红帽</t>
    <phoneticPr fontId="2" type="noConversion"/>
  </si>
  <si>
    <t>埃及艳后</t>
    <phoneticPr fontId="2" type="noConversion"/>
  </si>
  <si>
    <t>维京人</t>
    <phoneticPr fontId="2" type="noConversion"/>
  </si>
  <si>
    <t>灵蛇狂女</t>
    <phoneticPr fontId="2" type="noConversion"/>
  </si>
  <si>
    <t>红心女王</t>
    <phoneticPr fontId="2" type="noConversion"/>
  </si>
  <si>
    <t>法攻</t>
    <phoneticPr fontId="2" type="noConversion"/>
  </si>
  <si>
    <t>灰姑娘</t>
    <phoneticPr fontId="2" type="noConversion"/>
  </si>
  <si>
    <t>红心骑士</t>
    <phoneticPr fontId="2" type="noConversion"/>
  </si>
  <si>
    <t>梦境公主</t>
    <phoneticPr fontId="2" type="noConversion"/>
  </si>
  <si>
    <t>疯帽子</t>
    <phoneticPr fontId="2" type="noConversion"/>
  </si>
  <si>
    <t>光少年</t>
    <phoneticPr fontId="2" type="noConversion"/>
  </si>
  <si>
    <t>防御</t>
    <phoneticPr fontId="2" type="noConversion"/>
  </si>
  <si>
    <t>圣天使</t>
    <phoneticPr fontId="2" type="noConversion"/>
  </si>
  <si>
    <t>机甲少女</t>
    <phoneticPr fontId="2" type="noConversion"/>
  </si>
  <si>
    <t>暗少年</t>
    <phoneticPr fontId="2" type="noConversion"/>
  </si>
  <si>
    <t>拇指姑娘</t>
    <phoneticPr fontId="2" type="noConversion"/>
  </si>
  <si>
    <t>物攻</t>
    <phoneticPr fontId="2" type="noConversion"/>
  </si>
  <si>
    <t>美人鱼</t>
    <phoneticPr fontId="2" type="noConversion"/>
  </si>
  <si>
    <t>白雪</t>
    <phoneticPr fontId="2" type="noConversion"/>
  </si>
  <si>
    <t>狼外婆</t>
    <phoneticPr fontId="2" type="noConversion"/>
  </si>
  <si>
    <t>白马王子</t>
    <phoneticPr fontId="2" type="noConversion"/>
  </si>
  <si>
    <t>光少年</t>
    <phoneticPr fontId="2" type="noConversion"/>
  </si>
  <si>
    <t>堕落天使</t>
    <phoneticPr fontId="2" type="noConversion"/>
  </si>
  <si>
    <t>爱神</t>
    <phoneticPr fontId="2" type="noConversion"/>
  </si>
  <si>
    <t>埃及艳后</t>
    <phoneticPr fontId="2" type="noConversion"/>
  </si>
  <si>
    <t>睡美人</t>
    <phoneticPr fontId="2" type="noConversion"/>
  </si>
  <si>
    <t>海神</t>
    <phoneticPr fontId="2" type="noConversion"/>
  </si>
  <si>
    <t>奥兹国王</t>
    <phoneticPr fontId="2" type="noConversion"/>
  </si>
  <si>
    <t>黑暗之殇</t>
    <phoneticPr fontId="2" type="noConversion"/>
  </si>
  <si>
    <t>控心巫后</t>
    <phoneticPr fontId="2" type="noConversion"/>
  </si>
  <si>
    <t>无尽噩梦</t>
    <phoneticPr fontId="2" type="noConversion"/>
  </si>
  <si>
    <t>黑王子</t>
    <phoneticPr fontId="2" type="noConversion"/>
  </si>
  <si>
    <t>精灵</t>
    <phoneticPr fontId="2" type="noConversion"/>
  </si>
  <si>
    <t>糖果女巫</t>
    <phoneticPr fontId="2" type="noConversion"/>
  </si>
  <si>
    <t>奥兹国王</t>
    <phoneticPr fontId="2" type="noConversion"/>
  </si>
  <si>
    <t>控心巫后</t>
    <phoneticPr fontId="2" type="noConversion"/>
  </si>
  <si>
    <t>法攻</t>
    <phoneticPr fontId="2" type="noConversion"/>
  </si>
  <si>
    <t>黑帮老鼠</t>
    <phoneticPr fontId="2" type="noConversion"/>
  </si>
  <si>
    <t>九尾狐</t>
    <phoneticPr fontId="2" type="noConversion"/>
  </si>
  <si>
    <t>白雪</t>
    <phoneticPr fontId="2" type="noConversion"/>
  </si>
  <si>
    <t>灵蛇狂女</t>
    <phoneticPr fontId="2" type="noConversion"/>
  </si>
  <si>
    <t>牛仔</t>
    <phoneticPr fontId="2" type="noConversion"/>
  </si>
  <si>
    <t>白马王子</t>
    <phoneticPr fontId="2" type="noConversion"/>
  </si>
  <si>
    <t>灰姑娘</t>
    <phoneticPr fontId="2" type="noConversion"/>
  </si>
  <si>
    <t>维京人</t>
    <phoneticPr fontId="2" type="noConversion"/>
  </si>
  <si>
    <t>海盗船长</t>
    <phoneticPr fontId="2" type="noConversion"/>
  </si>
  <si>
    <t>寒冰魔巫</t>
    <phoneticPr fontId="2" type="noConversion"/>
  </si>
  <si>
    <t>黑王子</t>
    <phoneticPr fontId="2" type="noConversion"/>
  </si>
  <si>
    <t>糖果女巫</t>
    <phoneticPr fontId="2" type="noConversion"/>
  </si>
  <si>
    <t>辅助</t>
    <phoneticPr fontId="2" type="noConversion"/>
  </si>
  <si>
    <t>海神</t>
    <phoneticPr fontId="2" type="noConversion"/>
  </si>
  <si>
    <t>爱神</t>
    <phoneticPr fontId="2" type="noConversion"/>
  </si>
  <si>
    <t>控心巫后</t>
    <phoneticPr fontId="2" type="noConversion"/>
  </si>
  <si>
    <t>绿女巫</t>
    <phoneticPr fontId="2" type="noConversion"/>
  </si>
  <si>
    <t>白马王子</t>
    <phoneticPr fontId="2" type="noConversion"/>
  </si>
  <si>
    <t>埃及艳后</t>
    <phoneticPr fontId="2" type="noConversion"/>
  </si>
  <si>
    <t>物攻</t>
    <phoneticPr fontId="2" type="noConversion"/>
  </si>
  <si>
    <t>九尾狐</t>
    <phoneticPr fontId="2" type="noConversion"/>
  </si>
  <si>
    <t>精灵</t>
    <phoneticPr fontId="2" type="noConversion"/>
  </si>
  <si>
    <t>青蛙王子</t>
    <phoneticPr fontId="2" type="noConversion"/>
  </si>
  <si>
    <t>黑王子</t>
    <phoneticPr fontId="2" type="noConversion"/>
  </si>
  <si>
    <t>缘1类型</t>
    <phoneticPr fontId="2" type="noConversion"/>
  </si>
  <si>
    <t>缘2类型</t>
    <phoneticPr fontId="2" type="noConversion"/>
  </si>
  <si>
    <t>缘3类型</t>
    <phoneticPr fontId="2" type="noConversion"/>
  </si>
  <si>
    <t>缘组合</t>
    <phoneticPr fontId="2" type="noConversion"/>
  </si>
  <si>
    <t>缘属性</t>
    <phoneticPr fontId="2" type="noConversion"/>
  </si>
  <si>
    <t>攻击</t>
    <phoneticPr fontId="2" type="noConversion"/>
  </si>
  <si>
    <t>宠物缘分说明：出战宠物缘分激活条件：激活缘分所需宠物在出战或助战孔位中</t>
    <phoneticPr fontId="2" type="noConversion"/>
  </si>
  <si>
    <t>宠物星级</t>
    <phoneticPr fontId="2" type="noConversion"/>
  </si>
  <si>
    <t>缘2</t>
    <phoneticPr fontId="2" type="noConversion"/>
  </si>
  <si>
    <t>缘3</t>
    <phoneticPr fontId="2" type="noConversion"/>
  </si>
  <si>
    <t>缘分属性设定</t>
    <phoneticPr fontId="2" type="noConversion"/>
  </si>
  <si>
    <t>总和</t>
    <phoneticPr fontId="2" type="noConversion"/>
  </si>
  <si>
    <t>标准</t>
    <phoneticPr fontId="2" type="noConversion"/>
  </si>
  <si>
    <t>生命</t>
    <phoneticPr fontId="2" type="noConversion"/>
  </si>
  <si>
    <t>最大</t>
    <phoneticPr fontId="2" type="noConversion"/>
  </si>
  <si>
    <t>出战、助战宠物个数</t>
    <phoneticPr fontId="2" type="noConversion"/>
  </si>
  <si>
    <t>攻击型vs攻击型承受伤害次数</t>
    <phoneticPr fontId="2" type="noConversion"/>
  </si>
  <si>
    <t>防御型vs防御型承受伤害次数</t>
    <phoneticPr fontId="2" type="noConversion"/>
  </si>
  <si>
    <t>攻击型vs防御型承受伤害次数</t>
    <phoneticPr fontId="2" type="noConversion"/>
  </si>
  <si>
    <t>防御型vs攻击型承受伤害次数</t>
    <phoneticPr fontId="2" type="noConversion"/>
  </si>
  <si>
    <t>生命</t>
    <phoneticPr fontId="2" type="noConversion"/>
  </si>
  <si>
    <t>攻击</t>
    <phoneticPr fontId="2" type="noConversion"/>
  </si>
  <si>
    <t>所有出战宠物在对敌人造成伤害时，会降低敌人攻击5%，持续3秒</t>
    <phoneticPr fontId="2" type="noConversion"/>
  </si>
  <si>
    <t>所有出战宠物在对敌人造成伤害时，会降低敌人护甲5%，持续3秒</t>
    <phoneticPr fontId="2" type="noConversion"/>
  </si>
  <si>
    <t>所有出战宠物每5秒回复1%最大生命值</t>
    <phoneticPr fontId="2" type="noConversion"/>
  </si>
  <si>
    <t>对敌人造成伤害时，10%几率会使目标沉默，持续1.5秒，冷却时间10秒</t>
    <phoneticPr fontId="2" type="noConversion"/>
  </si>
  <si>
    <t>对敌人造成伤害时，30%几率会使目标流血，每秒损失自身攻击*2%</t>
    <phoneticPr fontId="2" type="noConversion"/>
  </si>
  <si>
    <t>攻击时由10%几率提高自身暴击几率40%，持续5秒，冷却时间15秒</t>
    <phoneticPr fontId="2" type="noConversion"/>
  </si>
  <si>
    <t>所有出战宠物在濒临死亡时不死，持续2秒</t>
    <phoneticPr fontId="2" type="noConversion"/>
  </si>
  <si>
    <t>宠物缘分属性效果与激活缘的宠物星级相关</t>
    <phoneticPr fontId="2" type="noConversion"/>
  </si>
  <si>
    <t>属性比</t>
  </si>
  <si>
    <t>进阶成长属性增量</t>
  </si>
  <si>
    <t>进阶成长属性增量</t>
    <phoneticPr fontId="2" type="noConversion"/>
  </si>
  <si>
    <t>进阶初值增量</t>
  </si>
  <si>
    <t>进阶初值增量</t>
    <phoneticPr fontId="2" type="noConversion"/>
  </si>
  <si>
    <t>进阶成长属性点</t>
  </si>
  <si>
    <t>进阶成长属性点</t>
    <phoneticPr fontId="2" type="noConversion"/>
  </si>
  <si>
    <t>进阶初值属性点</t>
  </si>
  <si>
    <t>进阶初值属性点</t>
    <phoneticPr fontId="2" type="noConversion"/>
  </si>
  <si>
    <t>星级成长属性增量</t>
  </si>
  <si>
    <t>星级成长属性增量</t>
    <phoneticPr fontId="2" type="noConversion"/>
  </si>
  <si>
    <t>星级初值属性增量</t>
  </si>
  <si>
    <t>星级初值属性增量</t>
    <phoneticPr fontId="2" type="noConversion"/>
  </si>
  <si>
    <t>进阶初值属性增量</t>
  </si>
  <si>
    <t>装备初始属性点</t>
    <phoneticPr fontId="2" type="noConversion"/>
  </si>
  <si>
    <t>装备成长配点</t>
    <phoneticPr fontId="2" type="noConversion"/>
  </si>
  <si>
    <t>初值属性增量</t>
  </si>
  <si>
    <t>初值属性点</t>
  </si>
  <si>
    <t>宠物成长配点</t>
    <phoneticPr fontId="2" type="noConversion"/>
  </si>
  <si>
    <t>*不同的宠物类型从上述天赋属性组合中抽取1组做为其2个属性天赋</t>
    <phoneticPr fontId="2" type="noConversion"/>
  </si>
  <si>
    <t>*宠物缘分分为5星，缘分星级取</t>
    <phoneticPr fontId="2" type="noConversion"/>
  </si>
  <si>
    <t>宠物属性基础值</t>
    <phoneticPr fontId="2" type="noConversion"/>
  </si>
  <si>
    <t>宠物缘分加成</t>
    <phoneticPr fontId="2" type="noConversion"/>
  </si>
  <si>
    <t>宠物缘分加成属性点</t>
    <phoneticPr fontId="2" type="noConversion"/>
  </si>
  <si>
    <t>助战宠加成属性点</t>
    <phoneticPr fontId="2" type="noConversion"/>
  </si>
  <si>
    <t>等级</t>
    <phoneticPr fontId="2" type="noConversion"/>
  </si>
  <si>
    <t>宠物成长</t>
    <phoneticPr fontId="2" type="noConversion"/>
  </si>
  <si>
    <t>装备</t>
    <phoneticPr fontId="2" type="noConversion"/>
  </si>
  <si>
    <t>宝石</t>
    <phoneticPr fontId="2" type="noConversion"/>
  </si>
  <si>
    <t>天赋</t>
    <phoneticPr fontId="2" type="noConversion"/>
  </si>
  <si>
    <t>缘分</t>
    <phoneticPr fontId="2" type="noConversion"/>
  </si>
  <si>
    <t>助战</t>
    <phoneticPr fontId="2" type="noConversion"/>
  </si>
  <si>
    <t>每损失10%生命，增加3%攻击</t>
    <phoneticPr fontId="2" type="noConversion"/>
  </si>
  <si>
    <t>暴击伤害+15%</t>
    <phoneticPr fontId="2" type="noConversion"/>
  </si>
  <si>
    <t>将受到伤害的30%反弹给施加者</t>
    <phoneticPr fontId="2" type="noConversion"/>
  </si>
  <si>
    <t>生命值低于30%时，受到的伤害降低30%</t>
    <phoneticPr fontId="2" type="noConversion"/>
  </si>
  <si>
    <t>每5秒回复主角生命上限1.5%</t>
    <phoneticPr fontId="2" type="noConversion"/>
  </si>
  <si>
    <t>在死亡时有30%几率满血复活</t>
    <phoneticPr fontId="2" type="noConversion"/>
  </si>
  <si>
    <t>对敌人造成伤害时，20%几率降低其护甲20%，持续3秒，冷却10秒</t>
    <phoneticPr fontId="2" type="noConversion"/>
  </si>
  <si>
    <t>对敌人造成伤害时，20%几率使其受到的伤害加剧30%，持续3秒，冷却10秒</t>
    <phoneticPr fontId="2" type="noConversion"/>
  </si>
  <si>
    <t>对敌人造成伤害时，20%几率会使敌人每秒损失自身攻击*5%生命，持续3秒，冷却10秒</t>
    <phoneticPr fontId="2" type="noConversion"/>
  </si>
  <si>
    <t>对敌人造成伤害时，降低其攻击20%，冷却时间10秒</t>
    <phoneticPr fontId="2" type="noConversion"/>
  </si>
  <si>
    <t>对敌人造成伤害时，20%几率使其眩晕2秒，冷却时间10秒</t>
    <phoneticPr fontId="2" type="noConversion"/>
  </si>
  <si>
    <t>对敌人造成伤害时，20%几率使其沉默3秒，冷却时间10秒</t>
    <phoneticPr fontId="2" type="noConversion"/>
  </si>
  <si>
    <t>护身符、神戒除外</t>
    <phoneticPr fontId="2" type="noConversion"/>
  </si>
  <si>
    <t>护身符、神戒除外</t>
    <phoneticPr fontId="2" type="noConversion"/>
  </si>
  <si>
    <t>护身符神戒</t>
    <phoneticPr fontId="2" type="noConversion"/>
  </si>
  <si>
    <t>太极熊猫</t>
    <phoneticPr fontId="2" type="noConversion"/>
  </si>
  <si>
    <t>主角初始生命</t>
    <phoneticPr fontId="2" type="noConversion"/>
  </si>
  <si>
    <t>生命</t>
    <phoneticPr fontId="2" type="noConversion"/>
  </si>
  <si>
    <t>伤害</t>
    <phoneticPr fontId="2" type="noConversion"/>
  </si>
  <si>
    <t>宠物</t>
    <phoneticPr fontId="2" type="noConversion"/>
  </si>
  <si>
    <t>装备</t>
    <phoneticPr fontId="2" type="noConversion"/>
  </si>
  <si>
    <t>生命</t>
    <phoneticPr fontId="2" type="noConversion"/>
  </si>
  <si>
    <t>等级</t>
    <phoneticPr fontId="2" type="noConversion"/>
  </si>
  <si>
    <t>综合</t>
    <phoneticPr fontId="2" type="noConversion"/>
  </si>
  <si>
    <t>生命</t>
    <phoneticPr fontId="2" type="noConversion"/>
  </si>
  <si>
    <t>攻击</t>
    <phoneticPr fontId="2" type="noConversion"/>
  </si>
  <si>
    <t>护甲</t>
    <phoneticPr fontId="2" type="noConversion"/>
  </si>
  <si>
    <t>减免伤害</t>
    <phoneticPr fontId="2" type="noConversion"/>
  </si>
  <si>
    <t>最终伤害</t>
    <phoneticPr fontId="2" type="noConversion"/>
  </si>
  <si>
    <t>宠物属性值</t>
    <phoneticPr fontId="2" type="noConversion"/>
  </si>
  <si>
    <t>宠物名称</t>
    <phoneticPr fontId="2" type="noConversion"/>
  </si>
  <si>
    <t>海格力斯</t>
    <phoneticPr fontId="2" type="noConversion"/>
  </si>
  <si>
    <t>类型</t>
    <phoneticPr fontId="2" type="noConversion"/>
  </si>
  <si>
    <t>防御</t>
    <phoneticPr fontId="2" type="noConversion"/>
  </si>
  <si>
    <t>暗黑女神</t>
    <phoneticPr fontId="2" type="noConversion"/>
  </si>
  <si>
    <t>辅助</t>
    <phoneticPr fontId="2" type="noConversion"/>
  </si>
  <si>
    <t>宙斯</t>
    <phoneticPr fontId="2" type="noConversion"/>
  </si>
  <si>
    <t>攻击</t>
  </si>
  <si>
    <t>波塞冬</t>
    <phoneticPr fontId="2" type="noConversion"/>
  </si>
  <si>
    <t>辅助</t>
    <phoneticPr fontId="2" type="noConversion"/>
  </si>
  <si>
    <t>雅典娜</t>
    <phoneticPr fontId="2" type="noConversion"/>
  </si>
  <si>
    <t>阿波罗</t>
    <phoneticPr fontId="2" type="noConversion"/>
  </si>
  <si>
    <t>赫尔墨斯</t>
    <phoneticPr fontId="2" type="noConversion"/>
  </si>
  <si>
    <t>赫拉</t>
    <phoneticPr fontId="2" type="noConversion"/>
  </si>
  <si>
    <t>巴克斯</t>
    <phoneticPr fontId="2" type="noConversion"/>
  </si>
  <si>
    <t>防御</t>
    <phoneticPr fontId="2" type="noConversion"/>
  </si>
  <si>
    <t>哈迪斯</t>
    <phoneticPr fontId="2" type="noConversion"/>
  </si>
  <si>
    <t>赫菲斯托斯</t>
    <phoneticPr fontId="2" type="noConversion"/>
  </si>
  <si>
    <t>宠物成长属性比例</t>
    <phoneticPr fontId="2" type="noConversion"/>
  </si>
  <si>
    <t>属性总和</t>
    <phoneticPr fontId="2" type="noConversion"/>
  </si>
  <si>
    <t>天赋1</t>
    <phoneticPr fontId="2" type="noConversion"/>
  </si>
  <si>
    <t>天赋2</t>
    <phoneticPr fontId="2" type="noConversion"/>
  </si>
  <si>
    <t>宠物天赋</t>
    <phoneticPr fontId="2" type="noConversion"/>
  </si>
  <si>
    <t>高级攻击</t>
    <phoneticPr fontId="2" type="noConversion"/>
  </si>
  <si>
    <t>中级攻击</t>
    <phoneticPr fontId="2" type="noConversion"/>
  </si>
  <si>
    <t>中级最终伤害</t>
    <phoneticPr fontId="2" type="noConversion"/>
  </si>
  <si>
    <t>初级攻击</t>
    <phoneticPr fontId="2" type="noConversion"/>
  </si>
  <si>
    <t>高级最终伤害</t>
    <phoneticPr fontId="2" type="noConversion"/>
  </si>
  <si>
    <t>中级攻击</t>
    <phoneticPr fontId="2" type="noConversion"/>
  </si>
  <si>
    <t>中级生命</t>
    <phoneticPr fontId="2" type="noConversion"/>
  </si>
  <si>
    <t>中级护甲</t>
    <phoneticPr fontId="2" type="noConversion"/>
  </si>
  <si>
    <t>初级生命</t>
    <phoneticPr fontId="2" type="noConversion"/>
  </si>
  <si>
    <t>天赋4</t>
    <phoneticPr fontId="2" type="noConversion"/>
  </si>
  <si>
    <t>天赋3</t>
    <phoneticPr fontId="2" type="noConversion"/>
  </si>
  <si>
    <t>缘分名称</t>
    <phoneticPr fontId="2" type="noConversion"/>
  </si>
  <si>
    <t>宠物1</t>
    <phoneticPr fontId="2" type="noConversion"/>
  </si>
  <si>
    <t>宠物2</t>
    <phoneticPr fontId="2" type="noConversion"/>
  </si>
  <si>
    <t>宠物3</t>
    <phoneticPr fontId="2" type="noConversion"/>
  </si>
  <si>
    <t>出现次数</t>
    <phoneticPr fontId="2" type="noConversion"/>
  </si>
  <si>
    <t>勇猛：所有出战宠物对角色与宠物伤害提高2%</t>
    <phoneticPr fontId="2" type="noConversion"/>
  </si>
  <si>
    <t>屠夫：所有出战宠物对怪物伤害提高2%</t>
    <phoneticPr fontId="2" type="noConversion"/>
  </si>
  <si>
    <t>刃甲：将受到伤害的30%反弹给施加者</t>
    <phoneticPr fontId="2" type="noConversion"/>
  </si>
  <si>
    <t>破甲：在对敌人造成伤害时，会降低敌人护甲5%，持续3秒</t>
    <phoneticPr fontId="2" type="noConversion"/>
  </si>
  <si>
    <t>回春：每5秒回复1%最大生命值</t>
    <phoneticPr fontId="2" type="noConversion"/>
  </si>
  <si>
    <t>咒刃：对敌人造成伤害时，30%几率会使目标流血，每秒损失自身攻击*2%</t>
    <phoneticPr fontId="2" type="noConversion"/>
  </si>
  <si>
    <t>冥想：对敌人造成伤害时，10%几率会使目标沉默，持续1.5秒，冷却时间10秒</t>
    <phoneticPr fontId="2" type="noConversion"/>
  </si>
  <si>
    <t>禁锢：对敌人造成伤害时，有10%几率眩晕敌人，持续1秒</t>
    <phoneticPr fontId="2" type="noConversion"/>
  </si>
  <si>
    <t>虚弱：对敌人造成伤害时，会降低敌人攻击5%，持续3秒</t>
    <phoneticPr fontId="2" type="noConversion"/>
  </si>
  <si>
    <t>生命光环：所有出战宠物生命+xx</t>
    <phoneticPr fontId="2" type="noConversion"/>
  </si>
  <si>
    <t>护甲光环：所有出战宠物护甲+xx</t>
    <phoneticPr fontId="2" type="noConversion"/>
  </si>
  <si>
    <t>神王神后</t>
    <phoneticPr fontId="2" type="noConversion"/>
  </si>
  <si>
    <t>赫拉</t>
    <phoneticPr fontId="2" type="noConversion"/>
  </si>
  <si>
    <t>宙斯</t>
    <phoneticPr fontId="2" type="noConversion"/>
  </si>
  <si>
    <t>奥林匹斯三巨头</t>
    <phoneticPr fontId="2" type="noConversion"/>
  </si>
  <si>
    <t>波塞冬</t>
    <phoneticPr fontId="2" type="noConversion"/>
  </si>
  <si>
    <t>弓箭之神</t>
    <phoneticPr fontId="2" type="noConversion"/>
  </si>
  <si>
    <t>阿波罗</t>
    <phoneticPr fontId="2" type="noConversion"/>
  </si>
  <si>
    <t>阿尔忒弥斯</t>
    <phoneticPr fontId="2" type="noConversion"/>
  </si>
  <si>
    <t>特洛伊的苦役</t>
    <phoneticPr fontId="2" type="noConversion"/>
  </si>
  <si>
    <t>阿波罗</t>
    <phoneticPr fontId="2" type="noConversion"/>
  </si>
  <si>
    <t>男神的友情</t>
    <phoneticPr fontId="2" type="noConversion"/>
  </si>
  <si>
    <t>阿波罗</t>
    <phoneticPr fontId="2" type="noConversion"/>
  </si>
  <si>
    <t>赫尔墨斯</t>
    <phoneticPr fontId="2" type="noConversion"/>
  </si>
  <si>
    <t>赫菲斯托斯</t>
  </si>
  <si>
    <t>阿尔忒弥斯</t>
    <phoneticPr fontId="2" type="noConversion"/>
  </si>
  <si>
    <t>前仇尽释</t>
    <phoneticPr fontId="2" type="noConversion"/>
  </si>
  <si>
    <t>赫拉</t>
    <phoneticPr fontId="2" type="noConversion"/>
  </si>
  <si>
    <t>海格力斯</t>
    <phoneticPr fontId="2" type="noConversion"/>
  </si>
  <si>
    <t>工匠之神</t>
    <phoneticPr fontId="2" type="noConversion"/>
  </si>
  <si>
    <t>雅典娜</t>
    <phoneticPr fontId="2" type="noConversion"/>
  </si>
  <si>
    <t>暗黑女神</t>
    <phoneticPr fontId="2" type="noConversion"/>
  </si>
  <si>
    <t>三处女</t>
    <phoneticPr fontId="2" type="noConversion"/>
  </si>
  <si>
    <t>赫菲斯托斯</t>
    <phoneticPr fontId="2" type="noConversion"/>
  </si>
  <si>
    <t>巴克斯</t>
    <phoneticPr fontId="2" type="noConversion"/>
  </si>
  <si>
    <t>捕获神鹿</t>
    <phoneticPr fontId="2" type="noConversion"/>
  </si>
  <si>
    <t>哈迪斯</t>
    <phoneticPr fontId="2" type="noConversion"/>
  </si>
  <si>
    <t>隐形头盔</t>
    <phoneticPr fontId="2" type="noConversion"/>
  </si>
  <si>
    <t>制造之神</t>
    <phoneticPr fontId="2" type="noConversion"/>
  </si>
  <si>
    <t>醉生梦死</t>
    <phoneticPr fontId="2" type="noConversion"/>
  </si>
  <si>
    <t>阴谋败露</t>
    <phoneticPr fontId="2" type="noConversion"/>
  </si>
  <si>
    <t>组合宠物</t>
    <phoneticPr fontId="2" type="noConversion"/>
  </si>
  <si>
    <t>组合宠物类型</t>
    <phoneticPr fontId="2" type="noConversion"/>
  </si>
  <si>
    <t>海格力斯</t>
    <phoneticPr fontId="2" type="noConversion"/>
  </si>
  <si>
    <t>英勇父子</t>
    <phoneticPr fontId="2" type="noConversion"/>
  </si>
  <si>
    <t>黑暗地狱</t>
    <phoneticPr fontId="2" type="noConversion"/>
  </si>
  <si>
    <t>庇护之神</t>
    <phoneticPr fontId="2" type="noConversion"/>
  </si>
  <si>
    <t>增加属性</t>
    <phoneticPr fontId="2" type="noConversion"/>
  </si>
  <si>
    <t>攻击</t>
    <phoneticPr fontId="2" type="noConversion"/>
  </si>
  <si>
    <t>生命</t>
    <phoneticPr fontId="2" type="noConversion"/>
  </si>
  <si>
    <t>护甲</t>
    <phoneticPr fontId="2" type="noConversion"/>
  </si>
  <si>
    <t>宠物名称</t>
    <phoneticPr fontId="2" type="noConversion"/>
  </si>
  <si>
    <t>缘分1</t>
    <phoneticPr fontId="2" type="noConversion"/>
  </si>
  <si>
    <t>缘分2</t>
    <phoneticPr fontId="2" type="noConversion"/>
  </si>
  <si>
    <t>缘分3</t>
    <phoneticPr fontId="2" type="noConversion"/>
  </si>
  <si>
    <t>缘分4</t>
    <phoneticPr fontId="2" type="noConversion"/>
  </si>
  <si>
    <t>增加属性</t>
    <phoneticPr fontId="2" type="noConversion"/>
  </si>
  <si>
    <t>英勇父子</t>
    <phoneticPr fontId="2" type="noConversion"/>
  </si>
  <si>
    <t>奥林匹斯三巨头</t>
    <phoneticPr fontId="2" type="noConversion"/>
  </si>
  <si>
    <t>特洛伊的苦役</t>
    <phoneticPr fontId="2" type="noConversion"/>
  </si>
  <si>
    <t>男神的友情</t>
    <phoneticPr fontId="2" type="noConversion"/>
  </si>
  <si>
    <t>神王神后</t>
    <phoneticPr fontId="2" type="noConversion"/>
  </si>
  <si>
    <t>宙斯</t>
    <phoneticPr fontId="2" type="noConversion"/>
  </si>
  <si>
    <t>阿波罗</t>
    <phoneticPr fontId="2" type="noConversion"/>
  </si>
  <si>
    <t>阿尔忒弥斯</t>
    <phoneticPr fontId="2" type="noConversion"/>
  </si>
  <si>
    <t>哈迪斯</t>
    <phoneticPr fontId="2" type="noConversion"/>
  </si>
  <si>
    <t>赫拉</t>
    <phoneticPr fontId="2" type="noConversion"/>
  </si>
  <si>
    <t>海格力斯</t>
    <phoneticPr fontId="2" type="noConversion"/>
  </si>
  <si>
    <t>巴克斯</t>
    <phoneticPr fontId="2" type="noConversion"/>
  </si>
  <si>
    <t>暗黑女神</t>
    <phoneticPr fontId="2" type="noConversion"/>
  </si>
  <si>
    <t>波塞冬</t>
    <phoneticPr fontId="2" type="noConversion"/>
  </si>
  <si>
    <t>雅典娜</t>
    <phoneticPr fontId="2" type="noConversion"/>
  </si>
  <si>
    <t>赫尔墨斯</t>
    <phoneticPr fontId="2" type="noConversion"/>
  </si>
  <si>
    <t>赫菲斯托斯</t>
    <phoneticPr fontId="2" type="noConversion"/>
  </si>
  <si>
    <t>生命</t>
    <phoneticPr fontId="2" type="noConversion"/>
  </si>
  <si>
    <t>攻击</t>
    <phoneticPr fontId="2" type="noConversion"/>
  </si>
  <si>
    <t>护甲</t>
    <phoneticPr fontId="2" type="noConversion"/>
  </si>
  <si>
    <t>暴击几率</t>
    <phoneticPr fontId="2" type="noConversion"/>
  </si>
  <si>
    <t>生命、暴击几率</t>
    <phoneticPr fontId="2" type="noConversion"/>
  </si>
  <si>
    <t>抗暴几率</t>
    <phoneticPr fontId="2" type="noConversion"/>
  </si>
  <si>
    <t>生命、抗暴几率</t>
    <phoneticPr fontId="2" type="noConversion"/>
  </si>
  <si>
    <t>神王神后</t>
    <phoneticPr fontId="2" type="noConversion"/>
  </si>
  <si>
    <t>天赋位置</t>
    <phoneticPr fontId="2" type="noConversion"/>
  </si>
  <si>
    <t>解锁等级</t>
    <phoneticPr fontId="2" type="noConversion"/>
  </si>
  <si>
    <t>初级最终伤害</t>
    <phoneticPr fontId="2" type="noConversion"/>
  </si>
  <si>
    <t>高级攻击</t>
    <phoneticPr fontId="2" type="noConversion"/>
  </si>
  <si>
    <t>初级护甲</t>
    <phoneticPr fontId="2" type="noConversion"/>
  </si>
  <si>
    <t>高级生命</t>
    <phoneticPr fontId="2" type="noConversion"/>
  </si>
  <si>
    <t>初级攻击</t>
    <phoneticPr fontId="2" type="noConversion"/>
  </si>
  <si>
    <t>攻击光环：所有出战宠物攻击+xx</t>
    <phoneticPr fontId="2" type="noConversion"/>
  </si>
  <si>
    <t>专注：攻击时有10%几率提高自身暴击几率40%，持续5秒，冷却时间15秒</t>
    <phoneticPr fontId="2" type="noConversion"/>
  </si>
  <si>
    <t>不屈：每损失5%生命，攻击提高0.5%</t>
    <phoneticPr fontId="2" type="noConversion"/>
  </si>
  <si>
    <t>神佑：宠物在生命低于30%时，会瞬间回复30%生命</t>
    <phoneticPr fontId="2" type="noConversion"/>
  </si>
  <si>
    <t>*宠物1个光环天赋给出战的所有宠物增加状态，与中级属性相当</t>
    <phoneticPr fontId="2" type="noConversion"/>
  </si>
  <si>
    <t>*宠物天赋被动约提升20%效果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</si>
</sst>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.0%"/>
    <numFmt numFmtId="178" formatCode="0.0000"/>
  </numFmts>
  <fonts count="9" x14ac:knownFonts="1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0" fontId="1" fillId="0" borderId="0" xfId="0" applyFont="1">
      <alignment vertical="center"/>
    </xf>
    <xf numFmtId="176" fontId="1" fillId="0" borderId="1" xfId="0" applyNumberFormat="1" applyFont="1" applyBorder="1">
      <alignment vertical="center"/>
    </xf>
    <xf numFmtId="0" fontId="1" fillId="0" borderId="1" xfId="0" applyFont="1" applyBorder="1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1" fontId="1" fillId="3" borderId="1" xfId="0" applyNumberFormat="1" applyFont="1" applyFill="1" applyBorder="1">
      <alignment vertical="center"/>
    </xf>
    <xf numFmtId="176" fontId="1" fillId="2" borderId="1" xfId="0" applyNumberFormat="1" applyFont="1" applyFill="1" applyBorder="1">
      <alignment vertical="center"/>
    </xf>
    <xf numFmtId="2" fontId="1" fillId="0" borderId="1" xfId="0" applyNumberFormat="1" applyFont="1" applyBorder="1">
      <alignment vertical="center"/>
    </xf>
    <xf numFmtId="1" fontId="1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1" fillId="0" borderId="2" xfId="0" applyFont="1" applyBorder="1">
      <alignment vertical="center"/>
    </xf>
    <xf numFmtId="1" fontId="1" fillId="0" borderId="1" xfId="0" applyNumberFormat="1" applyFont="1" applyBorder="1">
      <alignment vertical="center"/>
    </xf>
    <xf numFmtId="176" fontId="3" fillId="0" borderId="1" xfId="0" applyNumberFormat="1" applyFont="1" applyBorder="1">
      <alignment vertical="center"/>
    </xf>
    <xf numFmtId="0" fontId="1" fillId="4" borderId="1" xfId="0" applyFont="1" applyFill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2" xfId="0" applyFont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5" borderId="1" xfId="0" applyFont="1" applyFill="1" applyBorder="1">
      <alignment vertical="center"/>
    </xf>
    <xf numFmtId="0" fontId="1" fillId="0" borderId="1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6" borderId="1" xfId="0" applyFont="1" applyFill="1" applyBorder="1">
      <alignment vertical="center"/>
    </xf>
    <xf numFmtId="1" fontId="3" fillId="0" borderId="1" xfId="0" applyNumberFormat="1" applyFont="1" applyBorder="1">
      <alignment vertical="center"/>
    </xf>
    <xf numFmtId="9" fontId="1" fillId="0" borderId="0" xfId="0" applyNumberFormat="1" applyFont="1">
      <alignment vertical="center"/>
    </xf>
    <xf numFmtId="0" fontId="6" fillId="0" borderId="0" xfId="0" applyFont="1">
      <alignment vertical="center"/>
    </xf>
    <xf numFmtId="9" fontId="6" fillId="0" borderId="1" xfId="0" applyNumberFormat="1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3" fillId="2" borderId="1" xfId="0" applyFont="1" applyFill="1" applyBorder="1">
      <alignment vertical="center"/>
    </xf>
    <xf numFmtId="9" fontId="3" fillId="2" borderId="1" xfId="0" applyNumberFormat="1" applyFont="1" applyFill="1" applyBorder="1">
      <alignment vertical="center"/>
    </xf>
    <xf numFmtId="1" fontId="3" fillId="2" borderId="1" xfId="0" applyNumberFormat="1" applyFont="1" applyFill="1" applyBorder="1">
      <alignment vertical="center"/>
    </xf>
    <xf numFmtId="1" fontId="3" fillId="5" borderId="1" xfId="0" applyNumberFormat="1" applyFont="1" applyFill="1" applyBorder="1">
      <alignment vertical="center"/>
    </xf>
    <xf numFmtId="0" fontId="3" fillId="7" borderId="1" xfId="0" applyFont="1" applyFill="1" applyBorder="1">
      <alignment vertical="center"/>
    </xf>
    <xf numFmtId="176" fontId="3" fillId="7" borderId="1" xfId="0" applyNumberFormat="1" applyFont="1" applyFill="1" applyBorder="1">
      <alignment vertical="center"/>
    </xf>
    <xf numFmtId="9" fontId="3" fillId="7" borderId="1" xfId="0" applyNumberFormat="1" applyFont="1" applyFill="1" applyBorder="1">
      <alignment vertical="center"/>
    </xf>
    <xf numFmtId="1" fontId="3" fillId="7" borderId="1" xfId="0" applyNumberFormat="1" applyFont="1" applyFill="1" applyBorder="1">
      <alignment vertical="center"/>
    </xf>
    <xf numFmtId="0" fontId="1" fillId="0" borderId="0" xfId="0" applyFont="1" applyBorder="1">
      <alignment vertical="center"/>
    </xf>
    <xf numFmtId="0" fontId="1" fillId="9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9" xfId="0" applyFont="1" applyFill="1" applyBorder="1" applyAlignment="1">
      <alignment vertical="center"/>
    </xf>
    <xf numFmtId="0" fontId="1" fillId="10" borderId="9" xfId="0" applyFont="1" applyFill="1" applyBorder="1">
      <alignment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>
      <alignment vertical="center"/>
    </xf>
    <xf numFmtId="0" fontId="1" fillId="11" borderId="1" xfId="0" applyFont="1" applyFill="1" applyBorder="1" applyAlignment="1">
      <alignment vertical="center"/>
    </xf>
    <xf numFmtId="0" fontId="1" fillId="12" borderId="1" xfId="0" applyFont="1" applyFill="1" applyBorder="1">
      <alignment vertical="center"/>
    </xf>
    <xf numFmtId="0" fontId="1" fillId="12" borderId="1" xfId="0" applyFont="1" applyFill="1" applyBorder="1" applyAlignment="1">
      <alignment vertical="center"/>
    </xf>
    <xf numFmtId="0" fontId="1" fillId="13" borderId="8" xfId="0" applyFont="1" applyFill="1" applyBorder="1">
      <alignment vertical="center"/>
    </xf>
    <xf numFmtId="0" fontId="1" fillId="13" borderId="1" xfId="0" applyFont="1" applyFill="1" applyBorder="1">
      <alignment vertical="center"/>
    </xf>
    <xf numFmtId="0" fontId="1" fillId="13" borderId="8" xfId="0" applyFont="1" applyFill="1" applyBorder="1" applyAlignment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9" fontId="1" fillId="0" borderId="1" xfId="0" applyNumberFormat="1" applyFont="1" applyBorder="1">
      <alignment vertical="center"/>
    </xf>
    <xf numFmtId="177" fontId="1" fillId="0" borderId="1" xfId="0" applyNumberFormat="1" applyFont="1" applyBorder="1">
      <alignment vertical="center"/>
    </xf>
    <xf numFmtId="0" fontId="1" fillId="7" borderId="1" xfId="0" applyFont="1" applyFill="1" applyBorder="1">
      <alignment vertical="center"/>
    </xf>
    <xf numFmtId="9" fontId="1" fillId="7" borderId="1" xfId="0" applyNumberFormat="1" applyFont="1" applyFill="1" applyBorder="1">
      <alignment vertical="center"/>
    </xf>
    <xf numFmtId="177" fontId="1" fillId="9" borderId="1" xfId="0" applyNumberFormat="1" applyFont="1" applyFill="1" applyBorder="1">
      <alignment vertical="center"/>
    </xf>
    <xf numFmtId="2" fontId="6" fillId="0" borderId="1" xfId="0" applyNumberFormat="1" applyFont="1" applyBorder="1">
      <alignment vertical="center"/>
    </xf>
    <xf numFmtId="0" fontId="6" fillId="5" borderId="1" xfId="0" applyFont="1" applyFill="1" applyBorder="1">
      <alignment vertical="center"/>
    </xf>
    <xf numFmtId="177" fontId="6" fillId="5" borderId="1" xfId="0" applyNumberFormat="1" applyFont="1" applyFill="1" applyBorder="1">
      <alignment vertical="center"/>
    </xf>
    <xf numFmtId="176" fontId="6" fillId="5" borderId="1" xfId="0" applyNumberFormat="1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" fontId="3" fillId="4" borderId="1" xfId="0" applyNumberFormat="1" applyFont="1" applyFill="1" applyBorder="1">
      <alignment vertical="center"/>
    </xf>
    <xf numFmtId="176" fontId="6" fillId="0" borderId="0" xfId="0" applyNumberFormat="1" applyFont="1">
      <alignment vertical="center"/>
    </xf>
    <xf numFmtId="1" fontId="6" fillId="0" borderId="0" xfId="0" applyNumberFormat="1" applyFont="1">
      <alignment vertical="center"/>
    </xf>
    <xf numFmtId="0" fontId="3" fillId="11" borderId="0" xfId="0" applyFont="1" applyFill="1">
      <alignment vertical="center"/>
    </xf>
    <xf numFmtId="0" fontId="3" fillId="11" borderId="3" xfId="0" applyFont="1" applyFill="1" applyBorder="1">
      <alignment vertical="center"/>
    </xf>
    <xf numFmtId="9" fontId="3" fillId="11" borderId="3" xfId="0" applyNumberFormat="1" applyFont="1" applyFill="1" applyBorder="1">
      <alignment vertical="center"/>
    </xf>
    <xf numFmtId="0" fontId="1" fillId="8" borderId="1" xfId="0" applyFont="1" applyFill="1" applyBorder="1">
      <alignment vertical="center"/>
    </xf>
    <xf numFmtId="176" fontId="6" fillId="8" borderId="1" xfId="0" applyNumberFormat="1" applyFont="1" applyFill="1" applyBorder="1">
      <alignment vertical="center"/>
    </xf>
    <xf numFmtId="177" fontId="1" fillId="0" borderId="1" xfId="0" applyNumberFormat="1" applyFont="1" applyFill="1" applyBorder="1">
      <alignment vertical="center"/>
    </xf>
    <xf numFmtId="176" fontId="1" fillId="0" borderId="0" xfId="0" applyNumberFormat="1" applyFont="1" applyBorder="1">
      <alignment vertical="center"/>
    </xf>
    <xf numFmtId="0" fontId="1" fillId="12" borderId="0" xfId="0" applyFont="1" applyFill="1">
      <alignment vertical="center"/>
    </xf>
    <xf numFmtId="178" fontId="1" fillId="0" borderId="0" xfId="0" applyNumberFormat="1" applyFont="1">
      <alignment vertical="center"/>
    </xf>
    <xf numFmtId="1" fontId="1" fillId="3" borderId="0" xfId="0" applyNumberFormat="1" applyFont="1" applyFill="1">
      <alignment vertical="center"/>
    </xf>
    <xf numFmtId="0" fontId="1" fillId="3" borderId="0" xfId="0" applyFont="1" applyFill="1">
      <alignment vertical="center"/>
    </xf>
    <xf numFmtId="1" fontId="4" fillId="3" borderId="0" xfId="0" applyNumberFormat="1" applyFont="1" applyFill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0" fontId="1" fillId="0" borderId="14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1" fillId="0" borderId="17" xfId="0" applyFont="1" applyBorder="1">
      <alignment vertical="center"/>
    </xf>
    <xf numFmtId="0" fontId="1" fillId="0" borderId="18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14" borderId="12" xfId="0" applyFont="1" applyFill="1" applyBorder="1">
      <alignment vertical="center"/>
    </xf>
    <xf numFmtId="0" fontId="1" fillId="14" borderId="13" xfId="0" applyFont="1" applyFill="1" applyBorder="1">
      <alignment vertical="center"/>
    </xf>
    <xf numFmtId="0" fontId="1" fillId="7" borderId="12" xfId="0" applyFont="1" applyFill="1" applyBorder="1">
      <alignment vertical="center"/>
    </xf>
    <xf numFmtId="0" fontId="1" fillId="7" borderId="13" xfId="0" applyFont="1" applyFill="1" applyBorder="1">
      <alignment vertical="center"/>
    </xf>
    <xf numFmtId="0" fontId="1" fillId="2" borderId="12" xfId="0" applyFont="1" applyFill="1" applyBorder="1">
      <alignment vertical="center"/>
    </xf>
    <xf numFmtId="0" fontId="1" fillId="2" borderId="13" xfId="0" applyFont="1" applyFill="1" applyBorder="1">
      <alignment vertical="center"/>
    </xf>
    <xf numFmtId="0" fontId="1" fillId="2" borderId="14" xfId="0" applyFont="1" applyFill="1" applyBorder="1">
      <alignment vertical="center"/>
    </xf>
    <xf numFmtId="0" fontId="1" fillId="2" borderId="15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177" fontId="3" fillId="0" borderId="5" xfId="0" applyNumberFormat="1" applyFont="1" applyFill="1" applyBorder="1" applyAlignment="1">
      <alignment horizontal="center" vertical="center" wrapText="1"/>
    </xf>
    <xf numFmtId="177" fontId="3" fillId="0" borderId="7" xfId="0" applyNumberFormat="1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</a:t>
            </a:r>
            <a:r>
              <a:rPr lang="zh-CN" altLang="en-US"/>
              <a:t>级属性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宠物属性!$AR$8:$AW$8</c:f>
              <c:numCache>
                <c:formatCode>0</c:formatCode>
                <c:ptCount val="6"/>
                <c:pt idx="0">
                  <c:v>205.1</c:v>
                </c:pt>
                <c:pt idx="1">
                  <c:v>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宠物属性!$AR$8:$AW$8</c:f>
              <c:numCache>
                <c:formatCode>0</c:formatCode>
                <c:ptCount val="6"/>
                <c:pt idx="0">
                  <c:v>205.1</c:v>
                </c:pt>
                <c:pt idx="1">
                  <c:v>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30</a:t>
            </a:r>
            <a:r>
              <a:rPr lang="zh-CN" altLang="en-US"/>
              <a:t>级属性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宠物属性!$AR$9:$AW$9</c:f>
              <c:numCache>
                <c:formatCode>0</c:formatCode>
                <c:ptCount val="6"/>
                <c:pt idx="0">
                  <c:v>858</c:v>
                </c:pt>
                <c:pt idx="1">
                  <c:v>834.22222222222217</c:v>
                </c:pt>
                <c:pt idx="2">
                  <c:v>358.40000000000003</c:v>
                </c:pt>
                <c:pt idx="3">
                  <c:v>0</c:v>
                </c:pt>
                <c:pt idx="4">
                  <c:v>70.129155555555542</c:v>
                </c:pt>
                <c:pt idx="5">
                  <c:v>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宠物属性!$AR$9:$AW$9</c:f>
              <c:numCache>
                <c:formatCode>0</c:formatCode>
                <c:ptCount val="6"/>
                <c:pt idx="0">
                  <c:v>858</c:v>
                </c:pt>
                <c:pt idx="1">
                  <c:v>834.22222222222217</c:v>
                </c:pt>
                <c:pt idx="2">
                  <c:v>358.40000000000003</c:v>
                </c:pt>
                <c:pt idx="3">
                  <c:v>0</c:v>
                </c:pt>
                <c:pt idx="4">
                  <c:v>70.129155555555542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50</a:t>
            </a:r>
            <a:r>
              <a:rPr lang="zh-CN" altLang="en-US"/>
              <a:t>级属性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宠物属性!$AR$10:$AW$10</c:f>
              <c:numCache>
                <c:formatCode>0</c:formatCode>
                <c:ptCount val="6"/>
                <c:pt idx="0">
                  <c:v>2768.9147004147003</c:v>
                </c:pt>
                <c:pt idx="1">
                  <c:v>2389.1982811451162</c:v>
                </c:pt>
                <c:pt idx="2">
                  <c:v>1916.4444444444443</c:v>
                </c:pt>
                <c:pt idx="3">
                  <c:v>0</c:v>
                </c:pt>
                <c:pt idx="4">
                  <c:v>878.73312082452833</c:v>
                </c:pt>
                <c:pt idx="5">
                  <c:v>3543.2787130021302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宠物属性!$AR$10:$AW$10</c:f>
              <c:numCache>
                <c:formatCode>0</c:formatCode>
                <c:ptCount val="6"/>
                <c:pt idx="0">
                  <c:v>2768.9147004147003</c:v>
                </c:pt>
                <c:pt idx="1">
                  <c:v>2389.1982811451162</c:v>
                </c:pt>
                <c:pt idx="2">
                  <c:v>1916.4444444444443</c:v>
                </c:pt>
                <c:pt idx="3">
                  <c:v>0</c:v>
                </c:pt>
                <c:pt idx="4">
                  <c:v>878.73312082452833</c:v>
                </c:pt>
                <c:pt idx="5">
                  <c:v>3543.2787130021302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70</a:t>
            </a:r>
            <a:r>
              <a:rPr lang="zh-CN" altLang="en-US"/>
              <a:t>级属性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宠物属性!$AR$11:$AW$11</c:f>
              <c:numCache>
                <c:formatCode>0</c:formatCode>
                <c:ptCount val="6"/>
                <c:pt idx="0">
                  <c:v>5048.1212930009115</c:v>
                </c:pt>
                <c:pt idx="1">
                  <c:v>4375.3506447769432</c:v>
                </c:pt>
                <c:pt idx="2">
                  <c:v>8711.1111111111113</c:v>
                </c:pt>
                <c:pt idx="3">
                  <c:v>0</c:v>
                </c:pt>
                <c:pt idx="4">
                  <c:v>3266.3849488000137</c:v>
                </c:pt>
                <c:pt idx="5">
                  <c:v>9073.291524444483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cat>
            <c:strRef>
              <c:f>宠物属性!$AR$7:$AW$7</c:f>
              <c:strCache>
                <c:ptCount val="6"/>
                <c:pt idx="0">
                  <c:v>宠物成长</c:v>
                </c:pt>
                <c:pt idx="1">
                  <c:v>装备</c:v>
                </c:pt>
                <c:pt idx="2">
                  <c:v>宝石</c:v>
                </c:pt>
                <c:pt idx="3">
                  <c:v>天赋</c:v>
                </c:pt>
                <c:pt idx="4">
                  <c:v>缘分</c:v>
                </c:pt>
                <c:pt idx="5">
                  <c:v>助战</c:v>
                </c:pt>
              </c:strCache>
            </c:strRef>
          </c:cat>
          <c:val>
            <c:numRef>
              <c:f>宠物属性!$AR$11:$AW$11</c:f>
              <c:numCache>
                <c:formatCode>0</c:formatCode>
                <c:ptCount val="6"/>
                <c:pt idx="0">
                  <c:v>5048.1212930009115</c:v>
                </c:pt>
                <c:pt idx="1">
                  <c:v>4375.3506447769432</c:v>
                </c:pt>
                <c:pt idx="2">
                  <c:v>8711.1111111111113</c:v>
                </c:pt>
                <c:pt idx="3">
                  <c:v>0</c:v>
                </c:pt>
                <c:pt idx="4">
                  <c:v>3266.3849488000137</c:v>
                </c:pt>
                <c:pt idx="5">
                  <c:v>9073.291524444483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600075</xdr:colOff>
      <xdr:row>13</xdr:row>
      <xdr:rowOff>76200</xdr:rowOff>
    </xdr:from>
    <xdr:to>
      <xdr:col>46</xdr:col>
      <xdr:colOff>76200</xdr:colOff>
      <xdr:row>30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514350</xdr:colOff>
      <xdr:row>13</xdr:row>
      <xdr:rowOff>66675</xdr:rowOff>
    </xdr:from>
    <xdr:to>
      <xdr:col>50</xdr:col>
      <xdr:colOff>676275</xdr:colOff>
      <xdr:row>30</xdr:row>
      <xdr:rowOff>95250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628650</xdr:colOff>
      <xdr:row>34</xdr:row>
      <xdr:rowOff>28575</xdr:rowOff>
    </xdr:from>
    <xdr:to>
      <xdr:col>46</xdr:col>
      <xdr:colOff>104775</xdr:colOff>
      <xdr:row>51</xdr:row>
      <xdr:rowOff>57150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561975</xdr:colOff>
      <xdr:row>34</xdr:row>
      <xdr:rowOff>28575</xdr:rowOff>
    </xdr:from>
    <xdr:to>
      <xdr:col>51</xdr:col>
      <xdr:colOff>38100</xdr:colOff>
      <xdr:row>51</xdr:row>
      <xdr:rowOff>57150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35</xdr:row>
          <xdr:rowOff>114300</xdr:rowOff>
        </xdr:from>
        <xdr:to>
          <xdr:col>3</xdr:col>
          <xdr:colOff>552450</xdr:colOff>
          <xdr:row>37</xdr:row>
          <xdr:rowOff>38100</xdr:rowOff>
        </xdr:to>
        <xdr:sp macro="" textlink="">
          <xdr:nvSpPr>
            <xdr:cNvPr id="4097" name="CommandButton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522;&#30784;&#23646;&#24615;&#35268;&#2101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斗预期"/>
      <sheetName val="属性成长"/>
      <sheetName val="属性分配"/>
      <sheetName val="属性成长值"/>
      <sheetName val="角色成长"/>
    </sheetNames>
    <sheetDataSet>
      <sheetData sheetId="0">
        <row r="1">
          <cell r="E1">
            <v>0.7</v>
          </cell>
        </row>
        <row r="4">
          <cell r="C4">
            <v>100</v>
          </cell>
          <cell r="D4">
            <v>10</v>
          </cell>
          <cell r="E4">
            <v>5</v>
          </cell>
          <cell r="F4">
            <v>4</v>
          </cell>
          <cell r="G4">
            <v>4</v>
          </cell>
        </row>
      </sheetData>
      <sheetData sheetId="1">
        <row r="8">
          <cell r="D8">
            <v>5</v>
          </cell>
        </row>
        <row r="9">
          <cell r="D9">
            <v>10</v>
          </cell>
        </row>
        <row r="10">
          <cell r="D10">
            <v>15</v>
          </cell>
        </row>
        <row r="11">
          <cell r="D11">
            <v>20</v>
          </cell>
        </row>
        <row r="12">
          <cell r="D12">
            <v>25</v>
          </cell>
        </row>
        <row r="13">
          <cell r="D13">
            <v>30</v>
          </cell>
        </row>
        <row r="14">
          <cell r="D14">
            <v>35</v>
          </cell>
        </row>
        <row r="15">
          <cell r="D15">
            <v>40</v>
          </cell>
        </row>
        <row r="16">
          <cell r="D16">
            <v>45</v>
          </cell>
        </row>
        <row r="17">
          <cell r="D17">
            <v>50</v>
          </cell>
        </row>
        <row r="18">
          <cell r="D18">
            <v>55</v>
          </cell>
        </row>
        <row r="19">
          <cell r="D19">
            <v>60</v>
          </cell>
        </row>
        <row r="20">
          <cell r="D20">
            <v>65</v>
          </cell>
        </row>
        <row r="21">
          <cell r="D21">
            <v>70</v>
          </cell>
        </row>
        <row r="22">
          <cell r="D22">
            <v>75</v>
          </cell>
        </row>
        <row r="23">
          <cell r="D23">
            <v>80</v>
          </cell>
        </row>
        <row r="24">
          <cell r="D24">
            <v>85</v>
          </cell>
        </row>
        <row r="25">
          <cell r="D25">
            <v>90</v>
          </cell>
        </row>
        <row r="26">
          <cell r="D26">
            <v>95</v>
          </cell>
        </row>
        <row r="27">
          <cell r="D27">
            <v>100</v>
          </cell>
        </row>
        <row r="28">
          <cell r="D28">
            <v>105</v>
          </cell>
        </row>
        <row r="29">
          <cell r="D29">
            <v>110</v>
          </cell>
        </row>
        <row r="30">
          <cell r="D30">
            <v>115</v>
          </cell>
        </row>
        <row r="31">
          <cell r="D31">
            <v>120</v>
          </cell>
        </row>
        <row r="32">
          <cell r="D32">
            <v>125</v>
          </cell>
        </row>
        <row r="33">
          <cell r="D33">
            <v>130</v>
          </cell>
        </row>
        <row r="34">
          <cell r="D34">
            <v>135</v>
          </cell>
        </row>
        <row r="35">
          <cell r="D35">
            <v>140</v>
          </cell>
        </row>
        <row r="36">
          <cell r="D36">
            <v>145</v>
          </cell>
        </row>
        <row r="37">
          <cell r="D37">
            <v>150</v>
          </cell>
        </row>
        <row r="38">
          <cell r="D38">
            <v>155</v>
          </cell>
        </row>
        <row r="39">
          <cell r="D39">
            <v>160</v>
          </cell>
        </row>
        <row r="40">
          <cell r="D40">
            <v>165</v>
          </cell>
        </row>
        <row r="41">
          <cell r="D41">
            <v>170</v>
          </cell>
        </row>
        <row r="42">
          <cell r="D42">
            <v>175</v>
          </cell>
        </row>
        <row r="43">
          <cell r="D43">
            <v>180</v>
          </cell>
        </row>
        <row r="44">
          <cell r="D44">
            <v>185</v>
          </cell>
        </row>
        <row r="45">
          <cell r="D45">
            <v>190</v>
          </cell>
        </row>
        <row r="46">
          <cell r="D46">
            <v>195</v>
          </cell>
        </row>
        <row r="47">
          <cell r="D47">
            <v>200</v>
          </cell>
        </row>
        <row r="48">
          <cell r="D48">
            <v>205</v>
          </cell>
        </row>
        <row r="49">
          <cell r="D49">
            <v>210</v>
          </cell>
        </row>
        <row r="50">
          <cell r="D50">
            <v>215</v>
          </cell>
        </row>
        <row r="51">
          <cell r="D51">
            <v>220</v>
          </cell>
        </row>
        <row r="52">
          <cell r="D52">
            <v>225</v>
          </cell>
        </row>
        <row r="53">
          <cell r="D53">
            <v>230</v>
          </cell>
        </row>
        <row r="54">
          <cell r="D54">
            <v>235</v>
          </cell>
        </row>
        <row r="55">
          <cell r="D55">
            <v>240</v>
          </cell>
        </row>
        <row r="56">
          <cell r="D56">
            <v>245</v>
          </cell>
        </row>
        <row r="57">
          <cell r="D57">
            <v>250</v>
          </cell>
        </row>
        <row r="58">
          <cell r="D58">
            <v>255</v>
          </cell>
        </row>
        <row r="59">
          <cell r="D59">
            <v>260</v>
          </cell>
        </row>
        <row r="60">
          <cell r="D60">
            <v>265</v>
          </cell>
        </row>
        <row r="61">
          <cell r="D61">
            <v>270</v>
          </cell>
        </row>
        <row r="62">
          <cell r="D62">
            <v>275</v>
          </cell>
        </row>
        <row r="63">
          <cell r="D63">
            <v>280</v>
          </cell>
        </row>
        <row r="64">
          <cell r="D64">
            <v>285</v>
          </cell>
        </row>
        <row r="65">
          <cell r="D65">
            <v>290</v>
          </cell>
        </row>
        <row r="66">
          <cell r="D66">
            <v>295</v>
          </cell>
        </row>
        <row r="67">
          <cell r="D67">
            <v>300</v>
          </cell>
        </row>
        <row r="68">
          <cell r="D68">
            <v>305</v>
          </cell>
        </row>
        <row r="69">
          <cell r="D69">
            <v>310</v>
          </cell>
        </row>
        <row r="70">
          <cell r="D70">
            <v>315</v>
          </cell>
        </row>
        <row r="71">
          <cell r="D71">
            <v>320</v>
          </cell>
        </row>
        <row r="72">
          <cell r="D72">
            <v>325</v>
          </cell>
        </row>
        <row r="73">
          <cell r="D73">
            <v>330</v>
          </cell>
        </row>
        <row r="74">
          <cell r="D74">
            <v>335</v>
          </cell>
        </row>
        <row r="75">
          <cell r="D75">
            <v>340</v>
          </cell>
        </row>
        <row r="76">
          <cell r="D76">
            <v>345</v>
          </cell>
        </row>
        <row r="77">
          <cell r="D77">
            <v>350</v>
          </cell>
        </row>
        <row r="78">
          <cell r="D78">
            <v>355</v>
          </cell>
        </row>
        <row r="79">
          <cell r="D79">
            <v>360</v>
          </cell>
        </row>
        <row r="80">
          <cell r="D80">
            <v>365</v>
          </cell>
        </row>
        <row r="81">
          <cell r="D81">
            <v>370</v>
          </cell>
        </row>
        <row r="82">
          <cell r="D82">
            <v>375</v>
          </cell>
        </row>
        <row r="83">
          <cell r="D83">
            <v>380</v>
          </cell>
        </row>
        <row r="84">
          <cell r="D84">
            <v>385</v>
          </cell>
        </row>
        <row r="85">
          <cell r="D85">
            <v>390</v>
          </cell>
        </row>
        <row r="86">
          <cell r="D86">
            <v>395</v>
          </cell>
        </row>
        <row r="87">
          <cell r="D87">
            <v>400</v>
          </cell>
        </row>
        <row r="88">
          <cell r="D88">
            <v>405</v>
          </cell>
        </row>
        <row r="89">
          <cell r="D89">
            <v>410</v>
          </cell>
        </row>
        <row r="90">
          <cell r="D90">
            <v>415</v>
          </cell>
        </row>
        <row r="91">
          <cell r="D91">
            <v>420</v>
          </cell>
        </row>
        <row r="92">
          <cell r="D92">
            <v>425</v>
          </cell>
        </row>
        <row r="93">
          <cell r="D93">
            <v>430</v>
          </cell>
        </row>
        <row r="94">
          <cell r="D94">
            <v>435</v>
          </cell>
        </row>
        <row r="95">
          <cell r="D95">
            <v>440</v>
          </cell>
        </row>
        <row r="96">
          <cell r="D96">
            <v>445</v>
          </cell>
        </row>
        <row r="97">
          <cell r="D97">
            <v>450</v>
          </cell>
        </row>
        <row r="98">
          <cell r="D98">
            <v>455</v>
          </cell>
        </row>
        <row r="99">
          <cell r="D99">
            <v>460</v>
          </cell>
        </row>
        <row r="100">
          <cell r="D100">
            <v>465</v>
          </cell>
        </row>
        <row r="101">
          <cell r="D101">
            <v>470</v>
          </cell>
        </row>
        <row r="102">
          <cell r="D102">
            <v>475</v>
          </cell>
        </row>
        <row r="103">
          <cell r="D103">
            <v>480</v>
          </cell>
        </row>
        <row r="104">
          <cell r="D104">
            <v>485</v>
          </cell>
        </row>
        <row r="105">
          <cell r="D105">
            <v>490</v>
          </cell>
        </row>
        <row r="106">
          <cell r="D106">
            <v>495</v>
          </cell>
        </row>
        <row r="107">
          <cell r="D107">
            <v>500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X129"/>
  <sheetViews>
    <sheetView tabSelected="1" workbookViewId="0">
      <selection activeCell="I3" sqref="I3"/>
    </sheetView>
  </sheetViews>
  <sheetFormatPr defaultRowHeight="11.25" x14ac:dyDescent="0.15"/>
  <cols>
    <col min="1" max="16384" width="9" style="1"/>
  </cols>
  <sheetData>
    <row r="1" spans="2:18" x14ac:dyDescent="0.15">
      <c r="B1" s="3" t="s">
        <v>0</v>
      </c>
      <c r="C1" s="3">
        <v>60</v>
      </c>
      <c r="F1" s="3" t="s">
        <v>13</v>
      </c>
      <c r="G1" s="3" t="s">
        <v>15</v>
      </c>
      <c r="H1" s="3" t="s">
        <v>16</v>
      </c>
      <c r="I1" s="3" t="s">
        <v>9</v>
      </c>
      <c r="J1" s="3" t="s">
        <v>17</v>
      </c>
      <c r="K1" s="3" t="s">
        <v>11</v>
      </c>
    </row>
    <row r="2" spans="2:18" x14ac:dyDescent="0.15">
      <c r="B2" s="3" t="s">
        <v>1</v>
      </c>
      <c r="C2" s="3">
        <f>C4/C3*5</f>
        <v>2</v>
      </c>
      <c r="F2" s="3" t="s">
        <v>14</v>
      </c>
      <c r="G2" s="3">
        <v>1.4</v>
      </c>
      <c r="H2" s="3">
        <v>0.6</v>
      </c>
      <c r="I2" s="3">
        <v>1</v>
      </c>
      <c r="J2" s="3">
        <v>1</v>
      </c>
      <c r="K2" s="3">
        <v>1</v>
      </c>
      <c r="L2" s="1">
        <f>0.28*5</f>
        <v>1.4000000000000001</v>
      </c>
      <c r="M2" s="1">
        <v>0.6</v>
      </c>
    </row>
    <row r="3" spans="2:18" x14ac:dyDescent="0.15">
      <c r="B3" s="3" t="s">
        <v>2</v>
      </c>
      <c r="C3" s="3">
        <v>5</v>
      </c>
    </row>
    <row r="4" spans="2:18" x14ac:dyDescent="0.15">
      <c r="B4" s="3" t="s">
        <v>3</v>
      </c>
      <c r="C4" s="3">
        <v>2</v>
      </c>
      <c r="F4" s="3" t="s">
        <v>19</v>
      </c>
      <c r="G4" s="3" t="s">
        <v>20</v>
      </c>
      <c r="H4" s="3" t="s">
        <v>250</v>
      </c>
      <c r="I4" s="3" t="s">
        <v>252</v>
      </c>
      <c r="J4" s="3" t="s">
        <v>254</v>
      </c>
      <c r="K4" s="3" t="s">
        <v>256</v>
      </c>
      <c r="L4" s="42"/>
      <c r="M4" s="42"/>
      <c r="O4" s="3" t="s">
        <v>21</v>
      </c>
      <c r="P4" s="3" t="s">
        <v>258</v>
      </c>
      <c r="Q4" s="3" t="s">
        <v>260</v>
      </c>
      <c r="R4" s="3" t="s">
        <v>22</v>
      </c>
    </row>
    <row r="5" spans="2:18" x14ac:dyDescent="0.15">
      <c r="E5" s="1">
        <f>I5*0.6</f>
        <v>0</v>
      </c>
      <c r="F5" s="3">
        <v>1</v>
      </c>
      <c r="G5" s="3">
        <v>1.75</v>
      </c>
      <c r="H5" s="8">
        <f>ROUND(G5-1,2)</f>
        <v>0.75</v>
      </c>
      <c r="I5" s="78">
        <v>0</v>
      </c>
      <c r="J5" s="2">
        <f t="shared" ref="J5:J25" si="0">H5*$C$2</f>
        <v>1.5</v>
      </c>
      <c r="K5" s="2">
        <f>$C$1*I5</f>
        <v>0</v>
      </c>
      <c r="L5" s="80">
        <f>ROUND(I5,2)</f>
        <v>0</v>
      </c>
      <c r="M5" s="80">
        <f>ROUND(H5,2)</f>
        <v>0.75</v>
      </c>
      <c r="O5" s="3">
        <v>1</v>
      </c>
      <c r="P5" s="3">
        <v>0</v>
      </c>
      <c r="Q5" s="77">
        <v>0</v>
      </c>
      <c r="R5" s="3">
        <f t="shared" ref="R5:R10" si="1">$C$2*P5</f>
        <v>0</v>
      </c>
    </row>
    <row r="6" spans="2:18" x14ac:dyDescent="0.15">
      <c r="E6" s="1">
        <f t="shared" ref="E6:E25" si="2">I6*0.6</f>
        <v>0.44999999999999996</v>
      </c>
      <c r="F6" s="3">
        <v>5</v>
      </c>
      <c r="G6" s="8">
        <v>1.75</v>
      </c>
      <c r="H6" s="8">
        <f t="shared" ref="H6:H25" si="3">ROUND(G6-1,2)</f>
        <v>0.75</v>
      </c>
      <c r="I6" s="78">
        <v>0.75</v>
      </c>
      <c r="J6" s="2">
        <f t="shared" si="0"/>
        <v>1.5</v>
      </c>
      <c r="K6" s="2">
        <f t="shared" ref="K6:K25" si="4">$C$1*I6</f>
        <v>45</v>
      </c>
      <c r="L6" s="80">
        <f t="shared" ref="L6:L25" si="5">ROUND(I6,2)</f>
        <v>0.75</v>
      </c>
      <c r="M6" s="80">
        <f t="shared" ref="M6:M25" si="6">ROUND(H6,2)</f>
        <v>0.75</v>
      </c>
      <c r="O6" s="3">
        <v>2</v>
      </c>
      <c r="P6" s="3">
        <v>0.5</v>
      </c>
      <c r="Q6" s="77">
        <v>5</v>
      </c>
      <c r="R6" s="3">
        <f t="shared" si="1"/>
        <v>1</v>
      </c>
    </row>
    <row r="7" spans="2:18" x14ac:dyDescent="0.15">
      <c r="E7" s="1">
        <f t="shared" si="2"/>
        <v>1.08</v>
      </c>
      <c r="F7" s="3">
        <v>10</v>
      </c>
      <c r="G7" s="3">
        <v>1.75</v>
      </c>
      <c r="H7" s="8">
        <f t="shared" si="3"/>
        <v>0.75</v>
      </c>
      <c r="I7" s="78">
        <v>1.8</v>
      </c>
      <c r="J7" s="2">
        <f t="shared" si="0"/>
        <v>1.5</v>
      </c>
      <c r="K7" s="2">
        <f t="shared" si="4"/>
        <v>108</v>
      </c>
      <c r="L7" s="80">
        <f t="shared" si="5"/>
        <v>1.8</v>
      </c>
      <c r="M7" s="80">
        <f t="shared" si="6"/>
        <v>0.75</v>
      </c>
      <c r="O7" s="3">
        <v>3</v>
      </c>
      <c r="P7" s="3">
        <v>1</v>
      </c>
      <c r="Q7" s="77">
        <v>11</v>
      </c>
      <c r="R7" s="3">
        <f t="shared" si="1"/>
        <v>2</v>
      </c>
    </row>
    <row r="8" spans="2:18" x14ac:dyDescent="0.15">
      <c r="D8" s="1">
        <f>I8/1.5</f>
        <v>2.1333333333333333</v>
      </c>
      <c r="E8" s="1">
        <f t="shared" si="2"/>
        <v>1.92</v>
      </c>
      <c r="F8" s="3">
        <v>15</v>
      </c>
      <c r="G8" s="8">
        <v>1.75</v>
      </c>
      <c r="H8" s="8">
        <f t="shared" si="3"/>
        <v>0.75</v>
      </c>
      <c r="I8" s="78">
        <v>3.2</v>
      </c>
      <c r="J8" s="2">
        <f t="shared" si="0"/>
        <v>1.5</v>
      </c>
      <c r="K8" s="2">
        <f t="shared" si="4"/>
        <v>192</v>
      </c>
      <c r="L8" s="80">
        <f t="shared" si="5"/>
        <v>3.2</v>
      </c>
      <c r="M8" s="80">
        <f t="shared" si="6"/>
        <v>0.75</v>
      </c>
      <c r="O8" s="3">
        <v>4</v>
      </c>
      <c r="P8" s="3">
        <v>1.5</v>
      </c>
      <c r="Q8" s="77">
        <v>18</v>
      </c>
      <c r="R8" s="3">
        <f t="shared" si="1"/>
        <v>3</v>
      </c>
    </row>
    <row r="9" spans="2:18" x14ac:dyDescent="0.15">
      <c r="D9" s="1">
        <f t="shared" ref="D9:D12" si="7">I9/1.5</f>
        <v>3.1999999999999997</v>
      </c>
      <c r="E9" s="1">
        <f t="shared" si="2"/>
        <v>2.88</v>
      </c>
      <c r="F9" s="3">
        <v>20</v>
      </c>
      <c r="G9" s="3">
        <v>2</v>
      </c>
      <c r="H9" s="8">
        <f t="shared" si="3"/>
        <v>1</v>
      </c>
      <c r="I9" s="78">
        <v>4.8</v>
      </c>
      <c r="J9" s="2">
        <f t="shared" si="0"/>
        <v>2</v>
      </c>
      <c r="K9" s="2">
        <f t="shared" si="4"/>
        <v>288</v>
      </c>
      <c r="L9" s="80">
        <f t="shared" si="5"/>
        <v>4.8</v>
      </c>
      <c r="M9" s="80">
        <f t="shared" si="6"/>
        <v>1</v>
      </c>
      <c r="O9" s="3">
        <v>5</v>
      </c>
      <c r="P9" s="3">
        <v>2</v>
      </c>
      <c r="Q9" s="77">
        <v>25</v>
      </c>
      <c r="R9" s="3">
        <f t="shared" si="1"/>
        <v>4</v>
      </c>
    </row>
    <row r="10" spans="2:18" x14ac:dyDescent="0.15">
      <c r="D10" s="1">
        <f t="shared" si="7"/>
        <v>4.8</v>
      </c>
      <c r="E10" s="1">
        <f t="shared" si="2"/>
        <v>4.32</v>
      </c>
      <c r="F10" s="3">
        <v>25</v>
      </c>
      <c r="G10" s="8">
        <v>2.25</v>
      </c>
      <c r="H10" s="8">
        <f t="shared" si="3"/>
        <v>1.25</v>
      </c>
      <c r="I10" s="78">
        <v>7.2</v>
      </c>
      <c r="J10" s="2">
        <f t="shared" si="0"/>
        <v>2.5</v>
      </c>
      <c r="K10" s="2">
        <f t="shared" si="4"/>
        <v>432</v>
      </c>
      <c r="L10" s="80">
        <f t="shared" si="5"/>
        <v>7.2</v>
      </c>
      <c r="M10" s="80">
        <f t="shared" si="6"/>
        <v>1.25</v>
      </c>
      <c r="O10" s="3">
        <v>6</v>
      </c>
      <c r="P10" s="3">
        <v>2.5</v>
      </c>
      <c r="Q10" s="77">
        <v>33</v>
      </c>
      <c r="R10" s="3">
        <f t="shared" si="1"/>
        <v>5</v>
      </c>
    </row>
    <row r="11" spans="2:18" x14ac:dyDescent="0.15">
      <c r="D11" s="1">
        <f t="shared" si="7"/>
        <v>7</v>
      </c>
      <c r="E11" s="1">
        <f t="shared" si="2"/>
        <v>6.3</v>
      </c>
      <c r="F11" s="3">
        <v>30</v>
      </c>
      <c r="G11" s="3">
        <v>2.5</v>
      </c>
      <c r="H11" s="8">
        <f t="shared" si="3"/>
        <v>1.5</v>
      </c>
      <c r="I11" s="78">
        <v>10.5</v>
      </c>
      <c r="J11" s="2">
        <f t="shared" si="0"/>
        <v>3</v>
      </c>
      <c r="K11" s="2">
        <f t="shared" si="4"/>
        <v>630</v>
      </c>
      <c r="L11" s="80">
        <f t="shared" si="5"/>
        <v>10.5</v>
      </c>
      <c r="M11" s="80">
        <f t="shared" si="6"/>
        <v>1.5</v>
      </c>
      <c r="O11" s="42"/>
      <c r="P11" s="42"/>
      <c r="Q11" s="42"/>
    </row>
    <row r="12" spans="2:18" x14ac:dyDescent="0.15">
      <c r="D12" s="1">
        <f t="shared" si="7"/>
        <v>9.4691358024691361</v>
      </c>
      <c r="E12" s="1">
        <f t="shared" si="2"/>
        <v>8.5222222222222221</v>
      </c>
      <c r="F12" s="3">
        <v>35</v>
      </c>
      <c r="G12" s="8">
        <v>2.75</v>
      </c>
      <c r="H12" s="8">
        <f t="shared" si="3"/>
        <v>1.75</v>
      </c>
      <c r="I12" s="78">
        <f>I11+INT(F12-10)/(-2+ROUND(F12/4,2))</f>
        <v>14.203703703703704</v>
      </c>
      <c r="J12" s="2">
        <f t="shared" si="0"/>
        <v>3.5</v>
      </c>
      <c r="K12" s="2">
        <f t="shared" si="4"/>
        <v>852.22222222222229</v>
      </c>
      <c r="L12" s="80">
        <f t="shared" si="5"/>
        <v>14.2</v>
      </c>
      <c r="M12" s="80">
        <f t="shared" si="6"/>
        <v>1.75</v>
      </c>
    </row>
    <row r="13" spans="2:18" x14ac:dyDescent="0.15">
      <c r="E13" s="1">
        <f t="shared" si="2"/>
        <v>10.77222222222222</v>
      </c>
      <c r="F13" s="3">
        <v>40</v>
      </c>
      <c r="G13" s="3">
        <v>3</v>
      </c>
      <c r="H13" s="8">
        <f t="shared" si="3"/>
        <v>2</v>
      </c>
      <c r="I13" s="78">
        <f t="shared" ref="I13:I25" si="8">I12+INT(F13-10)/(-2+ROUND(F13/4,2))</f>
        <v>17.953703703703702</v>
      </c>
      <c r="J13" s="2">
        <f t="shared" si="0"/>
        <v>4</v>
      </c>
      <c r="K13" s="2">
        <f t="shared" si="4"/>
        <v>1077.2222222222222</v>
      </c>
      <c r="L13" s="80">
        <f t="shared" si="5"/>
        <v>17.95</v>
      </c>
      <c r="M13" s="80">
        <f t="shared" si="6"/>
        <v>2</v>
      </c>
      <c r="O13" s="1" t="s">
        <v>23</v>
      </c>
    </row>
    <row r="14" spans="2:18" x14ac:dyDescent="0.15">
      <c r="E14" s="1">
        <f t="shared" si="2"/>
        <v>13.042492492492491</v>
      </c>
      <c r="F14" s="3">
        <v>45</v>
      </c>
      <c r="G14" s="8">
        <v>3.25</v>
      </c>
      <c r="H14" s="8">
        <f t="shared" si="3"/>
        <v>2.25</v>
      </c>
      <c r="I14" s="78">
        <f t="shared" si="8"/>
        <v>21.737487487487485</v>
      </c>
      <c r="J14" s="2">
        <f t="shared" si="0"/>
        <v>4.5</v>
      </c>
      <c r="K14" s="2">
        <f t="shared" si="4"/>
        <v>1304.249249249249</v>
      </c>
      <c r="L14" s="80">
        <f t="shared" si="5"/>
        <v>21.74</v>
      </c>
      <c r="M14" s="80">
        <f t="shared" si="6"/>
        <v>2.25</v>
      </c>
      <c r="O14" s="1" t="s">
        <v>24</v>
      </c>
    </row>
    <row r="15" spans="2:18" x14ac:dyDescent="0.15">
      <c r="E15" s="1">
        <f t="shared" si="2"/>
        <v>15.328206778206777</v>
      </c>
      <c r="F15" s="3">
        <v>50</v>
      </c>
      <c r="G15" s="3">
        <v>3.5</v>
      </c>
      <c r="H15" s="8">
        <f t="shared" si="3"/>
        <v>2.5</v>
      </c>
      <c r="I15" s="78">
        <f t="shared" si="8"/>
        <v>25.547011297011295</v>
      </c>
      <c r="J15" s="2">
        <f t="shared" si="0"/>
        <v>5</v>
      </c>
      <c r="K15" s="2">
        <f t="shared" si="4"/>
        <v>1532.8206778206777</v>
      </c>
      <c r="L15" s="80">
        <f t="shared" si="5"/>
        <v>25.55</v>
      </c>
      <c r="M15" s="80">
        <f t="shared" si="6"/>
        <v>2.5</v>
      </c>
      <c r="O15" s="1" t="s">
        <v>25</v>
      </c>
    </row>
    <row r="16" spans="2:18" x14ac:dyDescent="0.15">
      <c r="E16" s="1">
        <f t="shared" si="2"/>
        <v>17.626079118632308</v>
      </c>
      <c r="F16" s="3">
        <v>55</v>
      </c>
      <c r="G16" s="8">
        <v>3.75</v>
      </c>
      <c r="H16" s="8">
        <f t="shared" si="3"/>
        <v>2.75</v>
      </c>
      <c r="I16" s="78">
        <f t="shared" si="8"/>
        <v>29.376798531053847</v>
      </c>
      <c r="J16" s="2">
        <f t="shared" si="0"/>
        <v>5.5</v>
      </c>
      <c r="K16" s="2">
        <f t="shared" si="4"/>
        <v>1762.6079118632308</v>
      </c>
      <c r="L16" s="80">
        <f t="shared" si="5"/>
        <v>29.38</v>
      </c>
      <c r="M16" s="80">
        <f t="shared" si="6"/>
        <v>2.75</v>
      </c>
      <c r="O16" s="1" t="s">
        <v>26</v>
      </c>
    </row>
    <row r="17" spans="3:24" x14ac:dyDescent="0.15">
      <c r="E17" s="1">
        <f t="shared" si="2"/>
        <v>19.933771426324615</v>
      </c>
      <c r="F17" s="3">
        <v>60</v>
      </c>
      <c r="G17" s="3">
        <v>4</v>
      </c>
      <c r="H17" s="8">
        <f t="shared" si="3"/>
        <v>3</v>
      </c>
      <c r="I17" s="78">
        <f t="shared" si="8"/>
        <v>33.22295237720769</v>
      </c>
      <c r="J17" s="2">
        <f t="shared" si="0"/>
        <v>6</v>
      </c>
      <c r="K17" s="2">
        <f t="shared" si="4"/>
        <v>1993.3771426324615</v>
      </c>
      <c r="L17" s="80">
        <f t="shared" si="5"/>
        <v>33.22</v>
      </c>
      <c r="M17" s="80">
        <f t="shared" si="6"/>
        <v>3</v>
      </c>
    </row>
    <row r="18" spans="3:24" x14ac:dyDescent="0.15">
      <c r="E18" s="1">
        <f t="shared" si="2"/>
        <v>22.249560900008827</v>
      </c>
      <c r="F18" s="3">
        <v>65</v>
      </c>
      <c r="G18" s="8">
        <v>4.25</v>
      </c>
      <c r="H18" s="8">
        <f t="shared" si="3"/>
        <v>3.25</v>
      </c>
      <c r="I18" s="78">
        <f t="shared" si="8"/>
        <v>37.082601500014711</v>
      </c>
      <c r="J18" s="2">
        <f t="shared" si="0"/>
        <v>6.5</v>
      </c>
      <c r="K18" s="2">
        <f t="shared" si="4"/>
        <v>2224.9560900008828</v>
      </c>
      <c r="L18" s="80">
        <f t="shared" si="5"/>
        <v>37.08</v>
      </c>
      <c r="M18" s="80">
        <f t="shared" si="6"/>
        <v>3.25</v>
      </c>
    </row>
    <row r="19" spans="3:24" x14ac:dyDescent="0.15">
      <c r="E19" s="1">
        <f t="shared" si="2"/>
        <v>24.572141545170116</v>
      </c>
      <c r="F19" s="3">
        <v>70</v>
      </c>
      <c r="G19" s="3">
        <v>4.5</v>
      </c>
      <c r="H19" s="8">
        <f t="shared" si="3"/>
        <v>3.5</v>
      </c>
      <c r="I19" s="78">
        <f t="shared" si="8"/>
        <v>40.953569241950191</v>
      </c>
      <c r="J19" s="2">
        <f t="shared" si="0"/>
        <v>7</v>
      </c>
      <c r="K19" s="2">
        <f t="shared" si="4"/>
        <v>2457.2141545170116</v>
      </c>
      <c r="L19" s="80">
        <f t="shared" si="5"/>
        <v>40.950000000000003</v>
      </c>
      <c r="M19" s="80">
        <f t="shared" si="6"/>
        <v>3.5</v>
      </c>
    </row>
    <row r="20" spans="3:24" x14ac:dyDescent="0.15">
      <c r="E20" s="1">
        <f t="shared" si="2"/>
        <v>26.900499754125338</v>
      </c>
      <c r="F20" s="3">
        <v>75</v>
      </c>
      <c r="G20" s="8">
        <v>4.75</v>
      </c>
      <c r="H20" s="8">
        <f t="shared" si="3"/>
        <v>3.75</v>
      </c>
      <c r="I20" s="78">
        <f t="shared" si="8"/>
        <v>44.834166256875562</v>
      </c>
      <c r="J20" s="2">
        <f t="shared" si="0"/>
        <v>7.5</v>
      </c>
      <c r="K20" s="2">
        <f t="shared" si="4"/>
        <v>2690.049975412534</v>
      </c>
      <c r="L20" s="80">
        <f t="shared" si="5"/>
        <v>44.83</v>
      </c>
      <c r="M20" s="80">
        <f t="shared" si="6"/>
        <v>3.75</v>
      </c>
    </row>
    <row r="21" spans="3:24" x14ac:dyDescent="0.15">
      <c r="E21" s="1">
        <f t="shared" si="2"/>
        <v>29.233833087458667</v>
      </c>
      <c r="F21" s="3">
        <v>80</v>
      </c>
      <c r="G21" s="3">
        <v>5</v>
      </c>
      <c r="H21" s="8">
        <f t="shared" si="3"/>
        <v>4</v>
      </c>
      <c r="I21" s="78">
        <f t="shared" si="8"/>
        <v>48.723055145764448</v>
      </c>
      <c r="J21" s="2">
        <f t="shared" si="0"/>
        <v>8</v>
      </c>
      <c r="K21" s="2">
        <f t="shared" si="4"/>
        <v>2923.383308745867</v>
      </c>
      <c r="L21" s="80">
        <f t="shared" si="5"/>
        <v>48.72</v>
      </c>
      <c r="M21" s="80">
        <f t="shared" si="6"/>
        <v>4</v>
      </c>
    </row>
    <row r="22" spans="3:24" x14ac:dyDescent="0.15">
      <c r="E22" s="1">
        <f t="shared" si="2"/>
        <v>31.571495425121004</v>
      </c>
      <c r="F22" s="3">
        <v>85</v>
      </c>
      <c r="G22" s="8">
        <v>5.25</v>
      </c>
      <c r="H22" s="8">
        <f t="shared" si="3"/>
        <v>4.25</v>
      </c>
      <c r="I22" s="78">
        <f t="shared" si="8"/>
        <v>52.619159041868343</v>
      </c>
      <c r="J22" s="2">
        <f t="shared" si="0"/>
        <v>8.5</v>
      </c>
      <c r="K22" s="2">
        <f t="shared" si="4"/>
        <v>3157.1495425121007</v>
      </c>
      <c r="L22" s="80">
        <f t="shared" si="5"/>
        <v>52.62</v>
      </c>
      <c r="M22" s="80">
        <f t="shared" si="6"/>
        <v>4.25</v>
      </c>
    </row>
    <row r="23" spans="3:24" x14ac:dyDescent="0.15">
      <c r="E23" s="1">
        <f t="shared" si="2"/>
        <v>33.912958839755156</v>
      </c>
      <c r="F23" s="3">
        <v>90</v>
      </c>
      <c r="G23" s="3">
        <v>5.5</v>
      </c>
      <c r="H23" s="8">
        <f t="shared" si="3"/>
        <v>4.5</v>
      </c>
      <c r="I23" s="78">
        <f t="shared" si="8"/>
        <v>56.521598066258591</v>
      </c>
      <c r="J23" s="2">
        <f t="shared" si="0"/>
        <v>9</v>
      </c>
      <c r="K23" s="2">
        <f t="shared" si="4"/>
        <v>3391.2958839755156</v>
      </c>
      <c r="L23" s="80">
        <f t="shared" si="5"/>
        <v>56.52</v>
      </c>
      <c r="M23" s="80">
        <f t="shared" si="6"/>
        <v>4.5</v>
      </c>
    </row>
    <row r="24" spans="3:24" x14ac:dyDescent="0.15">
      <c r="E24" s="1">
        <f t="shared" si="2"/>
        <v>36.257786425962053</v>
      </c>
      <c r="F24" s="3">
        <v>95</v>
      </c>
      <c r="G24" s="8">
        <v>5.75</v>
      </c>
      <c r="H24" s="8">
        <f t="shared" si="3"/>
        <v>4.75</v>
      </c>
      <c r="I24" s="78">
        <f t="shared" si="8"/>
        <v>60.429644043270088</v>
      </c>
      <c r="J24" s="2">
        <f t="shared" si="0"/>
        <v>9.5</v>
      </c>
      <c r="K24" s="2">
        <f t="shared" si="4"/>
        <v>3625.7786425962054</v>
      </c>
      <c r="L24" s="80">
        <f t="shared" si="5"/>
        <v>60.43</v>
      </c>
      <c r="M24" s="80">
        <f t="shared" si="6"/>
        <v>4.75</v>
      </c>
    </row>
    <row r="25" spans="3:24" x14ac:dyDescent="0.15">
      <c r="E25" s="1">
        <f t="shared" si="2"/>
        <v>38.605612512918576</v>
      </c>
      <c r="F25" s="3">
        <v>100</v>
      </c>
      <c r="G25" s="3">
        <v>6</v>
      </c>
      <c r="H25" s="8">
        <f t="shared" si="3"/>
        <v>5</v>
      </c>
      <c r="I25" s="78">
        <f t="shared" si="8"/>
        <v>64.342687521530962</v>
      </c>
      <c r="J25" s="2">
        <f t="shared" si="0"/>
        <v>10</v>
      </c>
      <c r="K25" s="2">
        <f t="shared" si="4"/>
        <v>3860.5612512918578</v>
      </c>
      <c r="L25" s="80">
        <f t="shared" si="5"/>
        <v>64.34</v>
      </c>
      <c r="M25" s="80">
        <f t="shared" si="6"/>
        <v>5</v>
      </c>
    </row>
    <row r="27" spans="3:24" x14ac:dyDescent="0.15">
      <c r="R27" s="9"/>
      <c r="S27" s="9"/>
      <c r="T27" s="9"/>
      <c r="U27" s="9"/>
    </row>
    <row r="28" spans="3:24" x14ac:dyDescent="0.15">
      <c r="G28" s="106" t="s">
        <v>12</v>
      </c>
      <c r="H28" s="106"/>
      <c r="I28" s="106"/>
      <c r="J28" s="106"/>
      <c r="K28" s="106"/>
      <c r="L28" s="107" t="s">
        <v>18</v>
      </c>
      <c r="M28" s="107"/>
      <c r="N28" s="107"/>
      <c r="O28" s="107"/>
      <c r="P28" s="107"/>
      <c r="R28" s="9"/>
      <c r="S28" s="9"/>
      <c r="T28" s="9"/>
      <c r="U28" s="9"/>
    </row>
    <row r="29" spans="3:24" x14ac:dyDescent="0.15">
      <c r="D29" s="3" t="s">
        <v>4</v>
      </c>
      <c r="E29" s="3" t="s">
        <v>5</v>
      </c>
      <c r="F29" s="3" t="s">
        <v>6</v>
      </c>
      <c r="G29" s="4" t="s">
        <v>7</v>
      </c>
      <c r="H29" s="4" t="s">
        <v>8</v>
      </c>
      <c r="I29" s="4" t="s">
        <v>9</v>
      </c>
      <c r="J29" s="4" t="s">
        <v>10</v>
      </c>
      <c r="K29" s="4" t="s">
        <v>11</v>
      </c>
      <c r="L29" s="5" t="s">
        <v>7</v>
      </c>
      <c r="M29" s="5" t="s">
        <v>8</v>
      </c>
      <c r="N29" s="5" t="s">
        <v>9</v>
      </c>
      <c r="O29" s="5" t="s">
        <v>10</v>
      </c>
      <c r="P29" s="5" t="s">
        <v>11</v>
      </c>
    </row>
    <row r="30" spans="3:24" x14ac:dyDescent="0.15">
      <c r="D30" s="3">
        <v>1</v>
      </c>
      <c r="E30" s="3">
        <f>[1]属性成长!$D8</f>
        <v>5</v>
      </c>
      <c r="F30" s="3">
        <f>$C$4/$C$3*E30+C$1</f>
        <v>62</v>
      </c>
      <c r="G30" s="7">
        <f>$F30*G$2/SUM($G$2:$K$2)</f>
        <v>17.36</v>
      </c>
      <c r="H30" s="7">
        <f t="shared" ref="H30:K45" si="9">$F30*H$2/SUM($G$2:$K$2)</f>
        <v>7.4399999999999995</v>
      </c>
      <c r="I30" s="7">
        <f t="shared" si="9"/>
        <v>12.4</v>
      </c>
      <c r="J30" s="7">
        <f t="shared" si="9"/>
        <v>12.4</v>
      </c>
      <c r="K30" s="7">
        <f t="shared" si="9"/>
        <v>12.4</v>
      </c>
      <c r="L30" s="6">
        <f>G30*[1]战斗预期!C$4</f>
        <v>1736</v>
      </c>
      <c r="M30" s="6">
        <f>H30*[1]战斗预期!D$4</f>
        <v>74.399999999999991</v>
      </c>
      <c r="N30" s="6">
        <f>I30*[1]战斗预期!E$4</f>
        <v>62</v>
      </c>
      <c r="O30" s="6">
        <f>J30*[1]战斗预期!F$4</f>
        <v>49.6</v>
      </c>
      <c r="P30" s="6">
        <f>K30*[1]战斗预期!G$4</f>
        <v>49.6</v>
      </c>
      <c r="Q30" s="82">
        <f>80/1500</f>
        <v>5.3333333333333337E-2</v>
      </c>
      <c r="R30" s="1">
        <f>(L31-L30)/L30</f>
        <v>3.22580645161289E-2</v>
      </c>
      <c r="T30" s="1">
        <f>L30/[1]战斗预期!C$4</f>
        <v>17.36</v>
      </c>
      <c r="U30" s="1">
        <f>M30/[1]战斗预期!D$4</f>
        <v>7.4399999999999995</v>
      </c>
      <c r="V30" s="1">
        <f>N30/[1]战斗预期!E$4</f>
        <v>12.4</v>
      </c>
      <c r="W30" s="1">
        <f>O30/[1]战斗预期!F$4</f>
        <v>12.4</v>
      </c>
      <c r="X30" s="1">
        <f>P30/[1]战斗预期!G$4</f>
        <v>12.4</v>
      </c>
    </row>
    <row r="31" spans="3:24" x14ac:dyDescent="0.15">
      <c r="C31" s="1">
        <f>$L$30+($E31-$E$30)*$C$2/C$3*0.2*[1]战斗预期!$C$4</f>
        <v>1776</v>
      </c>
      <c r="D31" s="3">
        <v>2</v>
      </c>
      <c r="E31" s="3">
        <f>[1]属性成长!$D9</f>
        <v>10</v>
      </c>
      <c r="F31" s="3">
        <f t="shared" ref="F31:F94" si="10">$C$4/$C$3*E31+C$1</f>
        <v>64</v>
      </c>
      <c r="G31" s="7">
        <f t="shared" ref="G31:K62" si="11">$F31*G$2/SUM($G$2:$K$2)</f>
        <v>17.919999999999998</v>
      </c>
      <c r="H31" s="7">
        <f t="shared" si="9"/>
        <v>7.68</v>
      </c>
      <c r="I31" s="7">
        <f t="shared" si="9"/>
        <v>12.8</v>
      </c>
      <c r="J31" s="7">
        <f t="shared" si="9"/>
        <v>12.8</v>
      </c>
      <c r="K31" s="7">
        <f t="shared" si="9"/>
        <v>12.8</v>
      </c>
      <c r="L31" s="6">
        <f>G31*[1]战斗预期!C$4</f>
        <v>1791.9999999999998</v>
      </c>
      <c r="M31" s="6">
        <f>H31*[1]战斗预期!D$4</f>
        <v>76.8</v>
      </c>
      <c r="N31" s="6">
        <f>I31*[1]战斗预期!E$4</f>
        <v>64</v>
      </c>
      <c r="O31" s="6">
        <f>J31*[1]战斗预期!F$4</f>
        <v>51.2</v>
      </c>
      <c r="P31" s="6">
        <f>K31*[1]战斗预期!G$4</f>
        <v>51.2</v>
      </c>
      <c r="Q31" s="9"/>
    </row>
    <row r="32" spans="3:24" x14ac:dyDescent="0.15">
      <c r="C32" s="1">
        <f>$L$30+($E32-$E$30)*$C$2/C$3*0.2*[1]战斗预期!$C$4</f>
        <v>1816</v>
      </c>
      <c r="D32" s="3">
        <v>3</v>
      </c>
      <c r="E32" s="3">
        <f>[1]属性成长!$D10</f>
        <v>15</v>
      </c>
      <c r="F32" s="3">
        <f t="shared" si="10"/>
        <v>66</v>
      </c>
      <c r="G32" s="7">
        <f t="shared" si="11"/>
        <v>18.479999999999997</v>
      </c>
      <c r="H32" s="7">
        <f t="shared" si="9"/>
        <v>7.92</v>
      </c>
      <c r="I32" s="7">
        <f t="shared" si="9"/>
        <v>13.2</v>
      </c>
      <c r="J32" s="7">
        <f t="shared" si="9"/>
        <v>13.2</v>
      </c>
      <c r="K32" s="7">
        <f t="shared" si="9"/>
        <v>13.2</v>
      </c>
      <c r="L32" s="6">
        <f>G32*[1]战斗预期!C$4</f>
        <v>1847.9999999999998</v>
      </c>
      <c r="M32" s="6">
        <f>H32*[1]战斗预期!D$4</f>
        <v>79.2</v>
      </c>
      <c r="N32" s="6">
        <f>I32*[1]战斗预期!E$4</f>
        <v>66</v>
      </c>
      <c r="O32" s="6">
        <f>J32*[1]战斗预期!F$4</f>
        <v>52.8</v>
      </c>
      <c r="P32" s="6">
        <f>K32*[1]战斗预期!G$4</f>
        <v>52.8</v>
      </c>
    </row>
    <row r="33" spans="3:16" x14ac:dyDescent="0.15">
      <c r="C33" s="1">
        <f>$L$30+($E33-$E$30)*$C$2/C$3*0.2*[1]战斗预期!$C$4</f>
        <v>1856</v>
      </c>
      <c r="D33" s="3">
        <v>4</v>
      </c>
      <c r="E33" s="3">
        <f>[1]属性成长!$D11</f>
        <v>20</v>
      </c>
      <c r="F33" s="3">
        <f t="shared" si="10"/>
        <v>68</v>
      </c>
      <c r="G33" s="7">
        <f t="shared" si="11"/>
        <v>19.04</v>
      </c>
      <c r="H33" s="7">
        <f t="shared" si="9"/>
        <v>8.16</v>
      </c>
      <c r="I33" s="7">
        <f t="shared" si="9"/>
        <v>13.6</v>
      </c>
      <c r="J33" s="7">
        <f t="shared" si="9"/>
        <v>13.6</v>
      </c>
      <c r="K33" s="7">
        <f t="shared" si="9"/>
        <v>13.6</v>
      </c>
      <c r="L33" s="6">
        <f>G33*[1]战斗预期!C$4</f>
        <v>1904</v>
      </c>
      <c r="M33" s="6">
        <f>H33*[1]战斗预期!D$4</f>
        <v>81.599999999999994</v>
      </c>
      <c r="N33" s="6">
        <f>I33*[1]战斗预期!E$4</f>
        <v>68</v>
      </c>
      <c r="O33" s="6">
        <f>J33*[1]战斗预期!F$4</f>
        <v>54.4</v>
      </c>
      <c r="P33" s="6">
        <f>K33*[1]战斗预期!G$4</f>
        <v>54.4</v>
      </c>
    </row>
    <row r="34" spans="3:16" x14ac:dyDescent="0.15">
      <c r="C34" s="1">
        <f>$L$30+($E34-$E$30)*$C$2/C$3*0.2*[1]战斗预期!$C$4</f>
        <v>1896</v>
      </c>
      <c r="D34" s="3">
        <v>5</v>
      </c>
      <c r="E34" s="3">
        <f>[1]属性成长!$D12</f>
        <v>25</v>
      </c>
      <c r="F34" s="3">
        <f t="shared" si="10"/>
        <v>70</v>
      </c>
      <c r="G34" s="7">
        <f t="shared" si="11"/>
        <v>19.600000000000001</v>
      </c>
      <c r="H34" s="7">
        <f t="shared" si="9"/>
        <v>8.4</v>
      </c>
      <c r="I34" s="7">
        <f t="shared" si="9"/>
        <v>14</v>
      </c>
      <c r="J34" s="7">
        <f t="shared" si="9"/>
        <v>14</v>
      </c>
      <c r="K34" s="7">
        <f t="shared" si="9"/>
        <v>14</v>
      </c>
      <c r="L34" s="6">
        <f>G34*[1]战斗预期!C$4</f>
        <v>1960.0000000000002</v>
      </c>
      <c r="M34" s="6">
        <f>H34*[1]战斗预期!D$4</f>
        <v>84</v>
      </c>
      <c r="N34" s="6">
        <f>I34*[1]战斗预期!E$4</f>
        <v>70</v>
      </c>
      <c r="O34" s="6">
        <f>J34*[1]战斗预期!F$4</f>
        <v>56</v>
      </c>
      <c r="P34" s="6">
        <f>K34*[1]战斗预期!G$4</f>
        <v>56</v>
      </c>
    </row>
    <row r="35" spans="3:16" x14ac:dyDescent="0.15">
      <c r="C35" s="1">
        <f>$L$30+($E35-$E$30)*$C$2/C$3*0.2*[1]战斗预期!$C$4</f>
        <v>1936</v>
      </c>
      <c r="D35" s="3">
        <v>6</v>
      </c>
      <c r="E35" s="3">
        <f>[1]属性成长!$D13</f>
        <v>30</v>
      </c>
      <c r="F35" s="3">
        <f t="shared" si="10"/>
        <v>72</v>
      </c>
      <c r="G35" s="7">
        <f t="shared" si="11"/>
        <v>20.16</v>
      </c>
      <c r="H35" s="7">
        <f t="shared" si="9"/>
        <v>8.6399999999999988</v>
      </c>
      <c r="I35" s="7">
        <f t="shared" si="9"/>
        <v>14.4</v>
      </c>
      <c r="J35" s="7">
        <f t="shared" si="9"/>
        <v>14.4</v>
      </c>
      <c r="K35" s="7">
        <f t="shared" si="9"/>
        <v>14.4</v>
      </c>
      <c r="L35" s="6">
        <f>G35*[1]战斗预期!C$4</f>
        <v>2016</v>
      </c>
      <c r="M35" s="6">
        <f>H35*[1]战斗预期!D$4</f>
        <v>86.399999999999991</v>
      </c>
      <c r="N35" s="6">
        <f>I35*[1]战斗预期!E$4</f>
        <v>72</v>
      </c>
      <c r="O35" s="6">
        <f>J35*[1]战斗预期!F$4</f>
        <v>57.6</v>
      </c>
      <c r="P35" s="6">
        <f>K35*[1]战斗预期!G$4</f>
        <v>57.6</v>
      </c>
    </row>
    <row r="36" spans="3:16" x14ac:dyDescent="0.15">
      <c r="C36" s="1">
        <f>$L$30+($E36-$E$30)*$C$2/C$3*0.2*[1]战斗预期!$C$4</f>
        <v>1976</v>
      </c>
      <c r="D36" s="3">
        <v>7</v>
      </c>
      <c r="E36" s="3">
        <f>[1]属性成长!$D14</f>
        <v>35</v>
      </c>
      <c r="F36" s="3">
        <f t="shared" si="10"/>
        <v>74</v>
      </c>
      <c r="G36" s="7">
        <f t="shared" si="11"/>
        <v>20.72</v>
      </c>
      <c r="H36" s="7">
        <f t="shared" si="9"/>
        <v>8.879999999999999</v>
      </c>
      <c r="I36" s="7">
        <f t="shared" si="9"/>
        <v>14.8</v>
      </c>
      <c r="J36" s="7">
        <f t="shared" si="9"/>
        <v>14.8</v>
      </c>
      <c r="K36" s="7">
        <f t="shared" si="9"/>
        <v>14.8</v>
      </c>
      <c r="L36" s="6">
        <f>G36*[1]战斗预期!C$4</f>
        <v>2072</v>
      </c>
      <c r="M36" s="6">
        <f>H36*[1]战斗预期!D$4</f>
        <v>88.799999999999983</v>
      </c>
      <c r="N36" s="6">
        <f>I36*[1]战斗预期!E$4</f>
        <v>74</v>
      </c>
      <c r="O36" s="6">
        <f>J36*[1]战斗预期!F$4</f>
        <v>59.2</v>
      </c>
      <c r="P36" s="6">
        <f>K36*[1]战斗预期!G$4</f>
        <v>59.2</v>
      </c>
    </row>
    <row r="37" spans="3:16" x14ac:dyDescent="0.15">
      <c r="C37" s="1">
        <f>$L$30+($E37-$E$30)*$C$2/C$3*0.2*[1]战斗预期!$C$4</f>
        <v>2016</v>
      </c>
      <c r="D37" s="3">
        <v>8</v>
      </c>
      <c r="E37" s="3">
        <f>[1]属性成长!$D15</f>
        <v>40</v>
      </c>
      <c r="F37" s="3">
        <f t="shared" si="10"/>
        <v>76</v>
      </c>
      <c r="G37" s="7">
        <f t="shared" si="11"/>
        <v>21.279999999999998</v>
      </c>
      <c r="H37" s="7">
        <f t="shared" si="9"/>
        <v>9.120000000000001</v>
      </c>
      <c r="I37" s="7">
        <f t="shared" si="9"/>
        <v>15.2</v>
      </c>
      <c r="J37" s="7">
        <f t="shared" si="9"/>
        <v>15.2</v>
      </c>
      <c r="K37" s="7">
        <f t="shared" si="9"/>
        <v>15.2</v>
      </c>
      <c r="L37" s="6">
        <f>G37*[1]战斗预期!C$4</f>
        <v>2127.9999999999995</v>
      </c>
      <c r="M37" s="6">
        <f>H37*[1]战斗预期!D$4</f>
        <v>91.200000000000017</v>
      </c>
      <c r="N37" s="6">
        <f>I37*[1]战斗预期!E$4</f>
        <v>76</v>
      </c>
      <c r="O37" s="6">
        <f>J37*[1]战斗预期!F$4</f>
        <v>60.8</v>
      </c>
      <c r="P37" s="6">
        <f>K37*[1]战斗预期!G$4</f>
        <v>60.8</v>
      </c>
    </row>
    <row r="38" spans="3:16" x14ac:dyDescent="0.15">
      <c r="C38" s="1">
        <f>$L$30+($E38-$E$30)*$C$2/C$3*0.2*[1]战斗预期!$C$4</f>
        <v>2056</v>
      </c>
      <c r="D38" s="3">
        <v>9</v>
      </c>
      <c r="E38" s="3">
        <f>[1]属性成长!$D16</f>
        <v>45</v>
      </c>
      <c r="F38" s="3">
        <f t="shared" si="10"/>
        <v>78</v>
      </c>
      <c r="G38" s="7">
        <f t="shared" si="11"/>
        <v>21.839999999999996</v>
      </c>
      <c r="H38" s="7">
        <f t="shared" si="9"/>
        <v>9.36</v>
      </c>
      <c r="I38" s="7">
        <f t="shared" si="9"/>
        <v>15.6</v>
      </c>
      <c r="J38" s="7">
        <f t="shared" si="9"/>
        <v>15.6</v>
      </c>
      <c r="K38" s="7">
        <f t="shared" si="9"/>
        <v>15.6</v>
      </c>
      <c r="L38" s="6">
        <f>G38*[1]战斗预期!C$4</f>
        <v>2183.9999999999995</v>
      </c>
      <c r="M38" s="6">
        <f>H38*[1]战斗预期!D$4</f>
        <v>93.6</v>
      </c>
      <c r="N38" s="6">
        <f>I38*[1]战斗预期!E$4</f>
        <v>78</v>
      </c>
      <c r="O38" s="6">
        <f>J38*[1]战斗预期!F$4</f>
        <v>62.4</v>
      </c>
      <c r="P38" s="6">
        <f>K38*[1]战斗预期!G$4</f>
        <v>62.4</v>
      </c>
    </row>
    <row r="39" spans="3:16" x14ac:dyDescent="0.15">
      <c r="C39" s="1">
        <f>$L$30+($E39-$E$30)*$C$2/C$3*0.2*[1]战斗预期!$C$4</f>
        <v>2096</v>
      </c>
      <c r="D39" s="3">
        <v>10</v>
      </c>
      <c r="E39" s="3">
        <f>[1]属性成长!$D17</f>
        <v>50</v>
      </c>
      <c r="F39" s="3">
        <f t="shared" si="10"/>
        <v>80</v>
      </c>
      <c r="G39" s="7">
        <f t="shared" si="11"/>
        <v>22.4</v>
      </c>
      <c r="H39" s="7">
        <f t="shared" si="9"/>
        <v>9.6</v>
      </c>
      <c r="I39" s="7">
        <f t="shared" si="9"/>
        <v>16</v>
      </c>
      <c r="J39" s="7">
        <f t="shared" si="9"/>
        <v>16</v>
      </c>
      <c r="K39" s="7">
        <f t="shared" si="9"/>
        <v>16</v>
      </c>
      <c r="L39" s="6">
        <f>G39*[1]战斗预期!C$4</f>
        <v>2240</v>
      </c>
      <c r="M39" s="6">
        <f>H39*[1]战斗预期!D$4</f>
        <v>96</v>
      </c>
      <c r="N39" s="6">
        <f>I39*[1]战斗预期!E$4</f>
        <v>80</v>
      </c>
      <c r="O39" s="6">
        <f>J39*[1]战斗预期!F$4</f>
        <v>64</v>
      </c>
      <c r="P39" s="6">
        <f>K39*[1]战斗预期!G$4</f>
        <v>64</v>
      </c>
    </row>
    <row r="40" spans="3:16" x14ac:dyDescent="0.15">
      <c r="C40" s="1">
        <f>$L$30+($E40-$E$30)*$C$2/C$3*0.2*[1]战斗预期!$C$4</f>
        <v>2136</v>
      </c>
      <c r="D40" s="3">
        <v>11</v>
      </c>
      <c r="E40" s="3">
        <f>[1]属性成长!$D18</f>
        <v>55</v>
      </c>
      <c r="F40" s="3">
        <f t="shared" si="10"/>
        <v>82</v>
      </c>
      <c r="G40" s="7">
        <f t="shared" si="11"/>
        <v>22.96</v>
      </c>
      <c r="H40" s="7">
        <f t="shared" si="9"/>
        <v>9.84</v>
      </c>
      <c r="I40" s="7">
        <f t="shared" si="9"/>
        <v>16.399999999999999</v>
      </c>
      <c r="J40" s="7">
        <f t="shared" si="9"/>
        <v>16.399999999999999</v>
      </c>
      <c r="K40" s="7">
        <f t="shared" si="9"/>
        <v>16.399999999999999</v>
      </c>
      <c r="L40" s="6">
        <f>G40*[1]战斗预期!C$4</f>
        <v>2296</v>
      </c>
      <c r="M40" s="6">
        <f>H40*[1]战斗预期!D$4</f>
        <v>98.4</v>
      </c>
      <c r="N40" s="6">
        <f>I40*[1]战斗预期!E$4</f>
        <v>82</v>
      </c>
      <c r="O40" s="6">
        <f>J40*[1]战斗预期!F$4</f>
        <v>65.599999999999994</v>
      </c>
      <c r="P40" s="6">
        <f>K40*[1]战斗预期!G$4</f>
        <v>65.599999999999994</v>
      </c>
    </row>
    <row r="41" spans="3:16" x14ac:dyDescent="0.15">
      <c r="C41" s="1">
        <f>$L$30+($E41-$E$30)*$C$2/C$3*0.2*[1]战斗预期!$C$4</f>
        <v>2176</v>
      </c>
      <c r="D41" s="3">
        <v>12</v>
      </c>
      <c r="E41" s="3">
        <f>[1]属性成长!$D19</f>
        <v>60</v>
      </c>
      <c r="F41" s="3">
        <f t="shared" si="10"/>
        <v>84</v>
      </c>
      <c r="G41" s="7">
        <f t="shared" si="11"/>
        <v>23.52</v>
      </c>
      <c r="H41" s="7">
        <f t="shared" si="9"/>
        <v>10.08</v>
      </c>
      <c r="I41" s="7">
        <f t="shared" si="9"/>
        <v>16.8</v>
      </c>
      <c r="J41" s="7">
        <f t="shared" si="9"/>
        <v>16.8</v>
      </c>
      <c r="K41" s="7">
        <f t="shared" si="9"/>
        <v>16.8</v>
      </c>
      <c r="L41" s="6">
        <f>G41*[1]战斗预期!C$4</f>
        <v>2352</v>
      </c>
      <c r="M41" s="6">
        <f>H41*[1]战斗预期!D$4</f>
        <v>100.8</v>
      </c>
      <c r="N41" s="6">
        <f>I41*[1]战斗预期!E$4</f>
        <v>84</v>
      </c>
      <c r="O41" s="6">
        <f>J41*[1]战斗预期!F$4</f>
        <v>67.2</v>
      </c>
      <c r="P41" s="6">
        <f>K41*[1]战斗预期!G$4</f>
        <v>67.2</v>
      </c>
    </row>
    <row r="42" spans="3:16" x14ac:dyDescent="0.15">
      <c r="C42" s="1">
        <f>$L$30+($E42-$E$30)*$C$2/C$3*0.2*[1]战斗预期!$C$4</f>
        <v>2216</v>
      </c>
      <c r="D42" s="3">
        <v>13</v>
      </c>
      <c r="E42" s="3">
        <f>[1]属性成长!$D20</f>
        <v>65</v>
      </c>
      <c r="F42" s="3">
        <f t="shared" si="10"/>
        <v>86</v>
      </c>
      <c r="G42" s="7">
        <f t="shared" si="11"/>
        <v>24.08</v>
      </c>
      <c r="H42" s="7">
        <f t="shared" si="9"/>
        <v>10.32</v>
      </c>
      <c r="I42" s="7">
        <f t="shared" si="9"/>
        <v>17.2</v>
      </c>
      <c r="J42" s="7">
        <f t="shared" si="9"/>
        <v>17.2</v>
      </c>
      <c r="K42" s="7">
        <f t="shared" si="9"/>
        <v>17.2</v>
      </c>
      <c r="L42" s="6">
        <f>G42*[1]战斗预期!C$4</f>
        <v>2408</v>
      </c>
      <c r="M42" s="6">
        <f>H42*[1]战斗预期!D$4</f>
        <v>103.2</v>
      </c>
      <c r="N42" s="6">
        <f>I42*[1]战斗预期!E$4</f>
        <v>86</v>
      </c>
      <c r="O42" s="6">
        <f>J42*[1]战斗预期!F$4</f>
        <v>68.8</v>
      </c>
      <c r="P42" s="6">
        <f>K42*[1]战斗预期!G$4</f>
        <v>68.8</v>
      </c>
    </row>
    <row r="43" spans="3:16" x14ac:dyDescent="0.15">
      <c r="C43" s="1">
        <f>$L$30+($E43-$E$30)*$C$2/C$3*0.2*[1]战斗预期!$C$4</f>
        <v>2256</v>
      </c>
      <c r="D43" s="3">
        <v>14</v>
      </c>
      <c r="E43" s="3">
        <f>[1]属性成长!$D21</f>
        <v>70</v>
      </c>
      <c r="F43" s="3">
        <f t="shared" si="10"/>
        <v>88</v>
      </c>
      <c r="G43" s="7">
        <f t="shared" si="11"/>
        <v>24.639999999999997</v>
      </c>
      <c r="H43" s="7">
        <f t="shared" si="9"/>
        <v>10.559999999999999</v>
      </c>
      <c r="I43" s="7">
        <f t="shared" si="9"/>
        <v>17.600000000000001</v>
      </c>
      <c r="J43" s="7">
        <f t="shared" si="9"/>
        <v>17.600000000000001</v>
      </c>
      <c r="K43" s="7">
        <f t="shared" si="9"/>
        <v>17.600000000000001</v>
      </c>
      <c r="L43" s="6">
        <f>G43*[1]战斗预期!C$4</f>
        <v>2463.9999999999995</v>
      </c>
      <c r="M43" s="6">
        <f>H43*[1]战斗预期!D$4</f>
        <v>105.6</v>
      </c>
      <c r="N43" s="6">
        <f>I43*[1]战斗预期!E$4</f>
        <v>88</v>
      </c>
      <c r="O43" s="6">
        <f>J43*[1]战斗预期!F$4</f>
        <v>70.400000000000006</v>
      </c>
      <c r="P43" s="6">
        <f>K43*[1]战斗预期!G$4</f>
        <v>70.400000000000006</v>
      </c>
    </row>
    <row r="44" spans="3:16" x14ac:dyDescent="0.15">
      <c r="C44" s="1">
        <f>$L$30+($E44-$E$30)*$C$2/C$3*0.2*[1]战斗预期!$C$4</f>
        <v>2296</v>
      </c>
      <c r="D44" s="3">
        <v>15</v>
      </c>
      <c r="E44" s="3">
        <f>[1]属性成长!$D22</f>
        <v>75</v>
      </c>
      <c r="F44" s="3">
        <f t="shared" si="10"/>
        <v>90</v>
      </c>
      <c r="G44" s="7">
        <f t="shared" si="11"/>
        <v>25.199999999999996</v>
      </c>
      <c r="H44" s="7">
        <f t="shared" si="9"/>
        <v>10.8</v>
      </c>
      <c r="I44" s="7">
        <f t="shared" si="9"/>
        <v>18</v>
      </c>
      <c r="J44" s="7">
        <f t="shared" si="9"/>
        <v>18</v>
      </c>
      <c r="K44" s="7">
        <f t="shared" si="9"/>
        <v>18</v>
      </c>
      <c r="L44" s="6">
        <f>G44*[1]战斗预期!C$4</f>
        <v>2519.9999999999995</v>
      </c>
      <c r="M44" s="6">
        <f>H44*[1]战斗预期!D$4</f>
        <v>108</v>
      </c>
      <c r="N44" s="6">
        <f>I44*[1]战斗预期!E$4</f>
        <v>90</v>
      </c>
      <c r="O44" s="6">
        <f>J44*[1]战斗预期!F$4</f>
        <v>72</v>
      </c>
      <c r="P44" s="6">
        <f>K44*[1]战斗预期!G$4</f>
        <v>72</v>
      </c>
    </row>
    <row r="45" spans="3:16" x14ac:dyDescent="0.15">
      <c r="C45" s="1">
        <f>$L$30+($E45-$E$30)*$C$2/C$3*0.2*[1]战斗预期!$C$4</f>
        <v>2336</v>
      </c>
      <c r="D45" s="3">
        <v>16</v>
      </c>
      <c r="E45" s="3">
        <f>[1]属性成长!$D23</f>
        <v>80</v>
      </c>
      <c r="F45" s="3">
        <f t="shared" si="10"/>
        <v>92</v>
      </c>
      <c r="G45" s="7">
        <f t="shared" si="11"/>
        <v>25.759999999999998</v>
      </c>
      <c r="H45" s="7">
        <f t="shared" si="9"/>
        <v>11.04</v>
      </c>
      <c r="I45" s="7">
        <f t="shared" si="9"/>
        <v>18.399999999999999</v>
      </c>
      <c r="J45" s="7">
        <f t="shared" si="9"/>
        <v>18.399999999999999</v>
      </c>
      <c r="K45" s="7">
        <f t="shared" si="9"/>
        <v>18.399999999999999</v>
      </c>
      <c r="L45" s="6">
        <f>G45*[1]战斗预期!C$4</f>
        <v>2576</v>
      </c>
      <c r="M45" s="6">
        <f>H45*[1]战斗预期!D$4</f>
        <v>110.39999999999999</v>
      </c>
      <c r="N45" s="6">
        <f>I45*[1]战斗预期!E$4</f>
        <v>92</v>
      </c>
      <c r="O45" s="6">
        <f>J45*[1]战斗预期!F$4</f>
        <v>73.599999999999994</v>
      </c>
      <c r="P45" s="6">
        <f>K45*[1]战斗预期!G$4</f>
        <v>73.599999999999994</v>
      </c>
    </row>
    <row r="46" spans="3:16" x14ac:dyDescent="0.15">
      <c r="C46" s="1">
        <f>$L$30+($E46-$E$30)*$C$2/C$3*0.2*[1]战斗预期!$C$4</f>
        <v>2376</v>
      </c>
      <c r="D46" s="3">
        <v>17</v>
      </c>
      <c r="E46" s="3">
        <f>[1]属性成长!$D24</f>
        <v>85</v>
      </c>
      <c r="F46" s="3">
        <f t="shared" si="10"/>
        <v>94</v>
      </c>
      <c r="G46" s="7">
        <f t="shared" si="11"/>
        <v>26.32</v>
      </c>
      <c r="H46" s="7">
        <f t="shared" si="11"/>
        <v>11.28</v>
      </c>
      <c r="I46" s="7">
        <f t="shared" si="11"/>
        <v>18.8</v>
      </c>
      <c r="J46" s="7">
        <f t="shared" si="11"/>
        <v>18.8</v>
      </c>
      <c r="K46" s="7">
        <f t="shared" si="11"/>
        <v>18.8</v>
      </c>
      <c r="L46" s="6">
        <f>G46*[1]战斗预期!C$4</f>
        <v>2632</v>
      </c>
      <c r="M46" s="6">
        <f>H46*[1]战斗预期!D$4</f>
        <v>112.8</v>
      </c>
      <c r="N46" s="6">
        <f>I46*[1]战斗预期!E$4</f>
        <v>94</v>
      </c>
      <c r="O46" s="6">
        <f>J46*[1]战斗预期!F$4</f>
        <v>75.2</v>
      </c>
      <c r="P46" s="6">
        <f>K46*[1]战斗预期!G$4</f>
        <v>75.2</v>
      </c>
    </row>
    <row r="47" spans="3:16" x14ac:dyDescent="0.15">
      <c r="C47" s="1">
        <f>$L$30+($E47-$E$30)*$C$2/C$3*0.2*[1]战斗预期!$C$4</f>
        <v>2416</v>
      </c>
      <c r="D47" s="3">
        <v>18</v>
      </c>
      <c r="E47" s="3">
        <f>[1]属性成长!$D25</f>
        <v>90</v>
      </c>
      <c r="F47" s="3">
        <f t="shared" si="10"/>
        <v>96</v>
      </c>
      <c r="G47" s="7">
        <f t="shared" si="11"/>
        <v>26.879999999999995</v>
      </c>
      <c r="H47" s="7">
        <f t="shared" si="11"/>
        <v>11.52</v>
      </c>
      <c r="I47" s="7">
        <f t="shared" si="11"/>
        <v>19.2</v>
      </c>
      <c r="J47" s="7">
        <f t="shared" si="11"/>
        <v>19.2</v>
      </c>
      <c r="K47" s="7">
        <f t="shared" si="11"/>
        <v>19.2</v>
      </c>
      <c r="L47" s="6">
        <f>G47*[1]战斗预期!C$4</f>
        <v>2687.9999999999995</v>
      </c>
      <c r="M47" s="6">
        <f>H47*[1]战斗预期!D$4</f>
        <v>115.19999999999999</v>
      </c>
      <c r="N47" s="6">
        <f>I47*[1]战斗预期!E$4</f>
        <v>96</v>
      </c>
      <c r="O47" s="6">
        <f>J47*[1]战斗预期!F$4</f>
        <v>76.8</v>
      </c>
      <c r="P47" s="6">
        <f>K47*[1]战斗预期!G$4</f>
        <v>76.8</v>
      </c>
    </row>
    <row r="48" spans="3:16" x14ac:dyDescent="0.15">
      <c r="C48" s="1">
        <f>$L$30+($E48-$E$30)*$C$2/C$3*0.2*[1]战斗预期!$C$4</f>
        <v>2456</v>
      </c>
      <c r="D48" s="3">
        <v>19</v>
      </c>
      <c r="E48" s="3">
        <f>[1]属性成长!$D26</f>
        <v>95</v>
      </c>
      <c r="F48" s="3">
        <f t="shared" si="10"/>
        <v>98</v>
      </c>
      <c r="G48" s="7">
        <f t="shared" si="11"/>
        <v>27.439999999999998</v>
      </c>
      <c r="H48" s="7">
        <f t="shared" si="11"/>
        <v>11.76</v>
      </c>
      <c r="I48" s="7">
        <f t="shared" si="11"/>
        <v>19.600000000000001</v>
      </c>
      <c r="J48" s="7">
        <f t="shared" si="11"/>
        <v>19.600000000000001</v>
      </c>
      <c r="K48" s="7">
        <f t="shared" si="11"/>
        <v>19.600000000000001</v>
      </c>
      <c r="L48" s="6">
        <f>G48*[1]战斗预期!C$4</f>
        <v>2744</v>
      </c>
      <c r="M48" s="6">
        <f>H48*[1]战斗预期!D$4</f>
        <v>117.6</v>
      </c>
      <c r="N48" s="6">
        <f>I48*[1]战斗预期!E$4</f>
        <v>98</v>
      </c>
      <c r="O48" s="6">
        <f>J48*[1]战斗预期!F$4</f>
        <v>78.400000000000006</v>
      </c>
      <c r="P48" s="6">
        <f>K48*[1]战斗预期!G$4</f>
        <v>78.400000000000006</v>
      </c>
    </row>
    <row r="49" spans="3:16" x14ac:dyDescent="0.15">
      <c r="C49" s="1">
        <f>$L$30+($E49-$E$30)*$C$2/C$3*0.2*[1]战斗预期!$C$4</f>
        <v>2496</v>
      </c>
      <c r="D49" s="3">
        <v>20</v>
      </c>
      <c r="E49" s="3">
        <f>[1]属性成长!$D27</f>
        <v>100</v>
      </c>
      <c r="F49" s="3">
        <f t="shared" si="10"/>
        <v>100</v>
      </c>
      <c r="G49" s="7">
        <f t="shared" si="11"/>
        <v>28</v>
      </c>
      <c r="H49" s="7">
        <f t="shared" si="11"/>
        <v>12</v>
      </c>
      <c r="I49" s="7">
        <f t="shared" si="11"/>
        <v>20</v>
      </c>
      <c r="J49" s="7">
        <f t="shared" si="11"/>
        <v>20</v>
      </c>
      <c r="K49" s="7">
        <f t="shared" si="11"/>
        <v>20</v>
      </c>
      <c r="L49" s="6">
        <f>G49*[1]战斗预期!C$4</f>
        <v>2800</v>
      </c>
      <c r="M49" s="6">
        <f>H49*[1]战斗预期!D$4</f>
        <v>120</v>
      </c>
      <c r="N49" s="6">
        <f>I49*[1]战斗预期!E$4</f>
        <v>100</v>
      </c>
      <c r="O49" s="6">
        <f>J49*[1]战斗预期!F$4</f>
        <v>80</v>
      </c>
      <c r="P49" s="6">
        <f>K49*[1]战斗预期!G$4</f>
        <v>80</v>
      </c>
    </row>
    <row r="50" spans="3:16" x14ac:dyDescent="0.15">
      <c r="C50" s="1">
        <f>$L$30+($E50-$E$30)*$C$2/C$3*0.2*[1]战斗预期!$C$4</f>
        <v>2536</v>
      </c>
      <c r="D50" s="3">
        <v>21</v>
      </c>
      <c r="E50" s="3">
        <f>[1]属性成长!$D28</f>
        <v>105</v>
      </c>
      <c r="F50" s="3">
        <f t="shared" si="10"/>
        <v>102</v>
      </c>
      <c r="G50" s="7">
        <f t="shared" si="11"/>
        <v>28.559999999999995</v>
      </c>
      <c r="H50" s="7">
        <f t="shared" si="11"/>
        <v>12.239999999999998</v>
      </c>
      <c r="I50" s="7">
        <f t="shared" si="11"/>
        <v>20.399999999999999</v>
      </c>
      <c r="J50" s="7">
        <f t="shared" si="11"/>
        <v>20.399999999999999</v>
      </c>
      <c r="K50" s="7">
        <f t="shared" si="11"/>
        <v>20.399999999999999</v>
      </c>
      <c r="L50" s="6">
        <f>G50*[1]战斗预期!C$4</f>
        <v>2855.9999999999995</v>
      </c>
      <c r="M50" s="6">
        <f>H50*[1]战斗预期!D$4</f>
        <v>122.39999999999998</v>
      </c>
      <c r="N50" s="6">
        <f>I50*[1]战斗预期!E$4</f>
        <v>102</v>
      </c>
      <c r="O50" s="6">
        <f>J50*[1]战斗预期!F$4</f>
        <v>81.599999999999994</v>
      </c>
      <c r="P50" s="6">
        <f>K50*[1]战斗预期!G$4</f>
        <v>81.599999999999994</v>
      </c>
    </row>
    <row r="51" spans="3:16" x14ac:dyDescent="0.15">
      <c r="C51" s="1">
        <f>$L$30+($E51-$E$30)*$C$2/C$3*0.2*[1]战斗预期!$C$4</f>
        <v>2576</v>
      </c>
      <c r="D51" s="3">
        <v>22</v>
      </c>
      <c r="E51" s="3">
        <f>[1]属性成长!$D29</f>
        <v>110</v>
      </c>
      <c r="F51" s="3">
        <f t="shared" si="10"/>
        <v>104</v>
      </c>
      <c r="G51" s="7">
        <f t="shared" si="11"/>
        <v>29.119999999999997</v>
      </c>
      <c r="H51" s="7">
        <f t="shared" si="11"/>
        <v>12.48</v>
      </c>
      <c r="I51" s="7">
        <f t="shared" si="11"/>
        <v>20.8</v>
      </c>
      <c r="J51" s="7">
        <f t="shared" si="11"/>
        <v>20.8</v>
      </c>
      <c r="K51" s="7">
        <f t="shared" si="11"/>
        <v>20.8</v>
      </c>
      <c r="L51" s="6">
        <f>G51*[1]战斗预期!C$4</f>
        <v>2911.9999999999995</v>
      </c>
      <c r="M51" s="6">
        <f>H51*[1]战斗预期!D$4</f>
        <v>124.80000000000001</v>
      </c>
      <c r="N51" s="6">
        <f>I51*[1]战斗预期!E$4</f>
        <v>104</v>
      </c>
      <c r="O51" s="6">
        <f>J51*[1]战斗预期!F$4</f>
        <v>83.2</v>
      </c>
      <c r="P51" s="6">
        <f>K51*[1]战斗预期!G$4</f>
        <v>83.2</v>
      </c>
    </row>
    <row r="52" spans="3:16" x14ac:dyDescent="0.15">
      <c r="C52" s="1">
        <f>$L$30+($E52-$E$30)*$C$2/C$3*0.2*[1]战斗预期!$C$4</f>
        <v>2616</v>
      </c>
      <c r="D52" s="3">
        <v>23</v>
      </c>
      <c r="E52" s="3">
        <f>[1]属性成长!$D30</f>
        <v>115</v>
      </c>
      <c r="F52" s="3">
        <f t="shared" si="10"/>
        <v>106</v>
      </c>
      <c r="G52" s="7">
        <f t="shared" si="11"/>
        <v>29.679999999999996</v>
      </c>
      <c r="H52" s="7">
        <f t="shared" si="11"/>
        <v>12.719999999999999</v>
      </c>
      <c r="I52" s="7">
        <f t="shared" si="11"/>
        <v>21.2</v>
      </c>
      <c r="J52" s="7">
        <f t="shared" si="11"/>
        <v>21.2</v>
      </c>
      <c r="K52" s="7">
        <f t="shared" si="11"/>
        <v>21.2</v>
      </c>
      <c r="L52" s="6">
        <f>G52*[1]战斗预期!C$4</f>
        <v>2967.9999999999995</v>
      </c>
      <c r="M52" s="6">
        <f>H52*[1]战斗预期!D$4</f>
        <v>127.19999999999999</v>
      </c>
      <c r="N52" s="6">
        <f>I52*[1]战斗预期!E$4</f>
        <v>106</v>
      </c>
      <c r="O52" s="6">
        <f>J52*[1]战斗预期!F$4</f>
        <v>84.8</v>
      </c>
      <c r="P52" s="6">
        <f>K52*[1]战斗预期!G$4</f>
        <v>84.8</v>
      </c>
    </row>
    <row r="53" spans="3:16" x14ac:dyDescent="0.15">
      <c r="C53" s="1">
        <f>$L$30+($E53-$E$30)*$C$2/C$3*0.2*[1]战斗预期!$C$4</f>
        <v>2656</v>
      </c>
      <c r="D53" s="3">
        <v>24</v>
      </c>
      <c r="E53" s="3">
        <f>[1]属性成长!$D31</f>
        <v>120</v>
      </c>
      <c r="F53" s="3">
        <f t="shared" si="10"/>
        <v>108</v>
      </c>
      <c r="G53" s="7">
        <f t="shared" si="11"/>
        <v>30.24</v>
      </c>
      <c r="H53" s="7">
        <f t="shared" si="11"/>
        <v>12.959999999999999</v>
      </c>
      <c r="I53" s="7">
        <f t="shared" si="11"/>
        <v>21.6</v>
      </c>
      <c r="J53" s="7">
        <f t="shared" si="11"/>
        <v>21.6</v>
      </c>
      <c r="K53" s="7">
        <f t="shared" si="11"/>
        <v>21.6</v>
      </c>
      <c r="L53" s="6">
        <f>G53*[1]战斗预期!C$4</f>
        <v>3024</v>
      </c>
      <c r="M53" s="6">
        <f>H53*[1]战斗预期!D$4</f>
        <v>129.6</v>
      </c>
      <c r="N53" s="6">
        <f>I53*[1]战斗预期!E$4</f>
        <v>108</v>
      </c>
      <c r="O53" s="6">
        <f>J53*[1]战斗预期!F$4</f>
        <v>86.4</v>
      </c>
      <c r="P53" s="6">
        <f>K53*[1]战斗预期!G$4</f>
        <v>86.4</v>
      </c>
    </row>
    <row r="54" spans="3:16" x14ac:dyDescent="0.15">
      <c r="C54" s="1">
        <f>$L$30+($E54-$E$30)*$C$2/C$3*0.2*[1]战斗预期!$C$4</f>
        <v>2696</v>
      </c>
      <c r="D54" s="3">
        <v>25</v>
      </c>
      <c r="E54" s="3">
        <f>[1]属性成长!$D32</f>
        <v>125</v>
      </c>
      <c r="F54" s="3">
        <f t="shared" si="10"/>
        <v>110</v>
      </c>
      <c r="G54" s="7">
        <f t="shared" si="11"/>
        <v>30.8</v>
      </c>
      <c r="H54" s="7">
        <f t="shared" si="11"/>
        <v>13.2</v>
      </c>
      <c r="I54" s="7">
        <f t="shared" si="11"/>
        <v>22</v>
      </c>
      <c r="J54" s="7">
        <f t="shared" si="11"/>
        <v>22</v>
      </c>
      <c r="K54" s="7">
        <f t="shared" si="11"/>
        <v>22</v>
      </c>
      <c r="L54" s="6">
        <f>G54*[1]战斗预期!C$4</f>
        <v>3080</v>
      </c>
      <c r="M54" s="6">
        <f>H54*[1]战斗预期!D$4</f>
        <v>132</v>
      </c>
      <c r="N54" s="6">
        <f>I54*[1]战斗预期!E$4</f>
        <v>110</v>
      </c>
      <c r="O54" s="6">
        <f>J54*[1]战斗预期!F$4</f>
        <v>88</v>
      </c>
      <c r="P54" s="6">
        <f>K54*[1]战斗预期!G$4</f>
        <v>88</v>
      </c>
    </row>
    <row r="55" spans="3:16" x14ac:dyDescent="0.15">
      <c r="C55" s="1">
        <f>$L$30+($E55-$E$30)*$C$2/C$3*0.2*[1]战斗预期!$C$4</f>
        <v>2736</v>
      </c>
      <c r="D55" s="3">
        <v>26</v>
      </c>
      <c r="E55" s="3">
        <f>[1]属性成长!$D33</f>
        <v>130</v>
      </c>
      <c r="F55" s="3">
        <f t="shared" si="10"/>
        <v>112</v>
      </c>
      <c r="G55" s="7">
        <f t="shared" si="11"/>
        <v>31.359999999999996</v>
      </c>
      <c r="H55" s="7">
        <f t="shared" si="11"/>
        <v>13.440000000000001</v>
      </c>
      <c r="I55" s="7">
        <f t="shared" si="11"/>
        <v>22.4</v>
      </c>
      <c r="J55" s="7">
        <f t="shared" si="11"/>
        <v>22.4</v>
      </c>
      <c r="K55" s="7">
        <f t="shared" si="11"/>
        <v>22.4</v>
      </c>
      <c r="L55" s="6">
        <f>G55*[1]战斗预期!C$4</f>
        <v>3135.9999999999995</v>
      </c>
      <c r="M55" s="6">
        <f>H55*[1]战斗预期!D$4</f>
        <v>134.4</v>
      </c>
      <c r="N55" s="6">
        <f>I55*[1]战斗预期!E$4</f>
        <v>112</v>
      </c>
      <c r="O55" s="6">
        <f>J55*[1]战斗预期!F$4</f>
        <v>89.6</v>
      </c>
      <c r="P55" s="6">
        <f>K55*[1]战斗预期!G$4</f>
        <v>89.6</v>
      </c>
    </row>
    <row r="56" spans="3:16" x14ac:dyDescent="0.15">
      <c r="C56" s="1">
        <f>$L$30+($E56-$E$30)*$C$2/C$3*0.2*[1]战斗预期!$C$4</f>
        <v>2776</v>
      </c>
      <c r="D56" s="3">
        <v>27</v>
      </c>
      <c r="E56" s="3">
        <f>[1]属性成长!$D34</f>
        <v>135</v>
      </c>
      <c r="F56" s="3">
        <f t="shared" si="10"/>
        <v>114</v>
      </c>
      <c r="G56" s="7">
        <f t="shared" si="11"/>
        <v>31.919999999999998</v>
      </c>
      <c r="H56" s="7">
        <f t="shared" si="11"/>
        <v>13.679999999999998</v>
      </c>
      <c r="I56" s="7">
        <f t="shared" si="11"/>
        <v>22.8</v>
      </c>
      <c r="J56" s="7">
        <f t="shared" si="11"/>
        <v>22.8</v>
      </c>
      <c r="K56" s="7">
        <f t="shared" si="11"/>
        <v>22.8</v>
      </c>
      <c r="L56" s="6">
        <f>G56*[1]战斗预期!C$4</f>
        <v>3192</v>
      </c>
      <c r="M56" s="6">
        <f>H56*[1]战斗预期!D$4</f>
        <v>136.79999999999998</v>
      </c>
      <c r="N56" s="6">
        <f>I56*[1]战斗预期!E$4</f>
        <v>114</v>
      </c>
      <c r="O56" s="6">
        <f>J56*[1]战斗预期!F$4</f>
        <v>91.2</v>
      </c>
      <c r="P56" s="6">
        <f>K56*[1]战斗预期!G$4</f>
        <v>91.2</v>
      </c>
    </row>
    <row r="57" spans="3:16" x14ac:dyDescent="0.15">
      <c r="C57" s="1">
        <f>$L$30+($E57-$E$30)*$C$2/C$3*0.2*[1]战斗预期!$C$4</f>
        <v>2816</v>
      </c>
      <c r="D57" s="3">
        <v>28</v>
      </c>
      <c r="E57" s="3">
        <f>[1]属性成长!$D35</f>
        <v>140</v>
      </c>
      <c r="F57" s="3">
        <f t="shared" si="10"/>
        <v>116</v>
      </c>
      <c r="G57" s="7">
        <f t="shared" si="11"/>
        <v>32.479999999999997</v>
      </c>
      <c r="H57" s="7">
        <f t="shared" si="11"/>
        <v>13.919999999999998</v>
      </c>
      <c r="I57" s="7">
        <f t="shared" si="11"/>
        <v>23.2</v>
      </c>
      <c r="J57" s="7">
        <f t="shared" si="11"/>
        <v>23.2</v>
      </c>
      <c r="K57" s="7">
        <f t="shared" si="11"/>
        <v>23.2</v>
      </c>
      <c r="L57" s="6">
        <f>G57*[1]战斗预期!C$4</f>
        <v>3247.9999999999995</v>
      </c>
      <c r="M57" s="6">
        <f>H57*[1]战斗预期!D$4</f>
        <v>139.19999999999999</v>
      </c>
      <c r="N57" s="6">
        <f>I57*[1]战斗预期!E$4</f>
        <v>116</v>
      </c>
      <c r="O57" s="6">
        <f>J57*[1]战斗预期!F$4</f>
        <v>92.8</v>
      </c>
      <c r="P57" s="6">
        <f>K57*[1]战斗预期!G$4</f>
        <v>92.8</v>
      </c>
    </row>
    <row r="58" spans="3:16" x14ac:dyDescent="0.15">
      <c r="C58" s="1">
        <f>$L$30+($E58-$E$30)*$C$2/C$3*0.2*[1]战斗预期!$C$4</f>
        <v>2856</v>
      </c>
      <c r="D58" s="3">
        <v>29</v>
      </c>
      <c r="E58" s="3">
        <f>[1]属性成长!$D36</f>
        <v>145</v>
      </c>
      <c r="F58" s="3">
        <f t="shared" si="10"/>
        <v>118</v>
      </c>
      <c r="G58" s="7">
        <f t="shared" si="11"/>
        <v>33.04</v>
      </c>
      <c r="H58" s="7">
        <f t="shared" si="11"/>
        <v>14.16</v>
      </c>
      <c r="I58" s="7">
        <f t="shared" si="11"/>
        <v>23.6</v>
      </c>
      <c r="J58" s="7">
        <f t="shared" si="11"/>
        <v>23.6</v>
      </c>
      <c r="K58" s="7">
        <f t="shared" si="11"/>
        <v>23.6</v>
      </c>
      <c r="L58" s="6">
        <f>G58*[1]战斗预期!C$4</f>
        <v>3304</v>
      </c>
      <c r="M58" s="6">
        <f>H58*[1]战斗预期!D$4</f>
        <v>141.6</v>
      </c>
      <c r="N58" s="6">
        <f>I58*[1]战斗预期!E$4</f>
        <v>118</v>
      </c>
      <c r="O58" s="6">
        <f>J58*[1]战斗预期!F$4</f>
        <v>94.4</v>
      </c>
      <c r="P58" s="6">
        <f>K58*[1]战斗预期!G$4</f>
        <v>94.4</v>
      </c>
    </row>
    <row r="59" spans="3:16" x14ac:dyDescent="0.15">
      <c r="C59" s="1">
        <f>$L$30+($E59-$E$30)*$C$2/C$3*0.2*[1]战斗预期!$C$4</f>
        <v>2896</v>
      </c>
      <c r="D59" s="3">
        <v>30</v>
      </c>
      <c r="E59" s="3">
        <f>[1]属性成长!$D37</f>
        <v>150</v>
      </c>
      <c r="F59" s="3">
        <f t="shared" si="10"/>
        <v>120</v>
      </c>
      <c r="G59" s="7">
        <f t="shared" si="11"/>
        <v>33.6</v>
      </c>
      <c r="H59" s="7">
        <f t="shared" si="11"/>
        <v>14.4</v>
      </c>
      <c r="I59" s="7">
        <f t="shared" si="11"/>
        <v>24</v>
      </c>
      <c r="J59" s="7">
        <f t="shared" si="11"/>
        <v>24</v>
      </c>
      <c r="K59" s="7">
        <f t="shared" si="11"/>
        <v>24</v>
      </c>
      <c r="L59" s="6">
        <f>G59*[1]战斗预期!C$4</f>
        <v>3360</v>
      </c>
      <c r="M59" s="6">
        <f>H59*[1]战斗预期!D$4</f>
        <v>144</v>
      </c>
      <c r="N59" s="6">
        <f>I59*[1]战斗预期!E$4</f>
        <v>120</v>
      </c>
      <c r="O59" s="6">
        <f>J59*[1]战斗预期!F$4</f>
        <v>96</v>
      </c>
      <c r="P59" s="6">
        <f>K59*[1]战斗预期!G$4</f>
        <v>96</v>
      </c>
    </row>
    <row r="60" spans="3:16" x14ac:dyDescent="0.15">
      <c r="C60" s="1">
        <f>$L$30+($E60-$E$30)*$C$2/C$3*0.2*[1]战斗预期!$C$4</f>
        <v>2936</v>
      </c>
      <c r="D60" s="3">
        <v>31</v>
      </c>
      <c r="E60" s="3">
        <f>[1]属性成长!$D38</f>
        <v>155</v>
      </c>
      <c r="F60" s="3">
        <f t="shared" si="10"/>
        <v>122</v>
      </c>
      <c r="G60" s="7">
        <f t="shared" si="11"/>
        <v>34.159999999999997</v>
      </c>
      <c r="H60" s="7">
        <f t="shared" si="11"/>
        <v>14.64</v>
      </c>
      <c r="I60" s="7">
        <f t="shared" si="11"/>
        <v>24.4</v>
      </c>
      <c r="J60" s="7">
        <f t="shared" si="11"/>
        <v>24.4</v>
      </c>
      <c r="K60" s="7">
        <f t="shared" si="11"/>
        <v>24.4</v>
      </c>
      <c r="L60" s="6">
        <f>G60*[1]战斗预期!C$4</f>
        <v>3415.9999999999995</v>
      </c>
      <c r="M60" s="6">
        <f>H60*[1]战斗预期!D$4</f>
        <v>146.4</v>
      </c>
      <c r="N60" s="6">
        <f>I60*[1]战斗预期!E$4</f>
        <v>122</v>
      </c>
      <c r="O60" s="6">
        <f>J60*[1]战斗预期!F$4</f>
        <v>97.6</v>
      </c>
      <c r="P60" s="6">
        <f>K60*[1]战斗预期!G$4</f>
        <v>97.6</v>
      </c>
    </row>
    <row r="61" spans="3:16" x14ac:dyDescent="0.15">
      <c r="C61" s="1">
        <f>$L$30+($E61-$E$30)*$C$2/C$3*0.2*[1]战斗预期!$C$4</f>
        <v>2976</v>
      </c>
      <c r="D61" s="3">
        <v>32</v>
      </c>
      <c r="E61" s="3">
        <f>[1]属性成长!$D39</f>
        <v>160</v>
      </c>
      <c r="F61" s="3">
        <f t="shared" si="10"/>
        <v>124</v>
      </c>
      <c r="G61" s="7">
        <f t="shared" si="11"/>
        <v>34.72</v>
      </c>
      <c r="H61" s="7">
        <f t="shared" si="11"/>
        <v>14.879999999999999</v>
      </c>
      <c r="I61" s="7">
        <f t="shared" si="11"/>
        <v>24.8</v>
      </c>
      <c r="J61" s="7">
        <f t="shared" si="11"/>
        <v>24.8</v>
      </c>
      <c r="K61" s="7">
        <f t="shared" si="11"/>
        <v>24.8</v>
      </c>
      <c r="L61" s="6">
        <f>G61*[1]战斗预期!C$4</f>
        <v>3472</v>
      </c>
      <c r="M61" s="6">
        <f>H61*[1]战斗预期!D$4</f>
        <v>148.79999999999998</v>
      </c>
      <c r="N61" s="6">
        <f>I61*[1]战斗预期!E$4</f>
        <v>124</v>
      </c>
      <c r="O61" s="6">
        <f>J61*[1]战斗预期!F$4</f>
        <v>99.2</v>
      </c>
      <c r="P61" s="6">
        <f>K61*[1]战斗预期!G$4</f>
        <v>99.2</v>
      </c>
    </row>
    <row r="62" spans="3:16" x14ac:dyDescent="0.15">
      <c r="C62" s="1">
        <f>$L$30+($E62-$E$30)*$C$2/C$3*0.2*[1]战斗预期!$C$4</f>
        <v>3016</v>
      </c>
      <c r="D62" s="3">
        <v>33</v>
      </c>
      <c r="E62" s="3">
        <f>[1]属性成长!$D40</f>
        <v>165</v>
      </c>
      <c r="F62" s="3">
        <f t="shared" si="10"/>
        <v>126</v>
      </c>
      <c r="G62" s="7">
        <f t="shared" si="11"/>
        <v>35.279999999999994</v>
      </c>
      <c r="H62" s="7">
        <f t="shared" si="11"/>
        <v>15.12</v>
      </c>
      <c r="I62" s="7">
        <f t="shared" si="11"/>
        <v>25.2</v>
      </c>
      <c r="J62" s="7">
        <f t="shared" si="11"/>
        <v>25.2</v>
      </c>
      <c r="K62" s="7">
        <f t="shared" si="11"/>
        <v>25.2</v>
      </c>
      <c r="L62" s="6">
        <f>G62*[1]战斗预期!C$4</f>
        <v>3527.9999999999995</v>
      </c>
      <c r="M62" s="6">
        <f>H62*[1]战斗预期!D$4</f>
        <v>151.19999999999999</v>
      </c>
      <c r="N62" s="6">
        <f>I62*[1]战斗预期!E$4</f>
        <v>126</v>
      </c>
      <c r="O62" s="6">
        <f>J62*[1]战斗预期!F$4</f>
        <v>100.8</v>
      </c>
      <c r="P62" s="6">
        <f>K62*[1]战斗预期!G$4</f>
        <v>100.8</v>
      </c>
    </row>
    <row r="63" spans="3:16" x14ac:dyDescent="0.15">
      <c r="C63" s="1">
        <f>$L$30+($E63-$E$30)*$C$2/C$3*0.2*[1]战斗预期!$C$4</f>
        <v>3056</v>
      </c>
      <c r="D63" s="3">
        <v>34</v>
      </c>
      <c r="E63" s="3">
        <f>[1]属性成长!$D41</f>
        <v>170</v>
      </c>
      <c r="F63" s="3">
        <f t="shared" si="10"/>
        <v>128</v>
      </c>
      <c r="G63" s="7">
        <f t="shared" ref="G63:K94" si="12">$F63*G$2/SUM($G$2:$K$2)</f>
        <v>35.839999999999996</v>
      </c>
      <c r="H63" s="7">
        <f t="shared" si="12"/>
        <v>15.36</v>
      </c>
      <c r="I63" s="7">
        <f t="shared" si="12"/>
        <v>25.6</v>
      </c>
      <c r="J63" s="7">
        <f t="shared" si="12"/>
        <v>25.6</v>
      </c>
      <c r="K63" s="7">
        <f t="shared" si="12"/>
        <v>25.6</v>
      </c>
      <c r="L63" s="6">
        <f>G63*[1]战斗预期!C$4</f>
        <v>3583.9999999999995</v>
      </c>
      <c r="M63" s="6">
        <f>H63*[1]战斗预期!D$4</f>
        <v>153.6</v>
      </c>
      <c r="N63" s="6">
        <f>I63*[1]战斗预期!E$4</f>
        <v>128</v>
      </c>
      <c r="O63" s="6">
        <f>J63*[1]战斗预期!F$4</f>
        <v>102.4</v>
      </c>
      <c r="P63" s="6">
        <f>K63*[1]战斗预期!G$4</f>
        <v>102.4</v>
      </c>
    </row>
    <row r="64" spans="3:16" x14ac:dyDescent="0.15">
      <c r="C64" s="1">
        <f>$L$30+($E64-$E$30)*$C$2/C$3*0.2*[1]战斗预期!$C$4</f>
        <v>3096</v>
      </c>
      <c r="D64" s="3">
        <v>35</v>
      </c>
      <c r="E64" s="3">
        <f>[1]属性成长!$D42</f>
        <v>175</v>
      </c>
      <c r="F64" s="3">
        <f t="shared" si="10"/>
        <v>130</v>
      </c>
      <c r="G64" s="7">
        <f t="shared" si="12"/>
        <v>36.4</v>
      </c>
      <c r="H64" s="7">
        <f t="shared" si="12"/>
        <v>15.6</v>
      </c>
      <c r="I64" s="7">
        <f t="shared" si="12"/>
        <v>26</v>
      </c>
      <c r="J64" s="7">
        <f t="shared" si="12"/>
        <v>26</v>
      </c>
      <c r="K64" s="7">
        <f t="shared" si="12"/>
        <v>26</v>
      </c>
      <c r="L64" s="6">
        <f>G64*[1]战斗预期!C$4</f>
        <v>3640</v>
      </c>
      <c r="M64" s="6">
        <f>H64*[1]战斗预期!D$4</f>
        <v>156</v>
      </c>
      <c r="N64" s="6">
        <f>I64*[1]战斗预期!E$4</f>
        <v>130</v>
      </c>
      <c r="O64" s="6">
        <f>J64*[1]战斗预期!F$4</f>
        <v>104</v>
      </c>
      <c r="P64" s="6">
        <f>K64*[1]战斗预期!G$4</f>
        <v>104</v>
      </c>
    </row>
    <row r="65" spans="3:16" x14ac:dyDescent="0.15">
      <c r="C65" s="1">
        <f>$L$30+($E65-$E$30)*$C$2/C$3*0.2*[1]战斗预期!$C$4</f>
        <v>3136</v>
      </c>
      <c r="D65" s="3">
        <v>36</v>
      </c>
      <c r="E65" s="3">
        <f>[1]属性成长!$D43</f>
        <v>180</v>
      </c>
      <c r="F65" s="3">
        <f t="shared" si="10"/>
        <v>132</v>
      </c>
      <c r="G65" s="7">
        <f t="shared" si="12"/>
        <v>36.959999999999994</v>
      </c>
      <c r="H65" s="7">
        <f t="shared" si="12"/>
        <v>15.84</v>
      </c>
      <c r="I65" s="7">
        <f t="shared" si="12"/>
        <v>26.4</v>
      </c>
      <c r="J65" s="7">
        <f t="shared" si="12"/>
        <v>26.4</v>
      </c>
      <c r="K65" s="7">
        <f t="shared" si="12"/>
        <v>26.4</v>
      </c>
      <c r="L65" s="6">
        <f>G65*[1]战斗预期!C$4</f>
        <v>3695.9999999999995</v>
      </c>
      <c r="M65" s="6">
        <f>H65*[1]战斗预期!D$4</f>
        <v>158.4</v>
      </c>
      <c r="N65" s="6">
        <f>I65*[1]战斗预期!E$4</f>
        <v>132</v>
      </c>
      <c r="O65" s="6">
        <f>J65*[1]战斗预期!F$4</f>
        <v>105.6</v>
      </c>
      <c r="P65" s="6">
        <f>K65*[1]战斗预期!G$4</f>
        <v>105.6</v>
      </c>
    </row>
    <row r="66" spans="3:16" x14ac:dyDescent="0.15">
      <c r="C66" s="1">
        <f>$L$30+($E66-$E$30)*$C$2/C$3*0.2*[1]战斗预期!$C$4</f>
        <v>3176</v>
      </c>
      <c r="D66" s="3">
        <v>37</v>
      </c>
      <c r="E66" s="3">
        <f>[1]属性成长!$D44</f>
        <v>185</v>
      </c>
      <c r="F66" s="3">
        <f t="shared" si="10"/>
        <v>134</v>
      </c>
      <c r="G66" s="7">
        <f t="shared" si="12"/>
        <v>37.519999999999996</v>
      </c>
      <c r="H66" s="7">
        <f t="shared" si="12"/>
        <v>16.079999999999998</v>
      </c>
      <c r="I66" s="7">
        <f t="shared" si="12"/>
        <v>26.8</v>
      </c>
      <c r="J66" s="7">
        <f t="shared" si="12"/>
        <v>26.8</v>
      </c>
      <c r="K66" s="7">
        <f t="shared" si="12"/>
        <v>26.8</v>
      </c>
      <c r="L66" s="6">
        <f>G66*[1]战斗预期!C$4</f>
        <v>3751.9999999999995</v>
      </c>
      <c r="M66" s="6">
        <f>H66*[1]战斗预期!D$4</f>
        <v>160.79999999999998</v>
      </c>
      <c r="N66" s="6">
        <f>I66*[1]战斗预期!E$4</f>
        <v>134</v>
      </c>
      <c r="O66" s="6">
        <f>J66*[1]战斗预期!F$4</f>
        <v>107.2</v>
      </c>
      <c r="P66" s="6">
        <f>K66*[1]战斗预期!G$4</f>
        <v>107.2</v>
      </c>
    </row>
    <row r="67" spans="3:16" x14ac:dyDescent="0.15">
      <c r="C67" s="1">
        <f>$L$30+($E67-$E$30)*$C$2/C$3*0.2*[1]战斗预期!$C$4</f>
        <v>3216</v>
      </c>
      <c r="D67" s="3">
        <v>38</v>
      </c>
      <c r="E67" s="3">
        <f>[1]属性成长!$D45</f>
        <v>190</v>
      </c>
      <c r="F67" s="3">
        <f t="shared" si="10"/>
        <v>136</v>
      </c>
      <c r="G67" s="7">
        <f t="shared" si="12"/>
        <v>38.08</v>
      </c>
      <c r="H67" s="7">
        <f t="shared" si="12"/>
        <v>16.32</v>
      </c>
      <c r="I67" s="7">
        <f t="shared" si="12"/>
        <v>27.2</v>
      </c>
      <c r="J67" s="7">
        <f t="shared" si="12"/>
        <v>27.2</v>
      </c>
      <c r="K67" s="7">
        <f t="shared" si="12"/>
        <v>27.2</v>
      </c>
      <c r="L67" s="6">
        <f>G67*[1]战斗预期!C$4</f>
        <v>3808</v>
      </c>
      <c r="M67" s="6">
        <f>H67*[1]战斗预期!D$4</f>
        <v>163.19999999999999</v>
      </c>
      <c r="N67" s="6">
        <f>I67*[1]战斗预期!E$4</f>
        <v>136</v>
      </c>
      <c r="O67" s="6">
        <f>J67*[1]战斗预期!F$4</f>
        <v>108.8</v>
      </c>
      <c r="P67" s="6">
        <f>K67*[1]战斗预期!G$4</f>
        <v>108.8</v>
      </c>
    </row>
    <row r="68" spans="3:16" x14ac:dyDescent="0.15">
      <c r="C68" s="1">
        <f>$L$30+($E68-$E$30)*$C$2/C$3*0.2*[1]战斗预期!$C$4</f>
        <v>3256</v>
      </c>
      <c r="D68" s="3">
        <v>39</v>
      </c>
      <c r="E68" s="3">
        <f>[1]属性成长!$D46</f>
        <v>195</v>
      </c>
      <c r="F68" s="3">
        <f t="shared" si="10"/>
        <v>138</v>
      </c>
      <c r="G68" s="7">
        <f t="shared" si="12"/>
        <v>38.64</v>
      </c>
      <c r="H68" s="7">
        <f t="shared" si="12"/>
        <v>16.559999999999999</v>
      </c>
      <c r="I68" s="7">
        <f t="shared" si="12"/>
        <v>27.6</v>
      </c>
      <c r="J68" s="7">
        <f t="shared" si="12"/>
        <v>27.6</v>
      </c>
      <c r="K68" s="7">
        <f t="shared" si="12"/>
        <v>27.6</v>
      </c>
      <c r="L68" s="6">
        <f>G68*[1]战斗预期!C$4</f>
        <v>3864</v>
      </c>
      <c r="M68" s="6">
        <f>H68*[1]战斗预期!D$4</f>
        <v>165.6</v>
      </c>
      <c r="N68" s="6">
        <f>I68*[1]战斗预期!E$4</f>
        <v>138</v>
      </c>
      <c r="O68" s="6">
        <f>J68*[1]战斗预期!F$4</f>
        <v>110.4</v>
      </c>
      <c r="P68" s="6">
        <f>K68*[1]战斗预期!G$4</f>
        <v>110.4</v>
      </c>
    </row>
    <row r="69" spans="3:16" x14ac:dyDescent="0.15">
      <c r="C69" s="1">
        <f>$L$30+($E69-$E$30)*$C$2/C$3*0.2*[1]战斗预期!$C$4</f>
        <v>3296</v>
      </c>
      <c r="D69" s="3">
        <v>40</v>
      </c>
      <c r="E69" s="3">
        <f>[1]属性成长!$D47</f>
        <v>200</v>
      </c>
      <c r="F69" s="3">
        <f t="shared" si="10"/>
        <v>140</v>
      </c>
      <c r="G69" s="7">
        <f t="shared" si="12"/>
        <v>39.200000000000003</v>
      </c>
      <c r="H69" s="7">
        <f t="shared" si="12"/>
        <v>16.8</v>
      </c>
      <c r="I69" s="7">
        <f t="shared" si="12"/>
        <v>28</v>
      </c>
      <c r="J69" s="7">
        <f t="shared" si="12"/>
        <v>28</v>
      </c>
      <c r="K69" s="7">
        <f t="shared" si="12"/>
        <v>28</v>
      </c>
      <c r="L69" s="6">
        <f>G69*[1]战斗预期!C$4</f>
        <v>3920.0000000000005</v>
      </c>
      <c r="M69" s="6">
        <f>H69*[1]战斗预期!D$4</f>
        <v>168</v>
      </c>
      <c r="N69" s="6">
        <f>I69*[1]战斗预期!E$4</f>
        <v>140</v>
      </c>
      <c r="O69" s="6">
        <f>J69*[1]战斗预期!F$4</f>
        <v>112</v>
      </c>
      <c r="P69" s="6">
        <f>K69*[1]战斗预期!G$4</f>
        <v>112</v>
      </c>
    </row>
    <row r="70" spans="3:16" x14ac:dyDescent="0.15">
      <c r="C70" s="1">
        <f>$L$30+($E70-$E$30)*$C$2/C$3*0.2*[1]战斗预期!$C$4</f>
        <v>3336</v>
      </c>
      <c r="D70" s="3">
        <v>41</v>
      </c>
      <c r="E70" s="3">
        <f>[1]属性成长!$D48</f>
        <v>205</v>
      </c>
      <c r="F70" s="3">
        <f t="shared" si="10"/>
        <v>142</v>
      </c>
      <c r="G70" s="7">
        <f t="shared" si="12"/>
        <v>39.76</v>
      </c>
      <c r="H70" s="7">
        <f t="shared" si="12"/>
        <v>17.04</v>
      </c>
      <c r="I70" s="7">
        <f t="shared" si="12"/>
        <v>28.4</v>
      </c>
      <c r="J70" s="7">
        <f t="shared" si="12"/>
        <v>28.4</v>
      </c>
      <c r="K70" s="7">
        <f t="shared" si="12"/>
        <v>28.4</v>
      </c>
      <c r="L70" s="6">
        <f>G70*[1]战斗预期!C$4</f>
        <v>3976</v>
      </c>
      <c r="M70" s="6">
        <f>H70*[1]战斗预期!D$4</f>
        <v>170.39999999999998</v>
      </c>
      <c r="N70" s="6">
        <f>I70*[1]战斗预期!E$4</f>
        <v>142</v>
      </c>
      <c r="O70" s="6">
        <f>J70*[1]战斗预期!F$4</f>
        <v>113.6</v>
      </c>
      <c r="P70" s="6">
        <f>K70*[1]战斗预期!G$4</f>
        <v>113.6</v>
      </c>
    </row>
    <row r="71" spans="3:16" x14ac:dyDescent="0.15">
      <c r="C71" s="1">
        <f>$L$30+($E71-$E$30)*$C$2/C$3*0.2*[1]战斗预期!$C$4</f>
        <v>3376</v>
      </c>
      <c r="D71" s="3">
        <v>42</v>
      </c>
      <c r="E71" s="3">
        <f>[1]属性成长!$D49</f>
        <v>210</v>
      </c>
      <c r="F71" s="3">
        <f t="shared" si="10"/>
        <v>144</v>
      </c>
      <c r="G71" s="7">
        <f t="shared" si="12"/>
        <v>40.32</v>
      </c>
      <c r="H71" s="7">
        <f t="shared" si="12"/>
        <v>17.279999999999998</v>
      </c>
      <c r="I71" s="7">
        <f t="shared" si="12"/>
        <v>28.8</v>
      </c>
      <c r="J71" s="7">
        <f t="shared" si="12"/>
        <v>28.8</v>
      </c>
      <c r="K71" s="7">
        <f t="shared" si="12"/>
        <v>28.8</v>
      </c>
      <c r="L71" s="6">
        <f>G71*[1]战斗预期!C$4</f>
        <v>4032</v>
      </c>
      <c r="M71" s="6">
        <f>H71*[1]战斗预期!D$4</f>
        <v>172.79999999999998</v>
      </c>
      <c r="N71" s="6">
        <f>I71*[1]战斗预期!E$4</f>
        <v>144</v>
      </c>
      <c r="O71" s="6">
        <f>J71*[1]战斗预期!F$4</f>
        <v>115.2</v>
      </c>
      <c r="P71" s="6">
        <f>K71*[1]战斗预期!G$4</f>
        <v>115.2</v>
      </c>
    </row>
    <row r="72" spans="3:16" x14ac:dyDescent="0.15">
      <c r="C72" s="1">
        <f>$L$30+($E72-$E$30)*$C$2/C$3*0.2*[1]战斗预期!$C$4</f>
        <v>3416</v>
      </c>
      <c r="D72" s="3">
        <v>43</v>
      </c>
      <c r="E72" s="3">
        <f>[1]属性成长!$D50</f>
        <v>215</v>
      </c>
      <c r="F72" s="3">
        <f t="shared" si="10"/>
        <v>146</v>
      </c>
      <c r="G72" s="7">
        <f t="shared" si="12"/>
        <v>40.879999999999995</v>
      </c>
      <c r="H72" s="7">
        <f t="shared" si="12"/>
        <v>17.52</v>
      </c>
      <c r="I72" s="7">
        <f t="shared" si="12"/>
        <v>29.2</v>
      </c>
      <c r="J72" s="7">
        <f t="shared" si="12"/>
        <v>29.2</v>
      </c>
      <c r="K72" s="7">
        <f t="shared" si="12"/>
        <v>29.2</v>
      </c>
      <c r="L72" s="6">
        <f>G72*[1]战斗预期!C$4</f>
        <v>4087.9999999999995</v>
      </c>
      <c r="M72" s="6">
        <f>H72*[1]战斗预期!D$4</f>
        <v>175.2</v>
      </c>
      <c r="N72" s="6">
        <f>I72*[1]战斗预期!E$4</f>
        <v>146</v>
      </c>
      <c r="O72" s="6">
        <f>J72*[1]战斗预期!F$4</f>
        <v>116.8</v>
      </c>
      <c r="P72" s="6">
        <f>K72*[1]战斗预期!G$4</f>
        <v>116.8</v>
      </c>
    </row>
    <row r="73" spans="3:16" x14ac:dyDescent="0.15">
      <c r="C73" s="1">
        <f>$L$30+($E73-$E$30)*$C$2/C$3*0.2*[1]战斗预期!$C$4</f>
        <v>3456</v>
      </c>
      <c r="D73" s="3">
        <v>44</v>
      </c>
      <c r="E73" s="3">
        <f>[1]属性成长!$D51</f>
        <v>220</v>
      </c>
      <c r="F73" s="3">
        <f t="shared" si="10"/>
        <v>148</v>
      </c>
      <c r="G73" s="7">
        <f t="shared" si="12"/>
        <v>41.44</v>
      </c>
      <c r="H73" s="7">
        <f t="shared" si="12"/>
        <v>17.759999999999998</v>
      </c>
      <c r="I73" s="7">
        <f t="shared" si="12"/>
        <v>29.6</v>
      </c>
      <c r="J73" s="7">
        <f t="shared" si="12"/>
        <v>29.6</v>
      </c>
      <c r="K73" s="7">
        <f t="shared" si="12"/>
        <v>29.6</v>
      </c>
      <c r="L73" s="6">
        <f>G73*[1]战斗预期!C$4</f>
        <v>4144</v>
      </c>
      <c r="M73" s="6">
        <f>H73*[1]战斗预期!D$4</f>
        <v>177.59999999999997</v>
      </c>
      <c r="N73" s="6">
        <f>I73*[1]战斗预期!E$4</f>
        <v>148</v>
      </c>
      <c r="O73" s="6">
        <f>J73*[1]战斗预期!F$4</f>
        <v>118.4</v>
      </c>
      <c r="P73" s="6">
        <f>K73*[1]战斗预期!G$4</f>
        <v>118.4</v>
      </c>
    </row>
    <row r="74" spans="3:16" x14ac:dyDescent="0.15">
      <c r="C74" s="1">
        <f>$L$30+($E74-$E$30)*$C$2/C$3*0.2*[1]战斗预期!$C$4</f>
        <v>3496</v>
      </c>
      <c r="D74" s="3">
        <v>45</v>
      </c>
      <c r="E74" s="3">
        <f>[1]属性成长!$D52</f>
        <v>225</v>
      </c>
      <c r="F74" s="3">
        <f t="shared" si="10"/>
        <v>150</v>
      </c>
      <c r="G74" s="7">
        <f t="shared" si="12"/>
        <v>42</v>
      </c>
      <c r="H74" s="7">
        <f t="shared" si="12"/>
        <v>18</v>
      </c>
      <c r="I74" s="7">
        <f t="shared" si="12"/>
        <v>30</v>
      </c>
      <c r="J74" s="7">
        <f t="shared" si="12"/>
        <v>30</v>
      </c>
      <c r="K74" s="7">
        <f t="shared" si="12"/>
        <v>30</v>
      </c>
      <c r="L74" s="6">
        <f>G74*[1]战斗预期!C$4</f>
        <v>4200</v>
      </c>
      <c r="M74" s="6">
        <f>H74*[1]战斗预期!D$4</f>
        <v>180</v>
      </c>
      <c r="N74" s="6">
        <f>I74*[1]战斗预期!E$4</f>
        <v>150</v>
      </c>
      <c r="O74" s="6">
        <f>J74*[1]战斗预期!F$4</f>
        <v>120</v>
      </c>
      <c r="P74" s="6">
        <f>K74*[1]战斗预期!G$4</f>
        <v>120</v>
      </c>
    </row>
    <row r="75" spans="3:16" x14ac:dyDescent="0.15">
      <c r="C75" s="1">
        <f>$L$30+($E75-$E$30)*$C$2/C$3*0.2*[1]战斗预期!$C$4</f>
        <v>3536</v>
      </c>
      <c r="D75" s="3">
        <v>46</v>
      </c>
      <c r="E75" s="3">
        <f>[1]属性成长!$D53</f>
        <v>230</v>
      </c>
      <c r="F75" s="3">
        <f t="shared" si="10"/>
        <v>152</v>
      </c>
      <c r="G75" s="7">
        <f t="shared" si="12"/>
        <v>42.559999999999995</v>
      </c>
      <c r="H75" s="7">
        <f t="shared" si="12"/>
        <v>18.240000000000002</v>
      </c>
      <c r="I75" s="7">
        <f t="shared" si="12"/>
        <v>30.4</v>
      </c>
      <c r="J75" s="7">
        <f t="shared" si="12"/>
        <v>30.4</v>
      </c>
      <c r="K75" s="7">
        <f t="shared" si="12"/>
        <v>30.4</v>
      </c>
      <c r="L75" s="6">
        <f>G75*[1]战斗预期!C$4</f>
        <v>4255.9999999999991</v>
      </c>
      <c r="M75" s="6">
        <f>H75*[1]战斗预期!D$4</f>
        <v>182.40000000000003</v>
      </c>
      <c r="N75" s="6">
        <f>I75*[1]战斗预期!E$4</f>
        <v>152</v>
      </c>
      <c r="O75" s="6">
        <f>J75*[1]战斗预期!F$4</f>
        <v>121.6</v>
      </c>
      <c r="P75" s="6">
        <f>K75*[1]战斗预期!G$4</f>
        <v>121.6</v>
      </c>
    </row>
    <row r="76" spans="3:16" x14ac:dyDescent="0.15">
      <c r="C76" s="1">
        <f>$L$30+($E76-$E$30)*$C$2/C$3*0.2*[1]战斗预期!$C$4</f>
        <v>3576</v>
      </c>
      <c r="D76" s="3">
        <v>47</v>
      </c>
      <c r="E76" s="3">
        <f>[1]属性成长!$D54</f>
        <v>235</v>
      </c>
      <c r="F76" s="3">
        <f t="shared" si="10"/>
        <v>154</v>
      </c>
      <c r="G76" s="7">
        <f t="shared" si="12"/>
        <v>43.12</v>
      </c>
      <c r="H76" s="7">
        <f t="shared" si="12"/>
        <v>18.479999999999997</v>
      </c>
      <c r="I76" s="7">
        <f t="shared" si="12"/>
        <v>30.8</v>
      </c>
      <c r="J76" s="7">
        <f t="shared" si="12"/>
        <v>30.8</v>
      </c>
      <c r="K76" s="7">
        <f t="shared" si="12"/>
        <v>30.8</v>
      </c>
      <c r="L76" s="6">
        <f>G76*[1]战斗预期!C$4</f>
        <v>4312</v>
      </c>
      <c r="M76" s="6">
        <f>H76*[1]战斗预期!D$4</f>
        <v>184.79999999999995</v>
      </c>
      <c r="N76" s="6">
        <f>I76*[1]战斗预期!E$4</f>
        <v>154</v>
      </c>
      <c r="O76" s="6">
        <f>J76*[1]战斗预期!F$4</f>
        <v>123.2</v>
      </c>
      <c r="P76" s="6">
        <f>K76*[1]战斗预期!G$4</f>
        <v>123.2</v>
      </c>
    </row>
    <row r="77" spans="3:16" x14ac:dyDescent="0.15">
      <c r="C77" s="1">
        <f>$L$30+($E77-$E$30)*$C$2/C$3*0.2*[1]战斗预期!$C$4</f>
        <v>3616</v>
      </c>
      <c r="D77" s="3">
        <v>48</v>
      </c>
      <c r="E77" s="3">
        <f>[1]属性成长!$D55</f>
        <v>240</v>
      </c>
      <c r="F77" s="3">
        <f t="shared" si="10"/>
        <v>156</v>
      </c>
      <c r="G77" s="7">
        <f t="shared" si="12"/>
        <v>43.679999999999993</v>
      </c>
      <c r="H77" s="7">
        <f t="shared" si="12"/>
        <v>18.72</v>
      </c>
      <c r="I77" s="7">
        <f t="shared" si="12"/>
        <v>31.2</v>
      </c>
      <c r="J77" s="7">
        <f t="shared" si="12"/>
        <v>31.2</v>
      </c>
      <c r="K77" s="7">
        <f t="shared" si="12"/>
        <v>31.2</v>
      </c>
      <c r="L77" s="6">
        <f>G77*[1]战斗预期!C$4</f>
        <v>4367.9999999999991</v>
      </c>
      <c r="M77" s="6">
        <f>H77*[1]战斗预期!D$4</f>
        <v>187.2</v>
      </c>
      <c r="N77" s="6">
        <f>I77*[1]战斗预期!E$4</f>
        <v>156</v>
      </c>
      <c r="O77" s="6">
        <f>J77*[1]战斗预期!F$4</f>
        <v>124.8</v>
      </c>
      <c r="P77" s="6">
        <f>K77*[1]战斗预期!G$4</f>
        <v>124.8</v>
      </c>
    </row>
    <row r="78" spans="3:16" x14ac:dyDescent="0.15">
      <c r="C78" s="1">
        <f>$L$30+($E78-$E$30)*$C$2/C$3*0.2*[1]战斗预期!$C$4</f>
        <v>3656</v>
      </c>
      <c r="D78" s="3">
        <v>49</v>
      </c>
      <c r="E78" s="3">
        <f>[1]属性成长!$D56</f>
        <v>245</v>
      </c>
      <c r="F78" s="3">
        <f t="shared" si="10"/>
        <v>158</v>
      </c>
      <c r="G78" s="7">
        <f t="shared" si="12"/>
        <v>44.239999999999995</v>
      </c>
      <c r="H78" s="7">
        <f t="shared" si="12"/>
        <v>18.96</v>
      </c>
      <c r="I78" s="7">
        <f t="shared" si="12"/>
        <v>31.6</v>
      </c>
      <c r="J78" s="7">
        <f t="shared" si="12"/>
        <v>31.6</v>
      </c>
      <c r="K78" s="7">
        <f t="shared" si="12"/>
        <v>31.6</v>
      </c>
      <c r="L78" s="6">
        <f>G78*[1]战斗预期!C$4</f>
        <v>4423.9999999999991</v>
      </c>
      <c r="M78" s="6">
        <f>H78*[1]战斗预期!D$4</f>
        <v>189.60000000000002</v>
      </c>
      <c r="N78" s="6">
        <f>I78*[1]战斗预期!E$4</f>
        <v>158</v>
      </c>
      <c r="O78" s="6">
        <f>J78*[1]战斗预期!F$4</f>
        <v>126.4</v>
      </c>
      <c r="P78" s="6">
        <f>K78*[1]战斗预期!G$4</f>
        <v>126.4</v>
      </c>
    </row>
    <row r="79" spans="3:16" x14ac:dyDescent="0.15">
      <c r="C79" s="1">
        <f>$L$30+($E79-$E$30)*$C$2/C$3*0.2*[1]战斗预期!$C$4</f>
        <v>3696</v>
      </c>
      <c r="D79" s="3">
        <v>50</v>
      </c>
      <c r="E79" s="3">
        <f>[1]属性成长!$D57</f>
        <v>250</v>
      </c>
      <c r="F79" s="3">
        <f t="shared" si="10"/>
        <v>160</v>
      </c>
      <c r="G79" s="7">
        <f t="shared" si="12"/>
        <v>44.8</v>
      </c>
      <c r="H79" s="7">
        <f t="shared" si="12"/>
        <v>19.2</v>
      </c>
      <c r="I79" s="7">
        <f t="shared" si="12"/>
        <v>32</v>
      </c>
      <c r="J79" s="7">
        <f t="shared" si="12"/>
        <v>32</v>
      </c>
      <c r="K79" s="7">
        <f t="shared" si="12"/>
        <v>32</v>
      </c>
      <c r="L79" s="6">
        <f>G79*[1]战斗预期!C$4</f>
        <v>4480</v>
      </c>
      <c r="M79" s="6">
        <f>H79*[1]战斗预期!D$4</f>
        <v>192</v>
      </c>
      <c r="N79" s="6">
        <f>I79*[1]战斗预期!E$4</f>
        <v>160</v>
      </c>
      <c r="O79" s="6">
        <f>J79*[1]战斗预期!F$4</f>
        <v>128</v>
      </c>
      <c r="P79" s="6">
        <f>K79*[1]战斗预期!G$4</f>
        <v>128</v>
      </c>
    </row>
    <row r="80" spans="3:16" x14ac:dyDescent="0.15">
      <c r="C80" s="1">
        <f>$L$30+($E80-$E$30)*$C$2/C$3*0.2*[1]战斗预期!$C$4</f>
        <v>3736</v>
      </c>
      <c r="D80" s="3">
        <v>51</v>
      </c>
      <c r="E80" s="3">
        <f>[1]属性成长!$D58</f>
        <v>255</v>
      </c>
      <c r="F80" s="3">
        <f t="shared" si="10"/>
        <v>162</v>
      </c>
      <c r="G80" s="7">
        <f t="shared" si="12"/>
        <v>45.36</v>
      </c>
      <c r="H80" s="7">
        <f t="shared" si="12"/>
        <v>19.440000000000001</v>
      </c>
      <c r="I80" s="7">
        <f t="shared" si="12"/>
        <v>32.4</v>
      </c>
      <c r="J80" s="7">
        <f t="shared" si="12"/>
        <v>32.4</v>
      </c>
      <c r="K80" s="7">
        <f t="shared" si="12"/>
        <v>32.4</v>
      </c>
      <c r="L80" s="6">
        <f>G80*[1]战斗预期!C$4</f>
        <v>4536</v>
      </c>
      <c r="M80" s="6">
        <f>H80*[1]战斗预期!D$4</f>
        <v>194.4</v>
      </c>
      <c r="N80" s="6">
        <f>I80*[1]战斗预期!E$4</f>
        <v>162</v>
      </c>
      <c r="O80" s="6">
        <f>J80*[1]战斗预期!F$4</f>
        <v>129.6</v>
      </c>
      <c r="P80" s="6">
        <f>K80*[1]战斗预期!G$4</f>
        <v>129.6</v>
      </c>
    </row>
    <row r="81" spans="3:16" x14ac:dyDescent="0.15">
      <c r="C81" s="1">
        <f>$L$30+($E81-$E$30)*$C$2/C$3*0.2*[1]战斗预期!$C$4</f>
        <v>3776</v>
      </c>
      <c r="D81" s="3">
        <v>52</v>
      </c>
      <c r="E81" s="3">
        <f>[1]属性成长!$D59</f>
        <v>260</v>
      </c>
      <c r="F81" s="3">
        <f t="shared" si="10"/>
        <v>164</v>
      </c>
      <c r="G81" s="7">
        <f t="shared" si="12"/>
        <v>45.92</v>
      </c>
      <c r="H81" s="7">
        <f t="shared" si="12"/>
        <v>19.68</v>
      </c>
      <c r="I81" s="7">
        <f t="shared" si="12"/>
        <v>32.799999999999997</v>
      </c>
      <c r="J81" s="7">
        <f t="shared" si="12"/>
        <v>32.799999999999997</v>
      </c>
      <c r="K81" s="7">
        <f t="shared" si="12"/>
        <v>32.799999999999997</v>
      </c>
      <c r="L81" s="6">
        <f>G81*[1]战斗预期!C$4</f>
        <v>4592</v>
      </c>
      <c r="M81" s="6">
        <f>H81*[1]战斗预期!D$4</f>
        <v>196.8</v>
      </c>
      <c r="N81" s="6">
        <f>I81*[1]战斗预期!E$4</f>
        <v>164</v>
      </c>
      <c r="O81" s="6">
        <f>J81*[1]战斗预期!F$4</f>
        <v>131.19999999999999</v>
      </c>
      <c r="P81" s="6">
        <f>K81*[1]战斗预期!G$4</f>
        <v>131.19999999999999</v>
      </c>
    </row>
    <row r="82" spans="3:16" x14ac:dyDescent="0.15">
      <c r="C82" s="1">
        <f>$L$30+($E82-$E$30)*$C$2/C$3*0.2*[1]战斗预期!$C$4</f>
        <v>3816</v>
      </c>
      <c r="D82" s="3">
        <v>53</v>
      </c>
      <c r="E82" s="3">
        <f>[1]属性成长!$D60</f>
        <v>265</v>
      </c>
      <c r="F82" s="3">
        <f t="shared" si="10"/>
        <v>166</v>
      </c>
      <c r="G82" s="7">
        <f t="shared" si="12"/>
        <v>46.48</v>
      </c>
      <c r="H82" s="7">
        <f t="shared" si="12"/>
        <v>19.919999999999998</v>
      </c>
      <c r="I82" s="7">
        <f t="shared" si="12"/>
        <v>33.200000000000003</v>
      </c>
      <c r="J82" s="7">
        <f t="shared" si="12"/>
        <v>33.200000000000003</v>
      </c>
      <c r="K82" s="7">
        <f t="shared" si="12"/>
        <v>33.200000000000003</v>
      </c>
      <c r="L82" s="6">
        <f>G82*[1]战斗预期!C$4</f>
        <v>4648</v>
      </c>
      <c r="M82" s="6">
        <f>H82*[1]战斗预期!D$4</f>
        <v>199.2</v>
      </c>
      <c r="N82" s="6">
        <f>I82*[1]战斗预期!E$4</f>
        <v>166</v>
      </c>
      <c r="O82" s="6">
        <f>J82*[1]战斗预期!F$4</f>
        <v>132.80000000000001</v>
      </c>
      <c r="P82" s="6">
        <f>K82*[1]战斗预期!G$4</f>
        <v>132.80000000000001</v>
      </c>
    </row>
    <row r="83" spans="3:16" x14ac:dyDescent="0.15">
      <c r="C83" s="1">
        <f>$L$30+($E83-$E$30)*$C$2/C$3*0.2*[1]战斗预期!$C$4</f>
        <v>3856.0000000000005</v>
      </c>
      <c r="D83" s="3">
        <v>54</v>
      </c>
      <c r="E83" s="3">
        <f>[1]属性成长!$D61</f>
        <v>270</v>
      </c>
      <c r="F83" s="3">
        <f t="shared" si="10"/>
        <v>168</v>
      </c>
      <c r="G83" s="7">
        <f t="shared" si="12"/>
        <v>47.04</v>
      </c>
      <c r="H83" s="7">
        <f t="shared" si="12"/>
        <v>20.16</v>
      </c>
      <c r="I83" s="7">
        <f t="shared" si="12"/>
        <v>33.6</v>
      </c>
      <c r="J83" s="7">
        <f t="shared" si="12"/>
        <v>33.6</v>
      </c>
      <c r="K83" s="7">
        <f t="shared" si="12"/>
        <v>33.6</v>
      </c>
      <c r="L83" s="6">
        <f>G83*[1]战斗预期!C$4</f>
        <v>4704</v>
      </c>
      <c r="M83" s="6">
        <f>H83*[1]战斗预期!D$4</f>
        <v>201.6</v>
      </c>
      <c r="N83" s="6">
        <f>I83*[1]战斗预期!E$4</f>
        <v>168</v>
      </c>
      <c r="O83" s="6">
        <f>J83*[1]战斗预期!F$4</f>
        <v>134.4</v>
      </c>
      <c r="P83" s="6">
        <f>K83*[1]战斗预期!G$4</f>
        <v>134.4</v>
      </c>
    </row>
    <row r="84" spans="3:16" x14ac:dyDescent="0.15">
      <c r="C84" s="1">
        <f>$L$30+($E84-$E$30)*$C$2/C$3*0.2*[1]战斗预期!$C$4</f>
        <v>3896</v>
      </c>
      <c r="D84" s="3">
        <v>55</v>
      </c>
      <c r="E84" s="3">
        <f>[1]属性成长!$D62</f>
        <v>275</v>
      </c>
      <c r="F84" s="3">
        <f t="shared" si="10"/>
        <v>170</v>
      </c>
      <c r="G84" s="7">
        <f t="shared" si="12"/>
        <v>47.599999999999994</v>
      </c>
      <c r="H84" s="7">
        <f t="shared" si="12"/>
        <v>20.399999999999999</v>
      </c>
      <c r="I84" s="7">
        <f t="shared" si="12"/>
        <v>34</v>
      </c>
      <c r="J84" s="7">
        <f t="shared" si="12"/>
        <v>34</v>
      </c>
      <c r="K84" s="7">
        <f t="shared" si="12"/>
        <v>34</v>
      </c>
      <c r="L84" s="6">
        <f>G84*[1]战斗预期!C$4</f>
        <v>4759.9999999999991</v>
      </c>
      <c r="M84" s="6">
        <f>H84*[1]战斗预期!D$4</f>
        <v>204</v>
      </c>
      <c r="N84" s="6">
        <f>I84*[1]战斗预期!E$4</f>
        <v>170</v>
      </c>
      <c r="O84" s="6">
        <f>J84*[1]战斗预期!F$4</f>
        <v>136</v>
      </c>
      <c r="P84" s="6">
        <f>K84*[1]战斗预期!G$4</f>
        <v>136</v>
      </c>
    </row>
    <row r="85" spans="3:16" x14ac:dyDescent="0.15">
      <c r="C85" s="1">
        <f>$L$30+($E85-$E$30)*$C$2/C$3*0.2*[1]战斗预期!$C$4</f>
        <v>3936</v>
      </c>
      <c r="D85" s="3">
        <v>56</v>
      </c>
      <c r="E85" s="3">
        <f>[1]属性成长!$D63</f>
        <v>280</v>
      </c>
      <c r="F85" s="3">
        <f t="shared" si="10"/>
        <v>172</v>
      </c>
      <c r="G85" s="7">
        <f t="shared" si="12"/>
        <v>48.16</v>
      </c>
      <c r="H85" s="7">
        <f t="shared" si="12"/>
        <v>20.64</v>
      </c>
      <c r="I85" s="7">
        <f t="shared" si="12"/>
        <v>34.4</v>
      </c>
      <c r="J85" s="7">
        <f t="shared" si="12"/>
        <v>34.4</v>
      </c>
      <c r="K85" s="7">
        <f t="shared" si="12"/>
        <v>34.4</v>
      </c>
      <c r="L85" s="6">
        <f>G85*[1]战斗预期!C$4</f>
        <v>4816</v>
      </c>
      <c r="M85" s="6">
        <f>H85*[1]战斗预期!D$4</f>
        <v>206.4</v>
      </c>
      <c r="N85" s="6">
        <f>I85*[1]战斗预期!E$4</f>
        <v>172</v>
      </c>
      <c r="O85" s="6">
        <f>J85*[1]战斗预期!F$4</f>
        <v>137.6</v>
      </c>
      <c r="P85" s="6">
        <f>K85*[1]战斗预期!G$4</f>
        <v>137.6</v>
      </c>
    </row>
    <row r="86" spans="3:16" x14ac:dyDescent="0.15">
      <c r="C86" s="1">
        <f>$L$30+($E86-$E$30)*$C$2/C$3*0.2*[1]战斗预期!$C$4</f>
        <v>3976</v>
      </c>
      <c r="D86" s="3">
        <v>57</v>
      </c>
      <c r="E86" s="3">
        <f>[1]属性成长!$D64</f>
        <v>285</v>
      </c>
      <c r="F86" s="3">
        <f t="shared" si="10"/>
        <v>174</v>
      </c>
      <c r="G86" s="7">
        <f t="shared" si="12"/>
        <v>48.72</v>
      </c>
      <c r="H86" s="7">
        <f t="shared" si="12"/>
        <v>20.88</v>
      </c>
      <c r="I86" s="7">
        <f t="shared" si="12"/>
        <v>34.799999999999997</v>
      </c>
      <c r="J86" s="7">
        <f t="shared" si="12"/>
        <v>34.799999999999997</v>
      </c>
      <c r="K86" s="7">
        <f t="shared" si="12"/>
        <v>34.799999999999997</v>
      </c>
      <c r="L86" s="6">
        <f>G86*[1]战斗预期!C$4</f>
        <v>4872</v>
      </c>
      <c r="M86" s="6">
        <f>H86*[1]战斗预期!D$4</f>
        <v>208.79999999999998</v>
      </c>
      <c r="N86" s="6">
        <f>I86*[1]战斗预期!E$4</f>
        <v>174</v>
      </c>
      <c r="O86" s="6">
        <f>J86*[1]战斗预期!F$4</f>
        <v>139.19999999999999</v>
      </c>
      <c r="P86" s="6">
        <f>K86*[1]战斗预期!G$4</f>
        <v>139.19999999999999</v>
      </c>
    </row>
    <row r="87" spans="3:16" x14ac:dyDescent="0.15">
      <c r="C87" s="1">
        <f>$L$30+($E87-$E$30)*$C$2/C$3*0.2*[1]战斗预期!$C$4</f>
        <v>4016</v>
      </c>
      <c r="D87" s="3">
        <v>58</v>
      </c>
      <c r="E87" s="3">
        <f>[1]属性成长!$D65</f>
        <v>290</v>
      </c>
      <c r="F87" s="3">
        <f t="shared" si="10"/>
        <v>176</v>
      </c>
      <c r="G87" s="7">
        <f t="shared" si="12"/>
        <v>49.279999999999994</v>
      </c>
      <c r="H87" s="7">
        <f t="shared" si="12"/>
        <v>21.119999999999997</v>
      </c>
      <c r="I87" s="7">
        <f t="shared" si="12"/>
        <v>35.200000000000003</v>
      </c>
      <c r="J87" s="7">
        <f t="shared" si="12"/>
        <v>35.200000000000003</v>
      </c>
      <c r="K87" s="7">
        <f t="shared" si="12"/>
        <v>35.200000000000003</v>
      </c>
      <c r="L87" s="6">
        <f>G87*[1]战斗预期!C$4</f>
        <v>4927.9999999999991</v>
      </c>
      <c r="M87" s="6">
        <f>H87*[1]战斗预期!D$4</f>
        <v>211.2</v>
      </c>
      <c r="N87" s="6">
        <f>I87*[1]战斗预期!E$4</f>
        <v>176</v>
      </c>
      <c r="O87" s="6">
        <f>J87*[1]战斗预期!F$4</f>
        <v>140.80000000000001</v>
      </c>
      <c r="P87" s="6">
        <f>K87*[1]战斗预期!G$4</f>
        <v>140.80000000000001</v>
      </c>
    </row>
    <row r="88" spans="3:16" x14ac:dyDescent="0.15">
      <c r="C88" s="1">
        <f>$L$30+($E88-$E$30)*$C$2/C$3*0.2*[1]战斗预期!$C$4</f>
        <v>4056.0000000000005</v>
      </c>
      <c r="D88" s="3">
        <v>59</v>
      </c>
      <c r="E88" s="3">
        <f>[1]属性成长!$D66</f>
        <v>295</v>
      </c>
      <c r="F88" s="3">
        <f t="shared" si="10"/>
        <v>178</v>
      </c>
      <c r="G88" s="7">
        <f t="shared" si="12"/>
        <v>49.839999999999996</v>
      </c>
      <c r="H88" s="7">
        <f t="shared" si="12"/>
        <v>21.36</v>
      </c>
      <c r="I88" s="7">
        <f t="shared" si="12"/>
        <v>35.6</v>
      </c>
      <c r="J88" s="7">
        <f t="shared" si="12"/>
        <v>35.6</v>
      </c>
      <c r="K88" s="7">
        <f t="shared" si="12"/>
        <v>35.6</v>
      </c>
      <c r="L88" s="6">
        <f>G88*[1]战斗预期!C$4</f>
        <v>4984</v>
      </c>
      <c r="M88" s="6">
        <f>H88*[1]战斗预期!D$4</f>
        <v>213.6</v>
      </c>
      <c r="N88" s="6">
        <f>I88*[1]战斗预期!E$4</f>
        <v>178</v>
      </c>
      <c r="O88" s="6">
        <f>J88*[1]战斗预期!F$4</f>
        <v>142.4</v>
      </c>
      <c r="P88" s="6">
        <f>K88*[1]战斗预期!G$4</f>
        <v>142.4</v>
      </c>
    </row>
    <row r="89" spans="3:16" x14ac:dyDescent="0.15">
      <c r="C89" s="1">
        <f>$L$30+($E89-$E$30)*$C$2/C$3*0.2*[1]战斗预期!$C$4</f>
        <v>4096</v>
      </c>
      <c r="D89" s="3">
        <v>60</v>
      </c>
      <c r="E89" s="3">
        <f>[1]属性成长!$D67</f>
        <v>300</v>
      </c>
      <c r="F89" s="3">
        <f t="shared" si="10"/>
        <v>180</v>
      </c>
      <c r="G89" s="7">
        <f t="shared" si="12"/>
        <v>50.399999999999991</v>
      </c>
      <c r="H89" s="7">
        <f t="shared" si="12"/>
        <v>21.6</v>
      </c>
      <c r="I89" s="7">
        <f t="shared" si="12"/>
        <v>36</v>
      </c>
      <c r="J89" s="7">
        <f t="shared" si="12"/>
        <v>36</v>
      </c>
      <c r="K89" s="7">
        <f t="shared" si="12"/>
        <v>36</v>
      </c>
      <c r="L89" s="6">
        <f>G89*[1]战斗预期!C$4</f>
        <v>5039.9999999999991</v>
      </c>
      <c r="M89" s="6">
        <f>H89*[1]战斗预期!D$4</f>
        <v>216</v>
      </c>
      <c r="N89" s="6">
        <f>I89*[1]战斗预期!E$4</f>
        <v>180</v>
      </c>
      <c r="O89" s="6">
        <f>J89*[1]战斗预期!F$4</f>
        <v>144</v>
      </c>
      <c r="P89" s="6">
        <f>K89*[1]战斗预期!G$4</f>
        <v>144</v>
      </c>
    </row>
    <row r="90" spans="3:16" x14ac:dyDescent="0.15">
      <c r="C90" s="1">
        <f>$L$30+($E90-$E$30)*$C$2/C$3*0.2*[1]战斗预期!$C$4</f>
        <v>4136</v>
      </c>
      <c r="D90" s="3">
        <v>61</v>
      </c>
      <c r="E90" s="3">
        <f>[1]属性成长!$D68</f>
        <v>305</v>
      </c>
      <c r="F90" s="3">
        <f t="shared" si="10"/>
        <v>182</v>
      </c>
      <c r="G90" s="7">
        <f t="shared" si="12"/>
        <v>50.959999999999994</v>
      </c>
      <c r="H90" s="7">
        <f t="shared" si="12"/>
        <v>21.84</v>
      </c>
      <c r="I90" s="7">
        <f t="shared" si="12"/>
        <v>36.4</v>
      </c>
      <c r="J90" s="7">
        <f t="shared" si="12"/>
        <v>36.4</v>
      </c>
      <c r="K90" s="7">
        <f t="shared" si="12"/>
        <v>36.4</v>
      </c>
      <c r="L90" s="6">
        <f>G90*[1]战斗预期!C$4</f>
        <v>5095.9999999999991</v>
      </c>
      <c r="M90" s="6">
        <f>H90*[1]战斗预期!D$4</f>
        <v>218.4</v>
      </c>
      <c r="N90" s="6">
        <f>I90*[1]战斗预期!E$4</f>
        <v>182</v>
      </c>
      <c r="O90" s="6">
        <f>J90*[1]战斗预期!F$4</f>
        <v>145.6</v>
      </c>
      <c r="P90" s="6">
        <f>K90*[1]战斗预期!G$4</f>
        <v>145.6</v>
      </c>
    </row>
    <row r="91" spans="3:16" x14ac:dyDescent="0.15">
      <c r="C91" s="1">
        <f>$L$30+($E91-$E$30)*$C$2/C$3*0.2*[1]战斗预期!$C$4</f>
        <v>4176</v>
      </c>
      <c r="D91" s="3">
        <v>62</v>
      </c>
      <c r="E91" s="3">
        <f>[1]属性成长!$D69</f>
        <v>310</v>
      </c>
      <c r="F91" s="3">
        <f t="shared" si="10"/>
        <v>184</v>
      </c>
      <c r="G91" s="7">
        <f t="shared" si="12"/>
        <v>51.519999999999996</v>
      </c>
      <c r="H91" s="7">
        <f t="shared" si="12"/>
        <v>22.08</v>
      </c>
      <c r="I91" s="7">
        <f t="shared" si="12"/>
        <v>36.799999999999997</v>
      </c>
      <c r="J91" s="7">
        <f t="shared" si="12"/>
        <v>36.799999999999997</v>
      </c>
      <c r="K91" s="7">
        <f t="shared" si="12"/>
        <v>36.799999999999997</v>
      </c>
      <c r="L91" s="6">
        <f>G91*[1]战斗预期!C$4</f>
        <v>5152</v>
      </c>
      <c r="M91" s="6">
        <f>H91*[1]战斗预期!D$4</f>
        <v>220.79999999999998</v>
      </c>
      <c r="N91" s="6">
        <f>I91*[1]战斗预期!E$4</f>
        <v>184</v>
      </c>
      <c r="O91" s="6">
        <f>J91*[1]战斗预期!F$4</f>
        <v>147.19999999999999</v>
      </c>
      <c r="P91" s="6">
        <f>K91*[1]战斗预期!G$4</f>
        <v>147.19999999999999</v>
      </c>
    </row>
    <row r="92" spans="3:16" x14ac:dyDescent="0.15">
      <c r="C92" s="1">
        <f>$L$30+($E92-$E$30)*$C$2/C$3*0.2*[1]战斗预期!$C$4</f>
        <v>4216</v>
      </c>
      <c r="D92" s="3">
        <v>63</v>
      </c>
      <c r="E92" s="3">
        <f>[1]属性成长!$D70</f>
        <v>315</v>
      </c>
      <c r="F92" s="3">
        <f t="shared" si="10"/>
        <v>186</v>
      </c>
      <c r="G92" s="7">
        <f t="shared" si="12"/>
        <v>52.08</v>
      </c>
      <c r="H92" s="7">
        <f t="shared" si="12"/>
        <v>22.32</v>
      </c>
      <c r="I92" s="7">
        <f t="shared" si="12"/>
        <v>37.200000000000003</v>
      </c>
      <c r="J92" s="7">
        <f t="shared" si="12"/>
        <v>37.200000000000003</v>
      </c>
      <c r="K92" s="7">
        <f t="shared" si="12"/>
        <v>37.200000000000003</v>
      </c>
      <c r="L92" s="6">
        <f>G92*[1]战斗预期!C$4</f>
        <v>5208</v>
      </c>
      <c r="M92" s="6">
        <f>H92*[1]战斗预期!D$4</f>
        <v>223.2</v>
      </c>
      <c r="N92" s="6">
        <f>I92*[1]战斗预期!E$4</f>
        <v>186</v>
      </c>
      <c r="O92" s="6">
        <f>J92*[1]战斗预期!F$4</f>
        <v>148.80000000000001</v>
      </c>
      <c r="P92" s="6">
        <f>K92*[1]战斗预期!G$4</f>
        <v>148.80000000000001</v>
      </c>
    </row>
    <row r="93" spans="3:16" x14ac:dyDescent="0.15">
      <c r="C93" s="1">
        <f>$L$30+($E93-$E$30)*$C$2/C$3*0.2*[1]战斗预期!$C$4</f>
        <v>4256</v>
      </c>
      <c r="D93" s="3">
        <v>64</v>
      </c>
      <c r="E93" s="3">
        <f>[1]属性成长!$D71</f>
        <v>320</v>
      </c>
      <c r="F93" s="3">
        <f t="shared" si="10"/>
        <v>188</v>
      </c>
      <c r="G93" s="7">
        <f t="shared" si="12"/>
        <v>52.64</v>
      </c>
      <c r="H93" s="7">
        <f t="shared" si="12"/>
        <v>22.56</v>
      </c>
      <c r="I93" s="7">
        <f t="shared" si="12"/>
        <v>37.6</v>
      </c>
      <c r="J93" s="7">
        <f t="shared" si="12"/>
        <v>37.6</v>
      </c>
      <c r="K93" s="7">
        <f t="shared" si="12"/>
        <v>37.6</v>
      </c>
      <c r="L93" s="6">
        <f>G93*[1]战斗预期!C$4</f>
        <v>5264</v>
      </c>
      <c r="M93" s="6">
        <f>H93*[1]战斗预期!D$4</f>
        <v>225.6</v>
      </c>
      <c r="N93" s="6">
        <f>I93*[1]战斗预期!E$4</f>
        <v>188</v>
      </c>
      <c r="O93" s="6">
        <f>J93*[1]战斗预期!F$4</f>
        <v>150.4</v>
      </c>
      <c r="P93" s="6">
        <f>K93*[1]战斗预期!G$4</f>
        <v>150.4</v>
      </c>
    </row>
    <row r="94" spans="3:16" x14ac:dyDescent="0.15">
      <c r="C94" s="1">
        <f>$L$30+($E94-$E$30)*$C$2/C$3*0.2*[1]战斗预期!$C$4</f>
        <v>4296</v>
      </c>
      <c r="D94" s="3">
        <v>65</v>
      </c>
      <c r="E94" s="3">
        <f>[1]属性成长!$D72</f>
        <v>325</v>
      </c>
      <c r="F94" s="3">
        <f t="shared" si="10"/>
        <v>190</v>
      </c>
      <c r="G94" s="7">
        <f t="shared" si="12"/>
        <v>53.2</v>
      </c>
      <c r="H94" s="7">
        <f t="shared" si="12"/>
        <v>22.8</v>
      </c>
      <c r="I94" s="7">
        <f t="shared" si="12"/>
        <v>38</v>
      </c>
      <c r="J94" s="7">
        <f t="shared" si="12"/>
        <v>38</v>
      </c>
      <c r="K94" s="7">
        <f t="shared" si="12"/>
        <v>38</v>
      </c>
      <c r="L94" s="6">
        <f>G94*[1]战斗预期!C$4</f>
        <v>5320</v>
      </c>
      <c r="M94" s="6">
        <f>H94*[1]战斗预期!D$4</f>
        <v>228</v>
      </c>
      <c r="N94" s="6">
        <f>I94*[1]战斗预期!E$4</f>
        <v>190</v>
      </c>
      <c r="O94" s="6">
        <f>J94*[1]战斗预期!F$4</f>
        <v>152</v>
      </c>
      <c r="P94" s="6">
        <f>K94*[1]战斗预期!G$4</f>
        <v>152</v>
      </c>
    </row>
    <row r="95" spans="3:16" x14ac:dyDescent="0.15">
      <c r="C95" s="1">
        <f>$L$30+($E95-$E$30)*$C$2/C$3*0.2*[1]战斗预期!$C$4</f>
        <v>4336</v>
      </c>
      <c r="D95" s="3">
        <v>66</v>
      </c>
      <c r="E95" s="3">
        <f>[1]属性成长!$D73</f>
        <v>330</v>
      </c>
      <c r="F95" s="3">
        <f t="shared" ref="F95:F129" si="13">$C$4/$C$3*E95+C$1</f>
        <v>192</v>
      </c>
      <c r="G95" s="7">
        <f t="shared" ref="G95:K129" si="14">$F95*G$2/SUM($G$2:$K$2)</f>
        <v>53.759999999999991</v>
      </c>
      <c r="H95" s="7">
        <f t="shared" si="14"/>
        <v>23.04</v>
      </c>
      <c r="I95" s="7">
        <f t="shared" si="14"/>
        <v>38.4</v>
      </c>
      <c r="J95" s="7">
        <f t="shared" si="14"/>
        <v>38.4</v>
      </c>
      <c r="K95" s="7">
        <f t="shared" si="14"/>
        <v>38.4</v>
      </c>
      <c r="L95" s="6">
        <f>G95*[1]战斗预期!C$4</f>
        <v>5375.9999999999991</v>
      </c>
      <c r="M95" s="6">
        <f>H95*[1]战斗预期!D$4</f>
        <v>230.39999999999998</v>
      </c>
      <c r="N95" s="6">
        <f>I95*[1]战斗预期!E$4</f>
        <v>192</v>
      </c>
      <c r="O95" s="6">
        <f>J95*[1]战斗预期!F$4</f>
        <v>153.6</v>
      </c>
      <c r="P95" s="6">
        <f>K95*[1]战斗预期!G$4</f>
        <v>153.6</v>
      </c>
    </row>
    <row r="96" spans="3:16" x14ac:dyDescent="0.15">
      <c r="C96" s="1">
        <f>$L$30+($E96-$E$30)*$C$2/C$3*0.2*[1]战斗预期!$C$4</f>
        <v>4376</v>
      </c>
      <c r="D96" s="3">
        <v>67</v>
      </c>
      <c r="E96" s="3">
        <f>[1]属性成长!$D74</f>
        <v>335</v>
      </c>
      <c r="F96" s="3">
        <f t="shared" si="13"/>
        <v>194</v>
      </c>
      <c r="G96" s="7">
        <f t="shared" si="14"/>
        <v>54.319999999999993</v>
      </c>
      <c r="H96" s="7">
        <f t="shared" si="14"/>
        <v>23.279999999999998</v>
      </c>
      <c r="I96" s="7">
        <f t="shared" si="14"/>
        <v>38.799999999999997</v>
      </c>
      <c r="J96" s="7">
        <f t="shared" si="14"/>
        <v>38.799999999999997</v>
      </c>
      <c r="K96" s="7">
        <f t="shared" si="14"/>
        <v>38.799999999999997</v>
      </c>
      <c r="L96" s="6">
        <f>G96*[1]战斗预期!C$4</f>
        <v>5431.9999999999991</v>
      </c>
      <c r="M96" s="6">
        <f>H96*[1]战斗预期!D$4</f>
        <v>232.79999999999998</v>
      </c>
      <c r="N96" s="6">
        <f>I96*[1]战斗预期!E$4</f>
        <v>194</v>
      </c>
      <c r="O96" s="6">
        <f>J96*[1]战斗预期!F$4</f>
        <v>155.19999999999999</v>
      </c>
      <c r="P96" s="6">
        <f>K96*[1]战斗预期!G$4</f>
        <v>155.19999999999999</v>
      </c>
    </row>
    <row r="97" spans="3:16" x14ac:dyDescent="0.15">
      <c r="C97" s="1">
        <f>$L$30+($E97-$E$30)*$C$2/C$3*0.2*[1]战斗预期!$C$4</f>
        <v>4416</v>
      </c>
      <c r="D97" s="3">
        <v>68</v>
      </c>
      <c r="E97" s="3">
        <f>[1]属性成长!$D75</f>
        <v>340</v>
      </c>
      <c r="F97" s="3">
        <f t="shared" si="13"/>
        <v>196</v>
      </c>
      <c r="G97" s="7">
        <f t="shared" si="14"/>
        <v>54.879999999999995</v>
      </c>
      <c r="H97" s="7">
        <f t="shared" si="14"/>
        <v>23.52</v>
      </c>
      <c r="I97" s="7">
        <f t="shared" si="14"/>
        <v>39.200000000000003</v>
      </c>
      <c r="J97" s="7">
        <f t="shared" si="14"/>
        <v>39.200000000000003</v>
      </c>
      <c r="K97" s="7">
        <f t="shared" si="14"/>
        <v>39.200000000000003</v>
      </c>
      <c r="L97" s="6">
        <f>G97*[1]战斗预期!C$4</f>
        <v>5488</v>
      </c>
      <c r="M97" s="6">
        <f>H97*[1]战斗预期!D$4</f>
        <v>235.2</v>
      </c>
      <c r="N97" s="6">
        <f>I97*[1]战斗预期!E$4</f>
        <v>196</v>
      </c>
      <c r="O97" s="6">
        <f>J97*[1]战斗预期!F$4</f>
        <v>156.80000000000001</v>
      </c>
      <c r="P97" s="6">
        <f>K97*[1]战斗预期!G$4</f>
        <v>156.80000000000001</v>
      </c>
    </row>
    <row r="98" spans="3:16" x14ac:dyDescent="0.15">
      <c r="C98" s="1">
        <f>$L$30+($E98-$E$30)*$C$2/C$3*0.2*[1]战斗预期!$C$4</f>
        <v>4456</v>
      </c>
      <c r="D98" s="3">
        <v>69</v>
      </c>
      <c r="E98" s="3">
        <f>[1]属性成长!$D76</f>
        <v>345</v>
      </c>
      <c r="F98" s="3">
        <f t="shared" si="13"/>
        <v>198</v>
      </c>
      <c r="G98" s="7">
        <f t="shared" si="14"/>
        <v>55.44</v>
      </c>
      <c r="H98" s="7">
        <f t="shared" si="14"/>
        <v>23.759999999999998</v>
      </c>
      <c r="I98" s="7">
        <f t="shared" si="14"/>
        <v>39.6</v>
      </c>
      <c r="J98" s="7">
        <f t="shared" si="14"/>
        <v>39.6</v>
      </c>
      <c r="K98" s="7">
        <f t="shared" si="14"/>
        <v>39.6</v>
      </c>
      <c r="L98" s="6">
        <f>G98*[1]战斗预期!C$4</f>
        <v>5544</v>
      </c>
      <c r="M98" s="6">
        <f>H98*[1]战斗预期!D$4</f>
        <v>237.59999999999997</v>
      </c>
      <c r="N98" s="6">
        <f>I98*[1]战斗预期!E$4</f>
        <v>198</v>
      </c>
      <c r="O98" s="6">
        <f>J98*[1]战斗预期!F$4</f>
        <v>158.4</v>
      </c>
      <c r="P98" s="6">
        <f>K98*[1]战斗预期!G$4</f>
        <v>158.4</v>
      </c>
    </row>
    <row r="99" spans="3:16" x14ac:dyDescent="0.15">
      <c r="C99" s="1">
        <f>$L$30+($E99-$E$30)*$C$2/C$3*0.2*[1]战斗预期!$C$4</f>
        <v>4496</v>
      </c>
      <c r="D99" s="3">
        <v>70</v>
      </c>
      <c r="E99" s="3">
        <f>[1]属性成长!$D77</f>
        <v>350</v>
      </c>
      <c r="F99" s="3">
        <f t="shared" si="13"/>
        <v>200</v>
      </c>
      <c r="G99" s="7">
        <f t="shared" si="14"/>
        <v>56</v>
      </c>
      <c r="H99" s="7">
        <f t="shared" si="14"/>
        <v>24</v>
      </c>
      <c r="I99" s="7">
        <f t="shared" si="14"/>
        <v>40</v>
      </c>
      <c r="J99" s="7">
        <f t="shared" si="14"/>
        <v>40</v>
      </c>
      <c r="K99" s="7">
        <f t="shared" si="14"/>
        <v>40</v>
      </c>
      <c r="L99" s="6">
        <f>G99*[1]战斗预期!C$4</f>
        <v>5600</v>
      </c>
      <c r="M99" s="6">
        <f>H99*[1]战斗预期!D$4</f>
        <v>240</v>
      </c>
      <c r="N99" s="6">
        <f>I99*[1]战斗预期!E$4</f>
        <v>200</v>
      </c>
      <c r="O99" s="6">
        <f>J99*[1]战斗预期!F$4</f>
        <v>160</v>
      </c>
      <c r="P99" s="6">
        <f>K99*[1]战斗预期!G$4</f>
        <v>160</v>
      </c>
    </row>
    <row r="100" spans="3:16" x14ac:dyDescent="0.15">
      <c r="C100" s="1">
        <f>$L$30+($E100-$E$30)*$C$2/C$3*0.2*[1]战斗预期!$C$4</f>
        <v>4536</v>
      </c>
      <c r="D100" s="3">
        <v>71</v>
      </c>
      <c r="E100" s="3">
        <f>[1]属性成长!$D78</f>
        <v>355</v>
      </c>
      <c r="F100" s="3">
        <f t="shared" si="13"/>
        <v>202</v>
      </c>
      <c r="G100" s="7">
        <f t="shared" si="14"/>
        <v>56.559999999999988</v>
      </c>
      <c r="H100" s="7">
        <f t="shared" si="14"/>
        <v>24.24</v>
      </c>
      <c r="I100" s="7">
        <f t="shared" si="14"/>
        <v>40.4</v>
      </c>
      <c r="J100" s="7">
        <f t="shared" si="14"/>
        <v>40.4</v>
      </c>
      <c r="K100" s="7">
        <f t="shared" si="14"/>
        <v>40.4</v>
      </c>
      <c r="L100" s="6">
        <f>G100*[1]战斗预期!C$4</f>
        <v>5655.9999999999991</v>
      </c>
      <c r="M100" s="6">
        <f>H100*[1]战斗预期!D$4</f>
        <v>242.39999999999998</v>
      </c>
      <c r="N100" s="6">
        <f>I100*[1]战斗预期!E$4</f>
        <v>202</v>
      </c>
      <c r="O100" s="6">
        <f>J100*[1]战斗预期!F$4</f>
        <v>161.6</v>
      </c>
      <c r="P100" s="6">
        <f>K100*[1]战斗预期!G$4</f>
        <v>161.6</v>
      </c>
    </row>
    <row r="101" spans="3:16" x14ac:dyDescent="0.15">
      <c r="C101" s="1">
        <f>$L$30+($E101-$E$30)*$C$2/C$3*0.2*[1]战斗预期!$C$4</f>
        <v>4576</v>
      </c>
      <c r="D101" s="3">
        <v>72</v>
      </c>
      <c r="E101" s="3">
        <f>[1]属性成长!$D79</f>
        <v>360</v>
      </c>
      <c r="F101" s="3">
        <f t="shared" si="13"/>
        <v>204</v>
      </c>
      <c r="G101" s="7">
        <f t="shared" si="14"/>
        <v>57.11999999999999</v>
      </c>
      <c r="H101" s="7">
        <f t="shared" si="14"/>
        <v>24.479999999999997</v>
      </c>
      <c r="I101" s="7">
        <f t="shared" si="14"/>
        <v>40.799999999999997</v>
      </c>
      <c r="J101" s="7">
        <f t="shared" si="14"/>
        <v>40.799999999999997</v>
      </c>
      <c r="K101" s="7">
        <f t="shared" si="14"/>
        <v>40.799999999999997</v>
      </c>
      <c r="L101" s="6">
        <f>G101*[1]战斗预期!C$4</f>
        <v>5711.9999999999991</v>
      </c>
      <c r="M101" s="6">
        <f>H101*[1]战斗预期!D$4</f>
        <v>244.79999999999995</v>
      </c>
      <c r="N101" s="6">
        <f>I101*[1]战斗预期!E$4</f>
        <v>204</v>
      </c>
      <c r="O101" s="6">
        <f>J101*[1]战斗预期!F$4</f>
        <v>163.19999999999999</v>
      </c>
      <c r="P101" s="6">
        <f>K101*[1]战斗预期!G$4</f>
        <v>163.19999999999999</v>
      </c>
    </row>
    <row r="102" spans="3:16" x14ac:dyDescent="0.15">
      <c r="C102" s="1">
        <f>$L$30+($E102-$E$30)*$C$2/C$3*0.2*[1]战斗预期!$C$4</f>
        <v>4616</v>
      </c>
      <c r="D102" s="3">
        <v>73</v>
      </c>
      <c r="E102" s="3">
        <f>[1]属性成长!$D80</f>
        <v>365</v>
      </c>
      <c r="F102" s="3">
        <f t="shared" si="13"/>
        <v>206</v>
      </c>
      <c r="G102" s="7">
        <f t="shared" si="14"/>
        <v>57.679999999999993</v>
      </c>
      <c r="H102" s="7">
        <f t="shared" si="14"/>
        <v>24.72</v>
      </c>
      <c r="I102" s="7">
        <f t="shared" si="14"/>
        <v>41.2</v>
      </c>
      <c r="J102" s="7">
        <f t="shared" si="14"/>
        <v>41.2</v>
      </c>
      <c r="K102" s="7">
        <f t="shared" si="14"/>
        <v>41.2</v>
      </c>
      <c r="L102" s="6">
        <f>G102*[1]战斗预期!C$4</f>
        <v>5767.9999999999991</v>
      </c>
      <c r="M102" s="6">
        <f>H102*[1]战斗预期!D$4</f>
        <v>247.2</v>
      </c>
      <c r="N102" s="6">
        <f>I102*[1]战斗预期!E$4</f>
        <v>206</v>
      </c>
      <c r="O102" s="6">
        <f>J102*[1]战斗预期!F$4</f>
        <v>164.8</v>
      </c>
      <c r="P102" s="6">
        <f>K102*[1]战斗预期!G$4</f>
        <v>164.8</v>
      </c>
    </row>
    <row r="103" spans="3:16" x14ac:dyDescent="0.15">
      <c r="C103" s="1">
        <f>$L$30+($E103-$E$30)*$C$2/C$3*0.2*[1]战斗预期!$C$4</f>
        <v>4656</v>
      </c>
      <c r="D103" s="3">
        <v>74</v>
      </c>
      <c r="E103" s="3">
        <f>[1]属性成长!$D81</f>
        <v>370</v>
      </c>
      <c r="F103" s="3">
        <f t="shared" si="13"/>
        <v>208</v>
      </c>
      <c r="G103" s="7">
        <f t="shared" si="14"/>
        <v>58.239999999999995</v>
      </c>
      <c r="H103" s="7">
        <f t="shared" si="14"/>
        <v>24.96</v>
      </c>
      <c r="I103" s="7">
        <f t="shared" si="14"/>
        <v>41.6</v>
      </c>
      <c r="J103" s="7">
        <f t="shared" si="14"/>
        <v>41.6</v>
      </c>
      <c r="K103" s="7">
        <f t="shared" si="14"/>
        <v>41.6</v>
      </c>
      <c r="L103" s="6">
        <f>G103*[1]战斗预期!C$4</f>
        <v>5823.9999999999991</v>
      </c>
      <c r="M103" s="6">
        <f>H103*[1]战斗预期!D$4</f>
        <v>249.60000000000002</v>
      </c>
      <c r="N103" s="6">
        <f>I103*[1]战斗预期!E$4</f>
        <v>208</v>
      </c>
      <c r="O103" s="6">
        <f>J103*[1]战斗预期!F$4</f>
        <v>166.4</v>
      </c>
      <c r="P103" s="6">
        <f>K103*[1]战斗预期!G$4</f>
        <v>166.4</v>
      </c>
    </row>
    <row r="104" spans="3:16" x14ac:dyDescent="0.15">
      <c r="C104" s="1">
        <f>$L$30+($E104-$E$30)*$C$2/C$3*0.2*[1]战斗预期!$C$4</f>
        <v>4696</v>
      </c>
      <c r="D104" s="3">
        <v>75</v>
      </c>
      <c r="E104" s="3">
        <f>[1]属性成长!$D82</f>
        <v>375</v>
      </c>
      <c r="F104" s="3">
        <f t="shared" si="13"/>
        <v>210</v>
      </c>
      <c r="G104" s="7">
        <f t="shared" si="14"/>
        <v>58.8</v>
      </c>
      <c r="H104" s="7">
        <f t="shared" si="14"/>
        <v>25.2</v>
      </c>
      <c r="I104" s="7">
        <f t="shared" si="14"/>
        <v>42</v>
      </c>
      <c r="J104" s="7">
        <f t="shared" si="14"/>
        <v>42</v>
      </c>
      <c r="K104" s="7">
        <f t="shared" si="14"/>
        <v>42</v>
      </c>
      <c r="L104" s="6">
        <f>G104*[1]战斗预期!C$4</f>
        <v>5880</v>
      </c>
      <c r="M104" s="6">
        <f>H104*[1]战斗预期!D$4</f>
        <v>252</v>
      </c>
      <c r="N104" s="6">
        <f>I104*[1]战斗预期!E$4</f>
        <v>210</v>
      </c>
      <c r="O104" s="6">
        <f>J104*[1]战斗预期!F$4</f>
        <v>168</v>
      </c>
      <c r="P104" s="6">
        <f>K104*[1]战斗预期!G$4</f>
        <v>168</v>
      </c>
    </row>
    <row r="105" spans="3:16" x14ac:dyDescent="0.15">
      <c r="C105" s="1">
        <f>$L$30+($E105-$E$30)*$C$2/C$3*0.2*[1]战斗预期!$C$4</f>
        <v>4736</v>
      </c>
      <c r="D105" s="3">
        <v>76</v>
      </c>
      <c r="E105" s="3">
        <f>[1]属性成长!$D83</f>
        <v>380</v>
      </c>
      <c r="F105" s="3">
        <f t="shared" si="13"/>
        <v>212</v>
      </c>
      <c r="G105" s="7">
        <f t="shared" si="14"/>
        <v>59.359999999999992</v>
      </c>
      <c r="H105" s="7">
        <f t="shared" si="14"/>
        <v>25.439999999999998</v>
      </c>
      <c r="I105" s="7">
        <f t="shared" si="14"/>
        <v>42.4</v>
      </c>
      <c r="J105" s="7">
        <f t="shared" si="14"/>
        <v>42.4</v>
      </c>
      <c r="K105" s="7">
        <f t="shared" si="14"/>
        <v>42.4</v>
      </c>
      <c r="L105" s="6">
        <f>G105*[1]战斗预期!C$4</f>
        <v>5935.9999999999991</v>
      </c>
      <c r="M105" s="6">
        <f>H105*[1]战斗预期!D$4</f>
        <v>254.39999999999998</v>
      </c>
      <c r="N105" s="6">
        <f>I105*[1]战斗预期!E$4</f>
        <v>212</v>
      </c>
      <c r="O105" s="6">
        <f>J105*[1]战斗预期!F$4</f>
        <v>169.6</v>
      </c>
      <c r="P105" s="6">
        <f>K105*[1]战斗预期!G$4</f>
        <v>169.6</v>
      </c>
    </row>
    <row r="106" spans="3:16" x14ac:dyDescent="0.15">
      <c r="C106" s="1">
        <f>$L$30+($E106-$E$30)*$C$2/C$3*0.2*[1]战斗预期!$C$4</f>
        <v>4776</v>
      </c>
      <c r="D106" s="3">
        <v>77</v>
      </c>
      <c r="E106" s="3">
        <f>[1]属性成长!$D84</f>
        <v>385</v>
      </c>
      <c r="F106" s="3">
        <f t="shared" si="13"/>
        <v>214</v>
      </c>
      <c r="G106" s="7">
        <f t="shared" si="14"/>
        <v>59.919999999999995</v>
      </c>
      <c r="H106" s="7">
        <f t="shared" si="14"/>
        <v>25.68</v>
      </c>
      <c r="I106" s="7">
        <f t="shared" si="14"/>
        <v>42.8</v>
      </c>
      <c r="J106" s="7">
        <f t="shared" si="14"/>
        <v>42.8</v>
      </c>
      <c r="K106" s="7">
        <f t="shared" si="14"/>
        <v>42.8</v>
      </c>
      <c r="L106" s="6">
        <f>G106*[1]战斗预期!C$4</f>
        <v>5991.9999999999991</v>
      </c>
      <c r="M106" s="6">
        <f>H106*[1]战斗预期!D$4</f>
        <v>256.8</v>
      </c>
      <c r="N106" s="6">
        <f>I106*[1]战斗预期!E$4</f>
        <v>214</v>
      </c>
      <c r="O106" s="6">
        <f>J106*[1]战斗预期!F$4</f>
        <v>171.2</v>
      </c>
      <c r="P106" s="6">
        <f>K106*[1]战斗预期!G$4</f>
        <v>171.2</v>
      </c>
    </row>
    <row r="107" spans="3:16" x14ac:dyDescent="0.15">
      <c r="C107" s="1">
        <f>$L$30+($E107-$E$30)*$C$2/C$3*0.2*[1]战斗预期!$C$4</f>
        <v>4816</v>
      </c>
      <c r="D107" s="3">
        <v>78</v>
      </c>
      <c r="E107" s="3">
        <f>[1]属性成长!$D85</f>
        <v>390</v>
      </c>
      <c r="F107" s="3">
        <f t="shared" si="13"/>
        <v>216</v>
      </c>
      <c r="G107" s="7">
        <f t="shared" si="14"/>
        <v>60.48</v>
      </c>
      <c r="H107" s="7">
        <f t="shared" si="14"/>
        <v>25.919999999999998</v>
      </c>
      <c r="I107" s="7">
        <f t="shared" si="14"/>
        <v>43.2</v>
      </c>
      <c r="J107" s="7">
        <f t="shared" si="14"/>
        <v>43.2</v>
      </c>
      <c r="K107" s="7">
        <f t="shared" si="14"/>
        <v>43.2</v>
      </c>
      <c r="L107" s="6">
        <f>G107*[1]战斗预期!C$4</f>
        <v>6048</v>
      </c>
      <c r="M107" s="6">
        <f>H107*[1]战斗预期!D$4</f>
        <v>259.2</v>
      </c>
      <c r="N107" s="6">
        <f>I107*[1]战斗预期!E$4</f>
        <v>216</v>
      </c>
      <c r="O107" s="6">
        <f>J107*[1]战斗预期!F$4</f>
        <v>172.8</v>
      </c>
      <c r="P107" s="6">
        <f>K107*[1]战斗预期!G$4</f>
        <v>172.8</v>
      </c>
    </row>
    <row r="108" spans="3:16" x14ac:dyDescent="0.15">
      <c r="C108" s="1">
        <f>$L$30+($E108-$E$30)*$C$2/C$3*0.2*[1]战斗预期!$C$4</f>
        <v>4856</v>
      </c>
      <c r="D108" s="3">
        <v>79</v>
      </c>
      <c r="E108" s="3">
        <f>[1]属性成长!$D86</f>
        <v>395</v>
      </c>
      <c r="F108" s="3">
        <f t="shared" si="13"/>
        <v>218</v>
      </c>
      <c r="G108" s="7">
        <f t="shared" si="14"/>
        <v>61.04</v>
      </c>
      <c r="H108" s="7">
        <f t="shared" si="14"/>
        <v>26.159999999999997</v>
      </c>
      <c r="I108" s="7">
        <f t="shared" si="14"/>
        <v>43.6</v>
      </c>
      <c r="J108" s="7">
        <f t="shared" si="14"/>
        <v>43.6</v>
      </c>
      <c r="K108" s="7">
        <f t="shared" si="14"/>
        <v>43.6</v>
      </c>
      <c r="L108" s="6">
        <f>G108*[1]战斗预期!C$4</f>
        <v>6104</v>
      </c>
      <c r="M108" s="6">
        <f>H108*[1]战斗预期!D$4</f>
        <v>261.59999999999997</v>
      </c>
      <c r="N108" s="6">
        <f>I108*[1]战斗预期!E$4</f>
        <v>218</v>
      </c>
      <c r="O108" s="6">
        <f>J108*[1]战斗预期!F$4</f>
        <v>174.4</v>
      </c>
      <c r="P108" s="6">
        <f>K108*[1]战斗预期!G$4</f>
        <v>174.4</v>
      </c>
    </row>
    <row r="109" spans="3:16" x14ac:dyDescent="0.15">
      <c r="C109" s="1">
        <f>$L$30+($E109-$E$30)*$C$2/C$3*0.2*[1]战斗预期!$C$4</f>
        <v>4896</v>
      </c>
      <c r="D109" s="3">
        <v>80</v>
      </c>
      <c r="E109" s="3">
        <f>[1]属性成长!$D87</f>
        <v>400</v>
      </c>
      <c r="F109" s="3">
        <f t="shared" si="13"/>
        <v>220</v>
      </c>
      <c r="G109" s="7">
        <f t="shared" si="14"/>
        <v>61.6</v>
      </c>
      <c r="H109" s="7">
        <f t="shared" si="14"/>
        <v>26.4</v>
      </c>
      <c r="I109" s="7">
        <f t="shared" si="14"/>
        <v>44</v>
      </c>
      <c r="J109" s="7">
        <f t="shared" si="14"/>
        <v>44</v>
      </c>
      <c r="K109" s="7">
        <f t="shared" si="14"/>
        <v>44</v>
      </c>
      <c r="L109" s="6">
        <f>G109*[1]战斗预期!C$4</f>
        <v>6160</v>
      </c>
      <c r="M109" s="6">
        <f>H109*[1]战斗预期!D$4</f>
        <v>264</v>
      </c>
      <c r="N109" s="6">
        <f>I109*[1]战斗预期!E$4</f>
        <v>220</v>
      </c>
      <c r="O109" s="6">
        <f>J109*[1]战斗预期!F$4</f>
        <v>176</v>
      </c>
      <c r="P109" s="6">
        <f>K109*[1]战斗预期!G$4</f>
        <v>176</v>
      </c>
    </row>
    <row r="110" spans="3:16" x14ac:dyDescent="0.15">
      <c r="C110" s="1">
        <f>$L$30+($E110-$E$30)*$C$2/C$3*0.2*[1]战斗预期!$C$4</f>
        <v>4936</v>
      </c>
      <c r="D110" s="3">
        <v>81</v>
      </c>
      <c r="E110" s="3">
        <f>[1]属性成长!$D88</f>
        <v>405</v>
      </c>
      <c r="F110" s="3">
        <f t="shared" si="13"/>
        <v>222</v>
      </c>
      <c r="G110" s="7">
        <f t="shared" si="14"/>
        <v>62.159999999999989</v>
      </c>
      <c r="H110" s="7">
        <f t="shared" si="14"/>
        <v>26.639999999999997</v>
      </c>
      <c r="I110" s="7">
        <f t="shared" si="14"/>
        <v>44.4</v>
      </c>
      <c r="J110" s="7">
        <f t="shared" si="14"/>
        <v>44.4</v>
      </c>
      <c r="K110" s="7">
        <f t="shared" si="14"/>
        <v>44.4</v>
      </c>
      <c r="L110" s="6">
        <f>G110*[1]战斗预期!C$4</f>
        <v>6215.9999999999991</v>
      </c>
      <c r="M110" s="6">
        <f>H110*[1]战斗预期!D$4</f>
        <v>266.39999999999998</v>
      </c>
      <c r="N110" s="6">
        <f>I110*[1]战斗预期!E$4</f>
        <v>222</v>
      </c>
      <c r="O110" s="6">
        <f>J110*[1]战斗预期!F$4</f>
        <v>177.6</v>
      </c>
      <c r="P110" s="6">
        <f>K110*[1]战斗预期!G$4</f>
        <v>177.6</v>
      </c>
    </row>
    <row r="111" spans="3:16" x14ac:dyDescent="0.15">
      <c r="C111" s="1">
        <f>$L$30+($E111-$E$30)*$C$2/C$3*0.2*[1]战斗预期!$C$4</f>
        <v>4976</v>
      </c>
      <c r="D111" s="3">
        <v>82</v>
      </c>
      <c r="E111" s="3">
        <f>[1]属性成长!$D89</f>
        <v>410</v>
      </c>
      <c r="F111" s="3">
        <f t="shared" si="13"/>
        <v>224</v>
      </c>
      <c r="G111" s="7">
        <f t="shared" si="14"/>
        <v>62.719999999999992</v>
      </c>
      <c r="H111" s="7">
        <f t="shared" si="14"/>
        <v>26.880000000000003</v>
      </c>
      <c r="I111" s="7">
        <f t="shared" si="14"/>
        <v>44.8</v>
      </c>
      <c r="J111" s="7">
        <f t="shared" si="14"/>
        <v>44.8</v>
      </c>
      <c r="K111" s="7">
        <f t="shared" si="14"/>
        <v>44.8</v>
      </c>
      <c r="L111" s="6">
        <f>G111*[1]战斗预期!C$4</f>
        <v>6271.9999999999991</v>
      </c>
      <c r="M111" s="6">
        <f>H111*[1]战斗预期!D$4</f>
        <v>268.8</v>
      </c>
      <c r="N111" s="6">
        <f>I111*[1]战斗预期!E$4</f>
        <v>224</v>
      </c>
      <c r="O111" s="6">
        <f>J111*[1]战斗预期!F$4</f>
        <v>179.2</v>
      </c>
      <c r="P111" s="6">
        <f>K111*[1]战斗预期!G$4</f>
        <v>179.2</v>
      </c>
    </row>
    <row r="112" spans="3:16" x14ac:dyDescent="0.15">
      <c r="C112" s="1">
        <f>$L$30+($E112-$E$30)*$C$2/C$3*0.2*[1]战斗预期!$C$4</f>
        <v>5016</v>
      </c>
      <c r="D112" s="3">
        <v>83</v>
      </c>
      <c r="E112" s="3">
        <f>[1]属性成长!$D90</f>
        <v>415</v>
      </c>
      <c r="F112" s="3">
        <f t="shared" si="13"/>
        <v>226</v>
      </c>
      <c r="G112" s="7">
        <f t="shared" si="14"/>
        <v>63.279999999999994</v>
      </c>
      <c r="H112" s="7">
        <f t="shared" si="14"/>
        <v>27.119999999999997</v>
      </c>
      <c r="I112" s="7">
        <f t="shared" si="14"/>
        <v>45.2</v>
      </c>
      <c r="J112" s="7">
        <f t="shared" si="14"/>
        <v>45.2</v>
      </c>
      <c r="K112" s="7">
        <f t="shared" si="14"/>
        <v>45.2</v>
      </c>
      <c r="L112" s="6">
        <f>G112*[1]战斗预期!C$4</f>
        <v>6327.9999999999991</v>
      </c>
      <c r="M112" s="6">
        <f>H112*[1]战斗预期!D$4</f>
        <v>271.2</v>
      </c>
      <c r="N112" s="6">
        <f>I112*[1]战斗预期!E$4</f>
        <v>226</v>
      </c>
      <c r="O112" s="6">
        <f>J112*[1]战斗预期!F$4</f>
        <v>180.8</v>
      </c>
      <c r="P112" s="6">
        <f>K112*[1]战斗预期!G$4</f>
        <v>180.8</v>
      </c>
    </row>
    <row r="113" spans="3:16" x14ac:dyDescent="0.15">
      <c r="C113" s="1">
        <f>$L$30+($E113-$E$30)*$C$2/C$3*0.2*[1]战斗预期!$C$4</f>
        <v>5056</v>
      </c>
      <c r="D113" s="3">
        <v>84</v>
      </c>
      <c r="E113" s="3">
        <f>[1]属性成长!$D91</f>
        <v>420</v>
      </c>
      <c r="F113" s="3">
        <f t="shared" si="13"/>
        <v>228</v>
      </c>
      <c r="G113" s="7">
        <f t="shared" si="14"/>
        <v>63.839999999999996</v>
      </c>
      <c r="H113" s="7">
        <f t="shared" si="14"/>
        <v>27.359999999999996</v>
      </c>
      <c r="I113" s="7">
        <f t="shared" si="14"/>
        <v>45.6</v>
      </c>
      <c r="J113" s="7">
        <f t="shared" si="14"/>
        <v>45.6</v>
      </c>
      <c r="K113" s="7">
        <f t="shared" si="14"/>
        <v>45.6</v>
      </c>
      <c r="L113" s="6">
        <f>G113*[1]战斗预期!C$4</f>
        <v>6384</v>
      </c>
      <c r="M113" s="6">
        <f>H113*[1]战斗预期!D$4</f>
        <v>273.59999999999997</v>
      </c>
      <c r="N113" s="6">
        <f>I113*[1]战斗预期!E$4</f>
        <v>228</v>
      </c>
      <c r="O113" s="6">
        <f>J113*[1]战斗预期!F$4</f>
        <v>182.4</v>
      </c>
      <c r="P113" s="6">
        <f>K113*[1]战斗预期!G$4</f>
        <v>182.4</v>
      </c>
    </row>
    <row r="114" spans="3:16" x14ac:dyDescent="0.15">
      <c r="C114" s="1">
        <f>$L$30+($E114-$E$30)*$C$2/C$3*0.2*[1]战斗预期!$C$4</f>
        <v>5096</v>
      </c>
      <c r="D114" s="3">
        <v>85</v>
      </c>
      <c r="E114" s="3">
        <f>[1]属性成长!$D92</f>
        <v>425</v>
      </c>
      <c r="F114" s="3">
        <f t="shared" si="13"/>
        <v>230</v>
      </c>
      <c r="G114" s="7">
        <f t="shared" si="14"/>
        <v>64.400000000000006</v>
      </c>
      <c r="H114" s="7">
        <f t="shared" si="14"/>
        <v>27.6</v>
      </c>
      <c r="I114" s="7">
        <f t="shared" si="14"/>
        <v>46</v>
      </c>
      <c r="J114" s="7">
        <f t="shared" si="14"/>
        <v>46</v>
      </c>
      <c r="K114" s="7">
        <f t="shared" si="14"/>
        <v>46</v>
      </c>
      <c r="L114" s="6">
        <f>G114*[1]战斗预期!C$4</f>
        <v>6440.0000000000009</v>
      </c>
      <c r="M114" s="6">
        <f>H114*[1]战斗预期!D$4</f>
        <v>276</v>
      </c>
      <c r="N114" s="6">
        <f>I114*[1]战斗预期!E$4</f>
        <v>230</v>
      </c>
      <c r="O114" s="6">
        <f>J114*[1]战斗预期!F$4</f>
        <v>184</v>
      </c>
      <c r="P114" s="6">
        <f>K114*[1]战斗预期!G$4</f>
        <v>184</v>
      </c>
    </row>
    <row r="115" spans="3:16" x14ac:dyDescent="0.15">
      <c r="C115" s="1">
        <f>$L$30+($E115-$E$30)*$C$2/C$3*0.2*[1]战斗预期!$C$4</f>
        <v>5136</v>
      </c>
      <c r="D115" s="3">
        <v>86</v>
      </c>
      <c r="E115" s="3">
        <f>[1]属性成长!$D93</f>
        <v>430</v>
      </c>
      <c r="F115" s="3">
        <f t="shared" si="13"/>
        <v>232</v>
      </c>
      <c r="G115" s="7">
        <f t="shared" si="14"/>
        <v>64.959999999999994</v>
      </c>
      <c r="H115" s="7">
        <f t="shared" si="14"/>
        <v>27.839999999999996</v>
      </c>
      <c r="I115" s="7">
        <f t="shared" si="14"/>
        <v>46.4</v>
      </c>
      <c r="J115" s="7">
        <f t="shared" si="14"/>
        <v>46.4</v>
      </c>
      <c r="K115" s="7">
        <f t="shared" si="14"/>
        <v>46.4</v>
      </c>
      <c r="L115" s="6">
        <f>G115*[1]战斗预期!C$4</f>
        <v>6495.9999999999991</v>
      </c>
      <c r="M115" s="6">
        <f>H115*[1]战斗预期!D$4</f>
        <v>278.39999999999998</v>
      </c>
      <c r="N115" s="6">
        <f>I115*[1]战斗预期!E$4</f>
        <v>232</v>
      </c>
      <c r="O115" s="6">
        <f>J115*[1]战斗预期!F$4</f>
        <v>185.6</v>
      </c>
      <c r="P115" s="6">
        <f>K115*[1]战斗预期!G$4</f>
        <v>185.6</v>
      </c>
    </row>
    <row r="116" spans="3:16" x14ac:dyDescent="0.15">
      <c r="C116" s="1">
        <f>$L$30+($E116-$E$30)*$C$2/C$3*0.2*[1]战斗预期!$C$4</f>
        <v>5176</v>
      </c>
      <c r="D116" s="3">
        <v>87</v>
      </c>
      <c r="E116" s="3">
        <f>[1]属性成长!$D94</f>
        <v>435</v>
      </c>
      <c r="F116" s="3">
        <f t="shared" si="13"/>
        <v>234</v>
      </c>
      <c r="G116" s="7">
        <f t="shared" si="14"/>
        <v>65.52</v>
      </c>
      <c r="H116" s="7">
        <f t="shared" si="14"/>
        <v>28.080000000000002</v>
      </c>
      <c r="I116" s="7">
        <f t="shared" si="14"/>
        <v>46.8</v>
      </c>
      <c r="J116" s="7">
        <f t="shared" si="14"/>
        <v>46.8</v>
      </c>
      <c r="K116" s="7">
        <f t="shared" si="14"/>
        <v>46.8</v>
      </c>
      <c r="L116" s="6">
        <f>G116*[1]战斗预期!C$4</f>
        <v>6552</v>
      </c>
      <c r="M116" s="6">
        <f>H116*[1]战斗预期!D$4</f>
        <v>280.8</v>
      </c>
      <c r="N116" s="6">
        <f>I116*[1]战斗预期!E$4</f>
        <v>234</v>
      </c>
      <c r="O116" s="6">
        <f>J116*[1]战斗预期!F$4</f>
        <v>187.2</v>
      </c>
      <c r="P116" s="6">
        <f>K116*[1]战斗预期!G$4</f>
        <v>187.2</v>
      </c>
    </row>
    <row r="117" spans="3:16" x14ac:dyDescent="0.15">
      <c r="C117" s="1">
        <f>$L$30+($E117-$E$30)*$C$2/C$3*0.2*[1]战斗预期!$C$4</f>
        <v>5216</v>
      </c>
      <c r="D117" s="3">
        <v>88</v>
      </c>
      <c r="E117" s="3">
        <f>[1]属性成长!$D95</f>
        <v>440</v>
      </c>
      <c r="F117" s="3">
        <f t="shared" si="13"/>
        <v>236</v>
      </c>
      <c r="G117" s="7">
        <f t="shared" si="14"/>
        <v>66.08</v>
      </c>
      <c r="H117" s="7">
        <f t="shared" si="14"/>
        <v>28.32</v>
      </c>
      <c r="I117" s="7">
        <f t="shared" si="14"/>
        <v>47.2</v>
      </c>
      <c r="J117" s="7">
        <f t="shared" si="14"/>
        <v>47.2</v>
      </c>
      <c r="K117" s="7">
        <f t="shared" si="14"/>
        <v>47.2</v>
      </c>
      <c r="L117" s="6">
        <f>G117*[1]战斗预期!C$4</f>
        <v>6608</v>
      </c>
      <c r="M117" s="6">
        <f>H117*[1]战斗预期!D$4</f>
        <v>283.2</v>
      </c>
      <c r="N117" s="6">
        <f>I117*[1]战斗预期!E$4</f>
        <v>236</v>
      </c>
      <c r="O117" s="6">
        <f>J117*[1]战斗预期!F$4</f>
        <v>188.8</v>
      </c>
      <c r="P117" s="6">
        <f>K117*[1]战斗预期!G$4</f>
        <v>188.8</v>
      </c>
    </row>
    <row r="118" spans="3:16" x14ac:dyDescent="0.15">
      <c r="C118" s="1">
        <f>$L$30+($E118-$E$30)*$C$2/C$3*0.2*[1]战斗预期!$C$4</f>
        <v>5256</v>
      </c>
      <c r="D118" s="3">
        <v>89</v>
      </c>
      <c r="E118" s="3">
        <f>[1]属性成长!$D96</f>
        <v>445</v>
      </c>
      <c r="F118" s="3">
        <f t="shared" si="13"/>
        <v>238</v>
      </c>
      <c r="G118" s="7">
        <f t="shared" si="14"/>
        <v>66.64</v>
      </c>
      <c r="H118" s="7">
        <f t="shared" si="14"/>
        <v>28.559999999999995</v>
      </c>
      <c r="I118" s="7">
        <f t="shared" si="14"/>
        <v>47.6</v>
      </c>
      <c r="J118" s="7">
        <f t="shared" si="14"/>
        <v>47.6</v>
      </c>
      <c r="K118" s="7">
        <f t="shared" si="14"/>
        <v>47.6</v>
      </c>
      <c r="L118" s="6">
        <f>G118*[1]战斗预期!C$4</f>
        <v>6664</v>
      </c>
      <c r="M118" s="6">
        <f>H118*[1]战斗预期!D$4</f>
        <v>285.59999999999997</v>
      </c>
      <c r="N118" s="6">
        <f>I118*[1]战斗预期!E$4</f>
        <v>238</v>
      </c>
      <c r="O118" s="6">
        <f>J118*[1]战斗预期!F$4</f>
        <v>190.4</v>
      </c>
      <c r="P118" s="6">
        <f>K118*[1]战斗预期!G$4</f>
        <v>190.4</v>
      </c>
    </row>
    <row r="119" spans="3:16" x14ac:dyDescent="0.15">
      <c r="C119" s="1">
        <f>$L$30+($E119-$E$30)*$C$2/C$3*0.2*[1]战斗预期!$C$4</f>
        <v>5296</v>
      </c>
      <c r="D119" s="3">
        <v>90</v>
      </c>
      <c r="E119" s="3">
        <f>[1]属性成长!$D97</f>
        <v>450</v>
      </c>
      <c r="F119" s="3">
        <f t="shared" si="13"/>
        <v>240</v>
      </c>
      <c r="G119" s="7">
        <f t="shared" si="14"/>
        <v>67.2</v>
      </c>
      <c r="H119" s="7">
        <f t="shared" si="14"/>
        <v>28.8</v>
      </c>
      <c r="I119" s="7">
        <f t="shared" si="14"/>
        <v>48</v>
      </c>
      <c r="J119" s="7">
        <f t="shared" si="14"/>
        <v>48</v>
      </c>
      <c r="K119" s="7">
        <f t="shared" si="14"/>
        <v>48</v>
      </c>
      <c r="L119" s="6">
        <f>G119*[1]战斗预期!C$4</f>
        <v>6720</v>
      </c>
      <c r="M119" s="6">
        <f>H119*[1]战斗预期!D$4</f>
        <v>288</v>
      </c>
      <c r="N119" s="6">
        <f>I119*[1]战斗预期!E$4</f>
        <v>240</v>
      </c>
      <c r="O119" s="6">
        <f>J119*[1]战斗预期!F$4</f>
        <v>192</v>
      </c>
      <c r="P119" s="6">
        <f>K119*[1]战斗预期!G$4</f>
        <v>192</v>
      </c>
    </row>
    <row r="120" spans="3:16" x14ac:dyDescent="0.15">
      <c r="C120" s="1">
        <f>$L$30+($E120-$E$30)*$C$2/C$3*0.2*[1]战斗预期!$C$4</f>
        <v>5336</v>
      </c>
      <c r="D120" s="3">
        <v>91</v>
      </c>
      <c r="E120" s="3">
        <f>[1]属性成长!$D98</f>
        <v>455</v>
      </c>
      <c r="F120" s="3">
        <f t="shared" si="13"/>
        <v>242</v>
      </c>
      <c r="G120" s="7">
        <f t="shared" si="14"/>
        <v>67.759999999999991</v>
      </c>
      <c r="H120" s="7">
        <f t="shared" si="14"/>
        <v>29.04</v>
      </c>
      <c r="I120" s="7">
        <f t="shared" si="14"/>
        <v>48.4</v>
      </c>
      <c r="J120" s="7">
        <f t="shared" si="14"/>
        <v>48.4</v>
      </c>
      <c r="K120" s="7">
        <f t="shared" si="14"/>
        <v>48.4</v>
      </c>
      <c r="L120" s="6">
        <f>G120*[1]战斗预期!C$4</f>
        <v>6775.9999999999991</v>
      </c>
      <c r="M120" s="6">
        <f>H120*[1]战斗预期!D$4</f>
        <v>290.39999999999998</v>
      </c>
      <c r="N120" s="6">
        <f>I120*[1]战斗预期!E$4</f>
        <v>242</v>
      </c>
      <c r="O120" s="6">
        <f>J120*[1]战斗预期!F$4</f>
        <v>193.6</v>
      </c>
      <c r="P120" s="6">
        <f>K120*[1]战斗预期!G$4</f>
        <v>193.6</v>
      </c>
    </row>
    <row r="121" spans="3:16" x14ac:dyDescent="0.15">
      <c r="C121" s="1">
        <f>$L$30+($E121-$E$30)*$C$2/C$3*0.2*[1]战斗预期!$C$4</f>
        <v>5376</v>
      </c>
      <c r="D121" s="3">
        <v>92</v>
      </c>
      <c r="E121" s="3">
        <f>[1]属性成长!$D99</f>
        <v>460</v>
      </c>
      <c r="F121" s="3">
        <f t="shared" si="13"/>
        <v>244</v>
      </c>
      <c r="G121" s="7">
        <f t="shared" si="14"/>
        <v>68.319999999999993</v>
      </c>
      <c r="H121" s="7">
        <f t="shared" si="14"/>
        <v>29.28</v>
      </c>
      <c r="I121" s="7">
        <f t="shared" si="14"/>
        <v>48.8</v>
      </c>
      <c r="J121" s="7">
        <f t="shared" si="14"/>
        <v>48.8</v>
      </c>
      <c r="K121" s="7">
        <f t="shared" si="14"/>
        <v>48.8</v>
      </c>
      <c r="L121" s="6">
        <f>G121*[1]战斗预期!C$4</f>
        <v>6831.9999999999991</v>
      </c>
      <c r="M121" s="6">
        <f>H121*[1]战斗预期!D$4</f>
        <v>292.8</v>
      </c>
      <c r="N121" s="6">
        <f>I121*[1]战斗预期!E$4</f>
        <v>244</v>
      </c>
      <c r="O121" s="6">
        <f>J121*[1]战斗预期!F$4</f>
        <v>195.2</v>
      </c>
      <c r="P121" s="6">
        <f>K121*[1]战斗预期!G$4</f>
        <v>195.2</v>
      </c>
    </row>
    <row r="122" spans="3:16" x14ac:dyDescent="0.15">
      <c r="C122" s="1">
        <f>$L$30+($E122-$E$30)*$C$2/C$3*0.2*[1]战斗预期!$C$4</f>
        <v>5416</v>
      </c>
      <c r="D122" s="3">
        <v>93</v>
      </c>
      <c r="E122" s="3">
        <f>[1]属性成长!$D100</f>
        <v>465</v>
      </c>
      <c r="F122" s="3">
        <f t="shared" si="13"/>
        <v>246</v>
      </c>
      <c r="G122" s="7">
        <f t="shared" si="14"/>
        <v>68.88</v>
      </c>
      <c r="H122" s="7">
        <f t="shared" si="14"/>
        <v>29.52</v>
      </c>
      <c r="I122" s="7">
        <f t="shared" si="14"/>
        <v>49.2</v>
      </c>
      <c r="J122" s="7">
        <f t="shared" si="14"/>
        <v>49.2</v>
      </c>
      <c r="K122" s="7">
        <f t="shared" si="14"/>
        <v>49.2</v>
      </c>
      <c r="L122" s="6">
        <f>G122*[1]战斗预期!C$4</f>
        <v>6888</v>
      </c>
      <c r="M122" s="6">
        <f>H122*[1]战斗预期!D$4</f>
        <v>295.2</v>
      </c>
      <c r="N122" s="6">
        <f>I122*[1]战斗预期!E$4</f>
        <v>246</v>
      </c>
      <c r="O122" s="6">
        <f>J122*[1]战斗预期!F$4</f>
        <v>196.8</v>
      </c>
      <c r="P122" s="6">
        <f>K122*[1]战斗预期!G$4</f>
        <v>196.8</v>
      </c>
    </row>
    <row r="123" spans="3:16" x14ac:dyDescent="0.15">
      <c r="C123" s="1">
        <f>$L$30+($E123-$E$30)*$C$2/C$3*0.2*[1]战斗预期!$C$4</f>
        <v>5456</v>
      </c>
      <c r="D123" s="3">
        <v>94</v>
      </c>
      <c r="E123" s="3">
        <f>[1]属性成长!$D101</f>
        <v>470</v>
      </c>
      <c r="F123" s="3">
        <f t="shared" si="13"/>
        <v>248</v>
      </c>
      <c r="G123" s="7">
        <f t="shared" si="14"/>
        <v>69.44</v>
      </c>
      <c r="H123" s="7">
        <f t="shared" si="14"/>
        <v>29.759999999999998</v>
      </c>
      <c r="I123" s="7">
        <f t="shared" si="14"/>
        <v>49.6</v>
      </c>
      <c r="J123" s="7">
        <f t="shared" si="14"/>
        <v>49.6</v>
      </c>
      <c r="K123" s="7">
        <f t="shared" si="14"/>
        <v>49.6</v>
      </c>
      <c r="L123" s="6">
        <f>G123*[1]战斗预期!C$4</f>
        <v>6944</v>
      </c>
      <c r="M123" s="6">
        <f>H123*[1]战斗预期!D$4</f>
        <v>297.59999999999997</v>
      </c>
      <c r="N123" s="6">
        <f>I123*[1]战斗预期!E$4</f>
        <v>248</v>
      </c>
      <c r="O123" s="6">
        <f>J123*[1]战斗预期!F$4</f>
        <v>198.4</v>
      </c>
      <c r="P123" s="6">
        <f>K123*[1]战斗预期!G$4</f>
        <v>198.4</v>
      </c>
    </row>
    <row r="124" spans="3:16" x14ac:dyDescent="0.15">
      <c r="C124" s="1">
        <f>$L$30+($E124-$E$30)*$C$2/C$3*0.2*[1]战斗预期!$C$4</f>
        <v>5496</v>
      </c>
      <c r="D124" s="3">
        <v>95</v>
      </c>
      <c r="E124" s="3">
        <f>[1]属性成长!$D102</f>
        <v>475</v>
      </c>
      <c r="F124" s="3">
        <f t="shared" si="13"/>
        <v>250</v>
      </c>
      <c r="G124" s="7">
        <f t="shared" si="14"/>
        <v>70</v>
      </c>
      <c r="H124" s="7">
        <f t="shared" si="14"/>
        <v>30</v>
      </c>
      <c r="I124" s="7">
        <f t="shared" si="14"/>
        <v>50</v>
      </c>
      <c r="J124" s="7">
        <f t="shared" si="14"/>
        <v>50</v>
      </c>
      <c r="K124" s="7">
        <f t="shared" si="14"/>
        <v>50</v>
      </c>
      <c r="L124" s="6">
        <f>G124*[1]战斗预期!C$4</f>
        <v>7000</v>
      </c>
      <c r="M124" s="6">
        <f>H124*[1]战斗预期!D$4</f>
        <v>300</v>
      </c>
      <c r="N124" s="6">
        <f>I124*[1]战斗预期!E$4</f>
        <v>250</v>
      </c>
      <c r="O124" s="6">
        <f>J124*[1]战斗预期!F$4</f>
        <v>200</v>
      </c>
      <c r="P124" s="6">
        <f>K124*[1]战斗预期!G$4</f>
        <v>200</v>
      </c>
    </row>
    <row r="125" spans="3:16" x14ac:dyDescent="0.15">
      <c r="C125" s="1">
        <f>$L$30+($E125-$E$30)*$C$2/C$3*0.2*[1]战斗预期!$C$4</f>
        <v>5536</v>
      </c>
      <c r="D125" s="3">
        <v>96</v>
      </c>
      <c r="E125" s="3">
        <f>[1]属性成长!$D103</f>
        <v>480</v>
      </c>
      <c r="F125" s="3">
        <f t="shared" si="13"/>
        <v>252</v>
      </c>
      <c r="G125" s="7">
        <f t="shared" si="14"/>
        <v>70.559999999999988</v>
      </c>
      <c r="H125" s="7">
        <f t="shared" si="14"/>
        <v>30.24</v>
      </c>
      <c r="I125" s="7">
        <f t="shared" si="14"/>
        <v>50.4</v>
      </c>
      <c r="J125" s="7">
        <f t="shared" si="14"/>
        <v>50.4</v>
      </c>
      <c r="K125" s="7">
        <f t="shared" si="14"/>
        <v>50.4</v>
      </c>
      <c r="L125" s="6">
        <f>G125*[1]战斗预期!C$4</f>
        <v>7055.9999999999991</v>
      </c>
      <c r="M125" s="6">
        <f>H125*[1]战斗预期!D$4</f>
        <v>302.39999999999998</v>
      </c>
      <c r="N125" s="6">
        <f>I125*[1]战斗预期!E$4</f>
        <v>252</v>
      </c>
      <c r="O125" s="6">
        <f>J125*[1]战斗预期!F$4</f>
        <v>201.6</v>
      </c>
      <c r="P125" s="6">
        <f>K125*[1]战斗预期!G$4</f>
        <v>201.6</v>
      </c>
    </row>
    <row r="126" spans="3:16" x14ac:dyDescent="0.15">
      <c r="C126" s="1">
        <f>$L$30+($E126-$E$30)*$C$2/C$3*0.2*[1]战斗预期!$C$4</f>
        <v>5576</v>
      </c>
      <c r="D126" s="3">
        <v>97</v>
      </c>
      <c r="E126" s="3">
        <f>[1]属性成长!$D104</f>
        <v>485</v>
      </c>
      <c r="F126" s="3">
        <f t="shared" si="13"/>
        <v>254</v>
      </c>
      <c r="G126" s="7">
        <f t="shared" si="14"/>
        <v>71.11999999999999</v>
      </c>
      <c r="H126" s="7">
        <f t="shared" si="14"/>
        <v>30.48</v>
      </c>
      <c r="I126" s="7">
        <f t="shared" si="14"/>
        <v>50.8</v>
      </c>
      <c r="J126" s="7">
        <f t="shared" si="14"/>
        <v>50.8</v>
      </c>
      <c r="K126" s="7">
        <f t="shared" si="14"/>
        <v>50.8</v>
      </c>
      <c r="L126" s="6">
        <f>G126*[1]战斗预期!C$4</f>
        <v>7111.9999999999991</v>
      </c>
      <c r="M126" s="6">
        <f>H126*[1]战斗预期!D$4</f>
        <v>304.8</v>
      </c>
      <c r="N126" s="6">
        <f>I126*[1]战斗预期!E$4</f>
        <v>254</v>
      </c>
      <c r="O126" s="6">
        <f>J126*[1]战斗预期!F$4</f>
        <v>203.2</v>
      </c>
      <c r="P126" s="6">
        <f>K126*[1]战斗预期!G$4</f>
        <v>203.2</v>
      </c>
    </row>
    <row r="127" spans="3:16" x14ac:dyDescent="0.15">
      <c r="C127" s="1">
        <f>$L$30+($E127-$E$30)*$C$2/C$3*0.2*[1]战斗预期!$C$4</f>
        <v>5616</v>
      </c>
      <c r="D127" s="3">
        <v>98</v>
      </c>
      <c r="E127" s="3">
        <f>[1]属性成长!$D105</f>
        <v>490</v>
      </c>
      <c r="F127" s="3">
        <f t="shared" si="13"/>
        <v>256</v>
      </c>
      <c r="G127" s="7">
        <f t="shared" si="14"/>
        <v>71.679999999999993</v>
      </c>
      <c r="H127" s="7">
        <f t="shared" si="14"/>
        <v>30.72</v>
      </c>
      <c r="I127" s="7">
        <f t="shared" si="14"/>
        <v>51.2</v>
      </c>
      <c r="J127" s="7">
        <f t="shared" si="14"/>
        <v>51.2</v>
      </c>
      <c r="K127" s="7">
        <f t="shared" si="14"/>
        <v>51.2</v>
      </c>
      <c r="L127" s="6">
        <f>G127*[1]战斗预期!C$4</f>
        <v>7167.9999999999991</v>
      </c>
      <c r="M127" s="6">
        <f>H127*[1]战斗预期!D$4</f>
        <v>307.2</v>
      </c>
      <c r="N127" s="6">
        <f>I127*[1]战斗预期!E$4</f>
        <v>256</v>
      </c>
      <c r="O127" s="6">
        <f>J127*[1]战斗预期!F$4</f>
        <v>204.8</v>
      </c>
      <c r="P127" s="6">
        <f>K127*[1]战斗预期!G$4</f>
        <v>204.8</v>
      </c>
    </row>
    <row r="128" spans="3:16" x14ac:dyDescent="0.15">
      <c r="C128" s="1">
        <f>$L$30+($E128-$E$30)*$C$2/C$3*0.2*[1]战斗预期!$C$4</f>
        <v>5656</v>
      </c>
      <c r="D128" s="3">
        <v>99</v>
      </c>
      <c r="E128" s="3">
        <f>[1]属性成长!$D106</f>
        <v>495</v>
      </c>
      <c r="F128" s="3">
        <f t="shared" si="13"/>
        <v>258</v>
      </c>
      <c r="G128" s="7">
        <f t="shared" si="14"/>
        <v>72.239999999999995</v>
      </c>
      <c r="H128" s="7">
        <f t="shared" si="14"/>
        <v>30.959999999999997</v>
      </c>
      <c r="I128" s="7">
        <f t="shared" si="14"/>
        <v>51.6</v>
      </c>
      <c r="J128" s="7">
        <f t="shared" si="14"/>
        <v>51.6</v>
      </c>
      <c r="K128" s="7">
        <f t="shared" si="14"/>
        <v>51.6</v>
      </c>
      <c r="L128" s="6">
        <f>G128*[1]战斗预期!C$4</f>
        <v>7223.9999999999991</v>
      </c>
      <c r="M128" s="6">
        <f>H128*[1]战斗预期!D$4</f>
        <v>309.59999999999997</v>
      </c>
      <c r="N128" s="6">
        <f>I128*[1]战斗预期!E$4</f>
        <v>258</v>
      </c>
      <c r="O128" s="6">
        <f>J128*[1]战斗预期!F$4</f>
        <v>206.4</v>
      </c>
      <c r="P128" s="6">
        <f>K128*[1]战斗预期!G$4</f>
        <v>206.4</v>
      </c>
    </row>
    <row r="129" spans="3:16" x14ac:dyDescent="0.15">
      <c r="C129" s="1">
        <f>$L$30+($E129-$E$30)*$C$2/C$3*0.2*[1]战斗预期!$C$4</f>
        <v>5696</v>
      </c>
      <c r="D129" s="3">
        <v>100</v>
      </c>
      <c r="E129" s="3">
        <f>[1]属性成长!$D107</f>
        <v>500</v>
      </c>
      <c r="F129" s="3">
        <f t="shared" si="13"/>
        <v>260</v>
      </c>
      <c r="G129" s="7">
        <f t="shared" si="14"/>
        <v>72.8</v>
      </c>
      <c r="H129" s="7">
        <f t="shared" si="14"/>
        <v>31.2</v>
      </c>
      <c r="I129" s="7">
        <f t="shared" si="14"/>
        <v>52</v>
      </c>
      <c r="J129" s="7">
        <f t="shared" si="14"/>
        <v>52</v>
      </c>
      <c r="K129" s="7">
        <f t="shared" si="14"/>
        <v>52</v>
      </c>
      <c r="L129" s="6">
        <f>G129*[1]战斗预期!C$4</f>
        <v>7280</v>
      </c>
      <c r="M129" s="6">
        <f>H129*[1]战斗预期!D$4</f>
        <v>312</v>
      </c>
      <c r="N129" s="6">
        <f>I129*[1]战斗预期!E$4</f>
        <v>260</v>
      </c>
      <c r="O129" s="6">
        <f>J129*[1]战斗预期!F$4</f>
        <v>208</v>
      </c>
      <c r="P129" s="6">
        <f>K129*[1]战斗预期!G$4</f>
        <v>208</v>
      </c>
    </row>
  </sheetData>
  <mergeCells count="2">
    <mergeCell ref="G28:K28"/>
    <mergeCell ref="L28:P28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19"/>
  <sheetViews>
    <sheetView workbookViewId="0">
      <selection activeCell="M32" sqref="M32"/>
    </sheetView>
  </sheetViews>
  <sheetFormatPr defaultRowHeight="11.25" x14ac:dyDescent="0.15"/>
  <cols>
    <col min="1" max="1" width="11.875" style="1" customWidth="1"/>
    <col min="2" max="3" width="9" style="1"/>
    <col min="4" max="4" width="9.375" style="1" bestFit="1" customWidth="1"/>
    <col min="5" max="5" width="9.125" style="1" bestFit="1" customWidth="1"/>
    <col min="6" max="8" width="9" style="1"/>
    <col min="9" max="10" width="10.5" style="1" bestFit="1" customWidth="1"/>
    <col min="11" max="12" width="11.375" style="1" bestFit="1" customWidth="1"/>
    <col min="13" max="16384" width="9" style="1"/>
  </cols>
  <sheetData>
    <row r="1" spans="1:21" x14ac:dyDescent="0.15">
      <c r="A1" s="3" t="s">
        <v>32</v>
      </c>
      <c r="B1" s="3">
        <v>20</v>
      </c>
      <c r="D1" s="3" t="s">
        <v>45</v>
      </c>
      <c r="E1" s="3" t="s">
        <v>48</v>
      </c>
      <c r="F1" s="3" t="s">
        <v>49</v>
      </c>
      <c r="G1" s="3" t="s">
        <v>52</v>
      </c>
      <c r="J1" s="16" t="s">
        <v>55</v>
      </c>
      <c r="K1" s="17"/>
      <c r="L1" s="17"/>
      <c r="M1" s="17"/>
      <c r="N1" s="18"/>
      <c r="P1" s="3" t="s">
        <v>431</v>
      </c>
      <c r="Q1" s="3" t="s">
        <v>432</v>
      </c>
      <c r="S1" s="10" t="s">
        <v>68</v>
      </c>
    </row>
    <row r="2" spans="1:21" x14ac:dyDescent="0.15">
      <c r="A2" s="3" t="s">
        <v>33</v>
      </c>
      <c r="B2" s="3">
        <f>B4/B3*5</f>
        <v>10</v>
      </c>
      <c r="D2" s="3" t="s">
        <v>46</v>
      </c>
      <c r="E2" s="3" t="s">
        <v>50</v>
      </c>
      <c r="F2" s="3" t="s">
        <v>30</v>
      </c>
      <c r="G2" s="3">
        <f>VLOOKUP(E2,$D$8:$E$10,2,FALSE)+VLOOKUP(F2,$D$8:$E$10,2,FALSE)</f>
        <v>2.5</v>
      </c>
      <c r="I2" s="19" t="s">
        <v>62</v>
      </c>
      <c r="J2" s="3" t="s">
        <v>56</v>
      </c>
      <c r="K2" s="3" t="s">
        <v>57</v>
      </c>
      <c r="L2" s="3" t="s">
        <v>58</v>
      </c>
      <c r="M2" s="3" t="s">
        <v>59</v>
      </c>
      <c r="N2" s="3" t="s">
        <v>28</v>
      </c>
      <c r="P2" s="3">
        <v>1</v>
      </c>
      <c r="Q2" s="3">
        <v>10</v>
      </c>
      <c r="S2" s="3" t="s">
        <v>82</v>
      </c>
      <c r="T2" s="3" t="s">
        <v>69</v>
      </c>
      <c r="U2" s="3" t="s">
        <v>70</v>
      </c>
    </row>
    <row r="3" spans="1:21" x14ac:dyDescent="0.15">
      <c r="A3" s="3" t="s">
        <v>34</v>
      </c>
      <c r="B3" s="3">
        <v>5</v>
      </c>
      <c r="D3" s="3" t="s">
        <v>47</v>
      </c>
      <c r="E3" s="3" t="s">
        <v>50</v>
      </c>
      <c r="F3" s="3" t="s">
        <v>51</v>
      </c>
      <c r="G3" s="3">
        <f>VLOOKUP(E3,$D$8:$E$10,2,FALSE)+VLOOKUP(F3,$D$8:$E$10,2,FALSE)</f>
        <v>3</v>
      </c>
      <c r="I3" s="118" t="s">
        <v>63</v>
      </c>
      <c r="J3" s="3"/>
      <c r="K3" s="3" t="s">
        <v>50</v>
      </c>
      <c r="L3" s="3"/>
      <c r="M3" s="3"/>
      <c r="N3" s="3" t="s">
        <v>51</v>
      </c>
      <c r="P3" s="3">
        <v>2</v>
      </c>
      <c r="Q3" s="3">
        <v>20</v>
      </c>
      <c r="S3" s="111" t="s">
        <v>83</v>
      </c>
      <c r="T3" s="3" t="s">
        <v>71</v>
      </c>
      <c r="U3" s="3" t="s">
        <v>72</v>
      </c>
    </row>
    <row r="4" spans="1:21" x14ac:dyDescent="0.15">
      <c r="A4" s="3" t="s">
        <v>35</v>
      </c>
      <c r="B4" s="3">
        <v>10</v>
      </c>
      <c r="D4" s="3" t="s">
        <v>53</v>
      </c>
      <c r="E4" s="15" t="s">
        <v>30</v>
      </c>
      <c r="F4" s="15" t="s">
        <v>30</v>
      </c>
      <c r="G4" s="3">
        <f>VLOOKUP(E4,$D$8:$E$10,2,FALSE)+VLOOKUP(F4,$D$8:$E$10,2,FALSE)</f>
        <v>3</v>
      </c>
      <c r="I4" s="119"/>
      <c r="J4" s="3"/>
      <c r="K4" s="3" t="s">
        <v>30</v>
      </c>
      <c r="L4" s="3"/>
      <c r="M4" s="3"/>
      <c r="N4" s="3" t="s">
        <v>30</v>
      </c>
      <c r="P4" s="3">
        <v>3</v>
      </c>
      <c r="Q4" s="3">
        <v>30</v>
      </c>
      <c r="S4" s="112"/>
      <c r="T4" s="3"/>
      <c r="U4" s="3" t="s">
        <v>73</v>
      </c>
    </row>
    <row r="5" spans="1:21" x14ac:dyDescent="0.15">
      <c r="D5" s="3" t="s">
        <v>54</v>
      </c>
      <c r="E5" s="15" t="s">
        <v>30</v>
      </c>
      <c r="F5" s="15" t="s">
        <v>51</v>
      </c>
      <c r="G5" s="3">
        <f>VLOOKUP(E5,$D$8:$E$10,2,FALSE)+VLOOKUP(F5,$D$8:$E$10,2,FALSE)</f>
        <v>3.5</v>
      </c>
      <c r="I5" s="120"/>
      <c r="J5" s="3"/>
      <c r="K5" s="3" t="s">
        <v>51</v>
      </c>
      <c r="L5" s="3"/>
      <c r="M5" s="3"/>
      <c r="N5" s="3" t="s">
        <v>50</v>
      </c>
      <c r="P5" s="3">
        <v>4</v>
      </c>
      <c r="Q5" s="3">
        <v>40</v>
      </c>
      <c r="S5" s="112"/>
      <c r="T5" s="3"/>
      <c r="U5" s="3" t="s">
        <v>74</v>
      </c>
    </row>
    <row r="6" spans="1:21" x14ac:dyDescent="0.15">
      <c r="I6" s="118" t="s">
        <v>64</v>
      </c>
      <c r="J6" s="3" t="s">
        <v>50</v>
      </c>
      <c r="K6" s="3"/>
      <c r="L6" s="3" t="s">
        <v>51</v>
      </c>
      <c r="M6" s="3"/>
      <c r="N6" s="3"/>
      <c r="S6" s="112"/>
      <c r="T6" s="3"/>
      <c r="U6" s="3" t="s">
        <v>79</v>
      </c>
    </row>
    <row r="7" spans="1:21" x14ac:dyDescent="0.15">
      <c r="D7" s="3" t="s">
        <v>27</v>
      </c>
      <c r="E7" s="3" t="s">
        <v>36</v>
      </c>
      <c r="F7" s="11" t="s">
        <v>38</v>
      </c>
      <c r="G7" s="11" t="s">
        <v>37</v>
      </c>
      <c r="I7" s="119"/>
      <c r="J7" s="3" t="s">
        <v>30</v>
      </c>
      <c r="L7" s="3" t="s">
        <v>30</v>
      </c>
      <c r="M7" s="3"/>
      <c r="N7" s="3"/>
      <c r="S7" s="112"/>
      <c r="T7" s="3"/>
      <c r="U7" s="3" t="s">
        <v>80</v>
      </c>
    </row>
    <row r="8" spans="1:21" x14ac:dyDescent="0.15">
      <c r="D8" s="3" t="s">
        <v>29</v>
      </c>
      <c r="E8" s="3">
        <v>1</v>
      </c>
      <c r="F8" s="14">
        <f>$B$1/($E$9*2)*$E8</f>
        <v>6.666666666666667</v>
      </c>
      <c r="G8" s="14">
        <f>$B$2/($E$9*2)*$E8</f>
        <v>3.3333333333333335</v>
      </c>
      <c r="I8" s="120"/>
      <c r="J8" s="3" t="s">
        <v>51</v>
      </c>
      <c r="K8" s="3"/>
      <c r="L8" s="3" t="s">
        <v>50</v>
      </c>
      <c r="M8" s="3"/>
      <c r="N8" s="3"/>
      <c r="S8" s="112"/>
      <c r="T8" s="3"/>
      <c r="U8" s="3" t="s">
        <v>244</v>
      </c>
    </row>
    <row r="9" spans="1:21" x14ac:dyDescent="0.15">
      <c r="D9" s="3" t="s">
        <v>30</v>
      </c>
      <c r="E9" s="3">
        <v>1.5</v>
      </c>
      <c r="F9" s="14">
        <f t="shared" ref="F9:F10" si="0">$B$1/($E$9*2)*$E9</f>
        <v>10</v>
      </c>
      <c r="G9" s="14">
        <f t="shared" ref="G9:G10" si="1">$B$2/($E$9*2)*$E9</f>
        <v>5</v>
      </c>
      <c r="I9" s="118" t="s">
        <v>65</v>
      </c>
      <c r="J9" s="3" t="s">
        <v>50</v>
      </c>
      <c r="K9" s="3" t="s">
        <v>51</v>
      </c>
      <c r="L9" s="3"/>
      <c r="M9" s="3"/>
      <c r="N9" s="3"/>
      <c r="S9" s="113"/>
      <c r="T9" s="3"/>
      <c r="U9" s="3" t="s">
        <v>245</v>
      </c>
    </row>
    <row r="10" spans="1:21" x14ac:dyDescent="0.15">
      <c r="D10" s="3" t="s">
        <v>31</v>
      </c>
      <c r="E10" s="3">
        <v>2</v>
      </c>
      <c r="F10" s="14">
        <f t="shared" si="0"/>
        <v>13.333333333333334</v>
      </c>
      <c r="G10" s="14">
        <f t="shared" si="1"/>
        <v>6.666666666666667</v>
      </c>
      <c r="I10" s="119"/>
      <c r="J10" s="3" t="s">
        <v>30</v>
      </c>
      <c r="K10" s="3" t="s">
        <v>30</v>
      </c>
      <c r="L10" s="3"/>
      <c r="M10" s="3"/>
      <c r="N10" s="3"/>
      <c r="S10" s="111" t="s">
        <v>84</v>
      </c>
      <c r="T10" s="3"/>
      <c r="U10" s="3" t="s">
        <v>75</v>
      </c>
    </row>
    <row r="11" spans="1:21" x14ac:dyDescent="0.15">
      <c r="D11" s="20" t="s">
        <v>67</v>
      </c>
      <c r="E11" s="10"/>
      <c r="I11" s="120"/>
      <c r="J11" s="3" t="s">
        <v>51</v>
      </c>
      <c r="K11" s="3" t="s">
        <v>66</v>
      </c>
      <c r="L11" s="3"/>
      <c r="M11" s="3"/>
      <c r="N11" s="3"/>
      <c r="S11" s="112"/>
      <c r="T11" s="3"/>
      <c r="U11" s="3" t="s">
        <v>76</v>
      </c>
    </row>
    <row r="12" spans="1:21" x14ac:dyDescent="0.15">
      <c r="D12" s="20" t="s">
        <v>442</v>
      </c>
      <c r="E12" s="10"/>
      <c r="I12" s="20" t="s">
        <v>267</v>
      </c>
      <c r="S12" s="112"/>
      <c r="T12" s="3"/>
      <c r="U12" s="3" t="s">
        <v>77</v>
      </c>
    </row>
    <row r="13" spans="1:21" x14ac:dyDescent="0.15">
      <c r="D13" s="21" t="s">
        <v>443</v>
      </c>
      <c r="E13" s="10"/>
      <c r="S13" s="112"/>
      <c r="T13" s="3"/>
      <c r="U13" s="3" t="s">
        <v>78</v>
      </c>
    </row>
    <row r="14" spans="1:21" x14ac:dyDescent="0.15">
      <c r="E14" s="10"/>
      <c r="S14" s="113"/>
      <c r="T14" s="3"/>
      <c r="U14" s="3" t="s">
        <v>246</v>
      </c>
    </row>
    <row r="15" spans="1:21" x14ac:dyDescent="0.15">
      <c r="E15" s="10"/>
      <c r="S15" s="114" t="s">
        <v>85</v>
      </c>
      <c r="T15" s="3"/>
      <c r="U15" s="3" t="s">
        <v>81</v>
      </c>
    </row>
    <row r="16" spans="1:21" x14ac:dyDescent="0.15">
      <c r="E16" s="10"/>
      <c r="S16" s="114"/>
      <c r="T16" s="3"/>
      <c r="U16" s="3" t="s">
        <v>240</v>
      </c>
    </row>
    <row r="17" spans="3:24" x14ac:dyDescent="0.15">
      <c r="E17" s="10"/>
      <c r="S17" s="114"/>
      <c r="T17" s="3"/>
      <c r="U17" s="3" t="s">
        <v>241</v>
      </c>
    </row>
    <row r="18" spans="3:24" x14ac:dyDescent="0.15">
      <c r="E18" s="115" t="s">
        <v>44</v>
      </c>
      <c r="F18" s="116"/>
      <c r="G18" s="117"/>
      <c r="H18" s="115" t="s">
        <v>43</v>
      </c>
      <c r="I18" s="116"/>
      <c r="J18" s="117"/>
      <c r="S18" s="114"/>
      <c r="T18" s="3"/>
      <c r="U18" s="3" t="s">
        <v>242</v>
      </c>
    </row>
    <row r="19" spans="3:24" x14ac:dyDescent="0.15">
      <c r="C19" s="3" t="s">
        <v>39</v>
      </c>
      <c r="D19" s="3" t="s">
        <v>40</v>
      </c>
      <c r="E19" s="12" t="s">
        <v>41</v>
      </c>
      <c r="F19" s="3" t="s">
        <v>30</v>
      </c>
      <c r="G19" s="3" t="s">
        <v>42</v>
      </c>
      <c r="H19" s="12" t="s">
        <v>41</v>
      </c>
      <c r="I19" s="3" t="s">
        <v>30</v>
      </c>
      <c r="J19" s="3" t="s">
        <v>42</v>
      </c>
      <c r="S19" s="114"/>
      <c r="T19" s="3"/>
      <c r="U19" s="3" t="s">
        <v>243</v>
      </c>
    </row>
    <row r="20" spans="3:24" x14ac:dyDescent="0.15">
      <c r="C20" s="3">
        <v>1</v>
      </c>
      <c r="D20" s="3">
        <f>[1]属性成长!$D8</f>
        <v>5</v>
      </c>
      <c r="E20" s="13">
        <f t="shared" ref="E20:G39" si="2">VLOOKUP(E$19,$D$8:$G$10,4,FALSE)/$B$3*$D20+VLOOKUP(E$19,$D$8:$G$10,3,FALSE)</f>
        <v>10</v>
      </c>
      <c r="F20" s="13">
        <f t="shared" si="2"/>
        <v>15</v>
      </c>
      <c r="G20" s="13">
        <f t="shared" si="2"/>
        <v>20</v>
      </c>
      <c r="H20" s="13">
        <f>E20*[1]战斗预期!$D$4</f>
        <v>100</v>
      </c>
      <c r="I20" s="13">
        <f>F20*[1]战斗预期!$D$4</f>
        <v>150</v>
      </c>
      <c r="J20" s="13">
        <f>G20*[1]战斗预期!$D$4</f>
        <v>200</v>
      </c>
      <c r="U20" s="108" t="s">
        <v>280</v>
      </c>
      <c r="V20" s="109"/>
      <c r="W20" s="109"/>
      <c r="X20" s="110"/>
    </row>
    <row r="21" spans="3:24" x14ac:dyDescent="0.15">
      <c r="C21" s="3">
        <v>2</v>
      </c>
      <c r="D21" s="3">
        <f>[1]属性成长!$D9</f>
        <v>10</v>
      </c>
      <c r="E21" s="13">
        <f t="shared" si="2"/>
        <v>13.333333333333336</v>
      </c>
      <c r="F21" s="13">
        <f t="shared" si="2"/>
        <v>20</v>
      </c>
      <c r="G21" s="13">
        <f t="shared" si="2"/>
        <v>26.666666666666671</v>
      </c>
      <c r="H21" s="13">
        <f>E21*[1]战斗预期!$D$4</f>
        <v>133.33333333333337</v>
      </c>
      <c r="I21" s="13">
        <f>F21*[1]战斗预期!$D$4</f>
        <v>200</v>
      </c>
      <c r="J21" s="13">
        <f>G21*[1]战斗预期!$D$4</f>
        <v>266.66666666666674</v>
      </c>
      <c r="U21" s="108" t="s">
        <v>281</v>
      </c>
      <c r="V21" s="109"/>
      <c r="W21" s="109"/>
      <c r="X21" s="110"/>
    </row>
    <row r="22" spans="3:24" x14ac:dyDescent="0.15">
      <c r="C22" s="3">
        <v>3</v>
      </c>
      <c r="D22" s="3">
        <f>[1]属性成长!$D10</f>
        <v>15</v>
      </c>
      <c r="E22" s="13">
        <f t="shared" si="2"/>
        <v>16.666666666666668</v>
      </c>
      <c r="F22" s="13">
        <f t="shared" si="2"/>
        <v>25</v>
      </c>
      <c r="G22" s="13">
        <f t="shared" si="2"/>
        <v>33.333333333333336</v>
      </c>
      <c r="H22" s="13">
        <f>E22*[1]战斗预期!$D$4</f>
        <v>166.66666666666669</v>
      </c>
      <c r="I22" s="13">
        <f>F22*[1]战斗预期!$D$4</f>
        <v>250</v>
      </c>
      <c r="J22" s="13">
        <f>G22*[1]战斗预期!$D$4</f>
        <v>333.33333333333337</v>
      </c>
      <c r="U22" s="108" t="s">
        <v>282</v>
      </c>
      <c r="V22" s="109"/>
      <c r="W22" s="109"/>
      <c r="X22" s="110"/>
    </row>
    <row r="23" spans="3:24" x14ac:dyDescent="0.15">
      <c r="C23" s="3">
        <v>4</v>
      </c>
      <c r="D23" s="3">
        <f>[1]属性成长!$D11</f>
        <v>20</v>
      </c>
      <c r="E23" s="13">
        <f t="shared" si="2"/>
        <v>20.000000000000004</v>
      </c>
      <c r="F23" s="13">
        <f t="shared" si="2"/>
        <v>30</v>
      </c>
      <c r="G23" s="13">
        <f t="shared" si="2"/>
        <v>40.000000000000007</v>
      </c>
      <c r="H23" s="13">
        <f>E23*[1]战斗预期!$D$4</f>
        <v>200.00000000000003</v>
      </c>
      <c r="I23" s="13">
        <f>F23*[1]战斗预期!$D$4</f>
        <v>300</v>
      </c>
      <c r="J23" s="13">
        <f>G23*[1]战斗预期!$D$4</f>
        <v>400.00000000000006</v>
      </c>
      <c r="U23" s="108" t="s">
        <v>283</v>
      </c>
      <c r="V23" s="109"/>
      <c r="W23" s="109"/>
      <c r="X23" s="110"/>
    </row>
    <row r="24" spans="3:24" x14ac:dyDescent="0.15">
      <c r="C24" s="3">
        <v>5</v>
      </c>
      <c r="D24" s="3">
        <f>[1]属性成长!$D12</f>
        <v>25</v>
      </c>
      <c r="E24" s="13">
        <f t="shared" si="2"/>
        <v>23.333333333333336</v>
      </c>
      <c r="F24" s="13">
        <f t="shared" si="2"/>
        <v>35</v>
      </c>
      <c r="G24" s="13">
        <f t="shared" si="2"/>
        <v>46.666666666666671</v>
      </c>
      <c r="H24" s="13">
        <f>E24*[1]战斗预期!$D$4</f>
        <v>233.33333333333337</v>
      </c>
      <c r="I24" s="13">
        <f>F24*[1]战斗预期!$D$4</f>
        <v>350</v>
      </c>
      <c r="J24" s="13">
        <f>G24*[1]战斗预期!$D$4</f>
        <v>466.66666666666674</v>
      </c>
      <c r="U24" s="108" t="s">
        <v>284</v>
      </c>
      <c r="V24" s="109"/>
      <c r="W24" s="109"/>
      <c r="X24" s="110"/>
    </row>
    <row r="25" spans="3:24" x14ac:dyDescent="0.15">
      <c r="C25" s="3">
        <v>6</v>
      </c>
      <c r="D25" s="3">
        <f>[1]属性成长!$D13</f>
        <v>30</v>
      </c>
      <c r="E25" s="13">
        <f t="shared" si="2"/>
        <v>26.666666666666671</v>
      </c>
      <c r="F25" s="13">
        <f t="shared" si="2"/>
        <v>40</v>
      </c>
      <c r="G25" s="13">
        <f t="shared" si="2"/>
        <v>53.333333333333343</v>
      </c>
      <c r="H25" s="13">
        <f>E25*[1]战斗预期!$D$4</f>
        <v>266.66666666666674</v>
      </c>
      <c r="I25" s="13">
        <f>F25*[1]战斗预期!$D$4</f>
        <v>400</v>
      </c>
      <c r="J25" s="13">
        <f>G25*[1]战斗预期!$D$4</f>
        <v>533.33333333333348</v>
      </c>
      <c r="U25" s="108" t="s">
        <v>285</v>
      </c>
      <c r="V25" s="109"/>
      <c r="W25" s="109"/>
      <c r="X25" s="110"/>
    </row>
    <row r="26" spans="3:24" x14ac:dyDescent="0.15">
      <c r="C26" s="3">
        <v>7</v>
      </c>
      <c r="D26" s="3">
        <f>[1]属性成长!$D14</f>
        <v>35</v>
      </c>
      <c r="E26" s="13">
        <f t="shared" si="2"/>
        <v>30.000000000000004</v>
      </c>
      <c r="F26" s="13">
        <f t="shared" si="2"/>
        <v>45</v>
      </c>
      <c r="G26" s="13">
        <f t="shared" si="2"/>
        <v>60.000000000000007</v>
      </c>
      <c r="H26" s="13">
        <f>E26*[1]战斗预期!$D$4</f>
        <v>300.00000000000006</v>
      </c>
      <c r="I26" s="13">
        <f>F26*[1]战斗预期!$D$4</f>
        <v>450</v>
      </c>
      <c r="J26" s="13">
        <f>G26*[1]战斗预期!$D$4</f>
        <v>600.00000000000011</v>
      </c>
      <c r="U26" s="108" t="s">
        <v>286</v>
      </c>
      <c r="V26" s="109"/>
      <c r="W26" s="109"/>
      <c r="X26" s="110"/>
    </row>
    <row r="27" spans="3:24" x14ac:dyDescent="0.15">
      <c r="C27" s="3">
        <v>8</v>
      </c>
      <c r="D27" s="3">
        <f>[1]属性成长!$D15</f>
        <v>40</v>
      </c>
      <c r="E27" s="13">
        <f t="shared" si="2"/>
        <v>33.333333333333336</v>
      </c>
      <c r="F27" s="13">
        <f t="shared" si="2"/>
        <v>50</v>
      </c>
      <c r="G27" s="13">
        <f t="shared" si="2"/>
        <v>66.666666666666671</v>
      </c>
      <c r="H27" s="13">
        <f>E27*[1]战斗预期!$D$4</f>
        <v>333.33333333333337</v>
      </c>
      <c r="I27" s="13">
        <f>F27*[1]战斗预期!$D$4</f>
        <v>500</v>
      </c>
      <c r="J27" s="13">
        <f>G27*[1]战斗预期!$D$4</f>
        <v>666.66666666666674</v>
      </c>
      <c r="U27" s="108" t="s">
        <v>287</v>
      </c>
      <c r="V27" s="109"/>
      <c r="W27" s="109"/>
      <c r="X27" s="110"/>
    </row>
    <row r="28" spans="3:24" x14ac:dyDescent="0.15">
      <c r="C28" s="3">
        <v>9</v>
      </c>
      <c r="D28" s="3">
        <f>[1]属性成长!$D16</f>
        <v>45</v>
      </c>
      <c r="E28" s="13">
        <f t="shared" si="2"/>
        <v>36.666666666666671</v>
      </c>
      <c r="F28" s="13">
        <f t="shared" si="2"/>
        <v>55</v>
      </c>
      <c r="G28" s="13">
        <f t="shared" si="2"/>
        <v>73.333333333333343</v>
      </c>
      <c r="H28" s="13">
        <f>E28*[1]战斗预期!$D$4</f>
        <v>366.66666666666674</v>
      </c>
      <c r="I28" s="13">
        <f>F28*[1]战斗预期!$D$4</f>
        <v>550</v>
      </c>
      <c r="J28" s="13">
        <f>G28*[1]战斗预期!$D$4</f>
        <v>733.33333333333348</v>
      </c>
      <c r="U28" s="1" t="s">
        <v>288</v>
      </c>
    </row>
    <row r="29" spans="3:24" x14ac:dyDescent="0.15">
      <c r="C29" s="3">
        <v>10</v>
      </c>
      <c r="D29" s="3">
        <f>[1]属性成长!$D17</f>
        <v>50</v>
      </c>
      <c r="E29" s="13">
        <f t="shared" si="2"/>
        <v>40</v>
      </c>
      <c r="F29" s="13">
        <f t="shared" si="2"/>
        <v>60</v>
      </c>
      <c r="G29" s="13">
        <f t="shared" si="2"/>
        <v>80</v>
      </c>
      <c r="H29" s="13">
        <f>E29*[1]战斗预期!$D$4</f>
        <v>400</v>
      </c>
      <c r="I29" s="13">
        <f>F29*[1]战斗预期!$D$4</f>
        <v>600</v>
      </c>
      <c r="J29" s="13">
        <f>G29*[1]战斗预期!$D$4</f>
        <v>800</v>
      </c>
      <c r="U29" s="108" t="s">
        <v>289</v>
      </c>
      <c r="V29" s="109"/>
      <c r="W29" s="109"/>
      <c r="X29" s="110"/>
    </row>
    <row r="30" spans="3:24" x14ac:dyDescent="0.15">
      <c r="C30" s="3">
        <v>11</v>
      </c>
      <c r="D30" s="3">
        <f>[1]属性成长!$D18</f>
        <v>55</v>
      </c>
      <c r="E30" s="13">
        <f t="shared" si="2"/>
        <v>43.333333333333336</v>
      </c>
      <c r="F30" s="13">
        <f t="shared" si="2"/>
        <v>65</v>
      </c>
      <c r="G30" s="13">
        <f t="shared" si="2"/>
        <v>86.666666666666671</v>
      </c>
      <c r="H30" s="13">
        <f>E30*[1]战斗预期!$D$4</f>
        <v>433.33333333333337</v>
      </c>
      <c r="I30" s="13">
        <f>F30*[1]战斗预期!$D$4</f>
        <v>650</v>
      </c>
      <c r="J30" s="13">
        <f>G30*[1]战斗预期!$D$4</f>
        <v>866.66666666666674</v>
      </c>
      <c r="U30" s="108" t="s">
        <v>290</v>
      </c>
      <c r="V30" s="109"/>
      <c r="W30" s="109"/>
      <c r="X30" s="110"/>
    </row>
    <row r="31" spans="3:24" x14ac:dyDescent="0.15">
      <c r="C31" s="3">
        <v>12</v>
      </c>
      <c r="D31" s="3">
        <f>[1]属性成长!$D19</f>
        <v>60</v>
      </c>
      <c r="E31" s="13">
        <f t="shared" si="2"/>
        <v>46.666666666666671</v>
      </c>
      <c r="F31" s="13">
        <f t="shared" si="2"/>
        <v>70</v>
      </c>
      <c r="G31" s="13">
        <f t="shared" si="2"/>
        <v>93.333333333333343</v>
      </c>
      <c r="H31" s="13">
        <f>E31*[1]战斗预期!$D$4</f>
        <v>466.66666666666674</v>
      </c>
      <c r="I31" s="13">
        <f>F31*[1]战斗预期!$D$4</f>
        <v>700</v>
      </c>
      <c r="J31" s="13">
        <f>G31*[1]战斗预期!$D$4</f>
        <v>933.33333333333348</v>
      </c>
      <c r="U31" s="108" t="s">
        <v>291</v>
      </c>
      <c r="V31" s="109"/>
      <c r="W31" s="109"/>
      <c r="X31" s="110"/>
    </row>
    <row r="32" spans="3:24" x14ac:dyDescent="0.15">
      <c r="C32" s="3">
        <v>13</v>
      </c>
      <c r="D32" s="3">
        <f>[1]属性成长!$D20</f>
        <v>65</v>
      </c>
      <c r="E32" s="13">
        <f t="shared" si="2"/>
        <v>50</v>
      </c>
      <c r="F32" s="13">
        <f t="shared" si="2"/>
        <v>75</v>
      </c>
      <c r="G32" s="13">
        <f t="shared" si="2"/>
        <v>100</v>
      </c>
      <c r="H32" s="13">
        <f>E32*[1]战斗预期!$D$4</f>
        <v>500</v>
      </c>
      <c r="I32" s="13">
        <f>F32*[1]战斗预期!$D$4</f>
        <v>750</v>
      </c>
      <c r="J32" s="13">
        <f>G32*[1]战斗预期!$D$4</f>
        <v>1000</v>
      </c>
    </row>
    <row r="33" spans="3:10" x14ac:dyDescent="0.15">
      <c r="C33" s="3">
        <v>14</v>
      </c>
      <c r="D33" s="3">
        <f>[1]属性成长!$D21</f>
        <v>70</v>
      </c>
      <c r="E33" s="13">
        <f t="shared" si="2"/>
        <v>53.333333333333336</v>
      </c>
      <c r="F33" s="13">
        <f t="shared" si="2"/>
        <v>80</v>
      </c>
      <c r="G33" s="13">
        <f t="shared" si="2"/>
        <v>106.66666666666667</v>
      </c>
      <c r="H33" s="13">
        <f>E33*[1]战斗预期!$D$4</f>
        <v>533.33333333333337</v>
      </c>
      <c r="I33" s="13">
        <f>F33*[1]战斗预期!$D$4</f>
        <v>800</v>
      </c>
      <c r="J33" s="13">
        <f>G33*[1]战斗预期!$D$4</f>
        <v>1066.6666666666667</v>
      </c>
    </row>
    <row r="34" spans="3:10" x14ac:dyDescent="0.15">
      <c r="C34" s="3">
        <v>15</v>
      </c>
      <c r="D34" s="3">
        <f>[1]属性成长!$D22</f>
        <v>75</v>
      </c>
      <c r="E34" s="13">
        <f t="shared" si="2"/>
        <v>56.666666666666671</v>
      </c>
      <c r="F34" s="13">
        <f t="shared" si="2"/>
        <v>85</v>
      </c>
      <c r="G34" s="13">
        <f t="shared" si="2"/>
        <v>113.33333333333334</v>
      </c>
      <c r="H34" s="13">
        <f>E34*[1]战斗预期!$D$4</f>
        <v>566.66666666666674</v>
      </c>
      <c r="I34" s="13">
        <f>F34*[1]战斗预期!$D$4</f>
        <v>850</v>
      </c>
      <c r="J34" s="13">
        <f>G34*[1]战斗预期!$D$4</f>
        <v>1133.3333333333335</v>
      </c>
    </row>
    <row r="35" spans="3:10" x14ac:dyDescent="0.15">
      <c r="C35" s="3">
        <v>16</v>
      </c>
      <c r="D35" s="3">
        <f>[1]属性成长!$D23</f>
        <v>80</v>
      </c>
      <c r="E35" s="13">
        <f t="shared" si="2"/>
        <v>60.000000000000007</v>
      </c>
      <c r="F35" s="13">
        <f t="shared" si="2"/>
        <v>90</v>
      </c>
      <c r="G35" s="13">
        <f t="shared" si="2"/>
        <v>120.00000000000001</v>
      </c>
      <c r="H35" s="13">
        <f>E35*[1]战斗预期!$D$4</f>
        <v>600.00000000000011</v>
      </c>
      <c r="I35" s="13">
        <f>F35*[1]战斗预期!$D$4</f>
        <v>900</v>
      </c>
      <c r="J35" s="13">
        <f>G35*[1]战斗预期!$D$4</f>
        <v>1200.0000000000002</v>
      </c>
    </row>
    <row r="36" spans="3:10" x14ac:dyDescent="0.15">
      <c r="C36" s="3">
        <v>17</v>
      </c>
      <c r="D36" s="3">
        <f>[1]属性成长!$D24</f>
        <v>85</v>
      </c>
      <c r="E36" s="13">
        <f t="shared" si="2"/>
        <v>63.333333333333336</v>
      </c>
      <c r="F36" s="13">
        <f t="shared" si="2"/>
        <v>95</v>
      </c>
      <c r="G36" s="13">
        <f t="shared" si="2"/>
        <v>126.66666666666667</v>
      </c>
      <c r="H36" s="13">
        <f>E36*[1]战斗预期!$D$4</f>
        <v>633.33333333333337</v>
      </c>
      <c r="I36" s="13">
        <f>F36*[1]战斗预期!$D$4</f>
        <v>950</v>
      </c>
      <c r="J36" s="13">
        <f>G36*[1]战斗预期!$D$4</f>
        <v>1266.6666666666667</v>
      </c>
    </row>
    <row r="37" spans="3:10" x14ac:dyDescent="0.15">
      <c r="C37" s="3">
        <v>18</v>
      </c>
      <c r="D37" s="3">
        <f>[1]属性成长!$D25</f>
        <v>90</v>
      </c>
      <c r="E37" s="13">
        <f t="shared" si="2"/>
        <v>66.666666666666671</v>
      </c>
      <c r="F37" s="13">
        <f t="shared" si="2"/>
        <v>100</v>
      </c>
      <c r="G37" s="13">
        <f t="shared" si="2"/>
        <v>133.33333333333334</v>
      </c>
      <c r="H37" s="13">
        <f>E37*[1]战斗预期!$D$4</f>
        <v>666.66666666666674</v>
      </c>
      <c r="I37" s="13">
        <f>F37*[1]战斗预期!$D$4</f>
        <v>1000</v>
      </c>
      <c r="J37" s="13">
        <f>G37*[1]战斗预期!$D$4</f>
        <v>1333.3333333333335</v>
      </c>
    </row>
    <row r="38" spans="3:10" x14ac:dyDescent="0.15">
      <c r="C38" s="3">
        <v>19</v>
      </c>
      <c r="D38" s="3">
        <f>[1]属性成长!$D26</f>
        <v>95</v>
      </c>
      <c r="E38" s="13">
        <f t="shared" si="2"/>
        <v>70.000000000000014</v>
      </c>
      <c r="F38" s="13">
        <f t="shared" si="2"/>
        <v>105</v>
      </c>
      <c r="G38" s="13">
        <f t="shared" si="2"/>
        <v>140.00000000000003</v>
      </c>
      <c r="H38" s="13">
        <f>E38*[1]战斗预期!$D$4</f>
        <v>700.00000000000011</v>
      </c>
      <c r="I38" s="13">
        <f>F38*[1]战斗预期!$D$4</f>
        <v>1050</v>
      </c>
      <c r="J38" s="13">
        <f>G38*[1]战斗预期!$D$4</f>
        <v>1400.0000000000002</v>
      </c>
    </row>
    <row r="39" spans="3:10" x14ac:dyDescent="0.15">
      <c r="C39" s="3">
        <v>20</v>
      </c>
      <c r="D39" s="3">
        <f>[1]属性成长!$D27</f>
        <v>100</v>
      </c>
      <c r="E39" s="13">
        <f t="shared" si="2"/>
        <v>73.333333333333343</v>
      </c>
      <c r="F39" s="13">
        <f t="shared" si="2"/>
        <v>110</v>
      </c>
      <c r="G39" s="13">
        <f t="shared" si="2"/>
        <v>146.66666666666669</v>
      </c>
      <c r="H39" s="13">
        <f>E39*[1]战斗预期!$D$4</f>
        <v>733.33333333333348</v>
      </c>
      <c r="I39" s="13">
        <f>F39*[1]战斗预期!$D$4</f>
        <v>1100</v>
      </c>
      <c r="J39" s="13">
        <f>G39*[1]战斗预期!$D$4</f>
        <v>1466.666666666667</v>
      </c>
    </row>
    <row r="40" spans="3:10" x14ac:dyDescent="0.15">
      <c r="C40" s="3">
        <v>21</v>
      </c>
      <c r="D40" s="3">
        <f>[1]属性成长!$D28</f>
        <v>105</v>
      </c>
      <c r="E40" s="13">
        <f t="shared" ref="E40:G59" si="3">VLOOKUP(E$19,$D$8:$G$10,4,FALSE)/$B$3*$D40+VLOOKUP(E$19,$D$8:$G$10,3,FALSE)</f>
        <v>76.666666666666686</v>
      </c>
      <c r="F40" s="13">
        <f t="shared" si="3"/>
        <v>115</v>
      </c>
      <c r="G40" s="13">
        <f t="shared" si="3"/>
        <v>153.33333333333337</v>
      </c>
      <c r="H40" s="13">
        <f>E40*[1]战斗预期!$D$4</f>
        <v>766.66666666666686</v>
      </c>
      <c r="I40" s="13">
        <f>F40*[1]战斗预期!$D$4</f>
        <v>1150</v>
      </c>
      <c r="J40" s="13">
        <f>G40*[1]战斗预期!$D$4</f>
        <v>1533.3333333333337</v>
      </c>
    </row>
    <row r="41" spans="3:10" x14ac:dyDescent="0.15">
      <c r="C41" s="3">
        <v>22</v>
      </c>
      <c r="D41" s="3">
        <f>[1]属性成长!$D29</f>
        <v>110</v>
      </c>
      <c r="E41" s="13">
        <f t="shared" si="3"/>
        <v>80.000000000000014</v>
      </c>
      <c r="F41" s="13">
        <f t="shared" si="3"/>
        <v>120</v>
      </c>
      <c r="G41" s="13">
        <f t="shared" si="3"/>
        <v>160.00000000000003</v>
      </c>
      <c r="H41" s="13">
        <f>E41*[1]战斗预期!$D$4</f>
        <v>800.00000000000011</v>
      </c>
      <c r="I41" s="13">
        <f>F41*[1]战斗预期!$D$4</f>
        <v>1200</v>
      </c>
      <c r="J41" s="13">
        <f>G41*[1]战斗预期!$D$4</f>
        <v>1600.0000000000002</v>
      </c>
    </row>
    <row r="42" spans="3:10" x14ac:dyDescent="0.15">
      <c r="C42" s="3">
        <v>23</v>
      </c>
      <c r="D42" s="3">
        <f>[1]属性成长!$D30</f>
        <v>115</v>
      </c>
      <c r="E42" s="13">
        <f t="shared" si="3"/>
        <v>83.333333333333343</v>
      </c>
      <c r="F42" s="13">
        <f t="shared" si="3"/>
        <v>125</v>
      </c>
      <c r="G42" s="13">
        <f t="shared" si="3"/>
        <v>166.66666666666669</v>
      </c>
      <c r="H42" s="13">
        <f>E42*[1]战斗预期!$D$4</f>
        <v>833.33333333333348</v>
      </c>
      <c r="I42" s="13">
        <f>F42*[1]战斗预期!$D$4</f>
        <v>1250</v>
      </c>
      <c r="J42" s="13">
        <f>G42*[1]战斗预期!$D$4</f>
        <v>1666.666666666667</v>
      </c>
    </row>
    <row r="43" spans="3:10" x14ac:dyDescent="0.15">
      <c r="C43" s="3">
        <v>24</v>
      </c>
      <c r="D43" s="3">
        <f>[1]属性成长!$D31</f>
        <v>120</v>
      </c>
      <c r="E43" s="13">
        <f t="shared" si="3"/>
        <v>86.666666666666686</v>
      </c>
      <c r="F43" s="13">
        <f t="shared" si="3"/>
        <v>130</v>
      </c>
      <c r="G43" s="13">
        <f t="shared" si="3"/>
        <v>173.33333333333337</v>
      </c>
      <c r="H43" s="13">
        <f>E43*[1]战斗预期!$D$4</f>
        <v>866.66666666666686</v>
      </c>
      <c r="I43" s="13">
        <f>F43*[1]战斗预期!$D$4</f>
        <v>1300</v>
      </c>
      <c r="J43" s="13">
        <f>G43*[1]战斗预期!$D$4</f>
        <v>1733.3333333333337</v>
      </c>
    </row>
    <row r="44" spans="3:10" x14ac:dyDescent="0.15">
      <c r="C44" s="3">
        <v>25</v>
      </c>
      <c r="D44" s="3">
        <f>[1]属性成长!$D32</f>
        <v>125</v>
      </c>
      <c r="E44" s="13">
        <f t="shared" si="3"/>
        <v>90.000000000000014</v>
      </c>
      <c r="F44" s="13">
        <f t="shared" si="3"/>
        <v>135</v>
      </c>
      <c r="G44" s="13">
        <f t="shared" si="3"/>
        <v>180.00000000000003</v>
      </c>
      <c r="H44" s="13">
        <f>E44*[1]战斗预期!$D$4</f>
        <v>900.00000000000011</v>
      </c>
      <c r="I44" s="13">
        <f>F44*[1]战斗预期!$D$4</f>
        <v>1350</v>
      </c>
      <c r="J44" s="13">
        <f>G44*[1]战斗预期!$D$4</f>
        <v>1800.0000000000002</v>
      </c>
    </row>
    <row r="45" spans="3:10" x14ac:dyDescent="0.15">
      <c r="C45" s="3">
        <v>26</v>
      </c>
      <c r="D45" s="3">
        <f>[1]属性成长!$D33</f>
        <v>130</v>
      </c>
      <c r="E45" s="13">
        <f t="shared" si="3"/>
        <v>93.333333333333343</v>
      </c>
      <c r="F45" s="13">
        <f t="shared" si="3"/>
        <v>140</v>
      </c>
      <c r="G45" s="13">
        <f t="shared" si="3"/>
        <v>186.66666666666669</v>
      </c>
      <c r="H45" s="13">
        <f>E45*[1]战斗预期!$D$4</f>
        <v>933.33333333333348</v>
      </c>
      <c r="I45" s="13">
        <f>F45*[1]战斗预期!$D$4</f>
        <v>1400</v>
      </c>
      <c r="J45" s="13">
        <f>G45*[1]战斗预期!$D$4</f>
        <v>1866.666666666667</v>
      </c>
    </row>
    <row r="46" spans="3:10" x14ac:dyDescent="0.15">
      <c r="C46" s="3">
        <v>27</v>
      </c>
      <c r="D46" s="3">
        <f>[1]属性成长!$D34</f>
        <v>135</v>
      </c>
      <c r="E46" s="13">
        <f t="shared" si="3"/>
        <v>96.666666666666686</v>
      </c>
      <c r="F46" s="13">
        <f t="shared" si="3"/>
        <v>145</v>
      </c>
      <c r="G46" s="13">
        <f t="shared" si="3"/>
        <v>193.33333333333337</v>
      </c>
      <c r="H46" s="13">
        <f>E46*[1]战斗预期!$D$4</f>
        <v>966.66666666666686</v>
      </c>
      <c r="I46" s="13">
        <f>F46*[1]战斗预期!$D$4</f>
        <v>1450</v>
      </c>
      <c r="J46" s="13">
        <f>G46*[1]战斗预期!$D$4</f>
        <v>1933.3333333333337</v>
      </c>
    </row>
    <row r="47" spans="3:10" x14ac:dyDescent="0.15">
      <c r="C47" s="3">
        <v>28</v>
      </c>
      <c r="D47" s="3">
        <f>[1]属性成长!$D35</f>
        <v>140</v>
      </c>
      <c r="E47" s="13">
        <f t="shared" si="3"/>
        <v>100.00000000000001</v>
      </c>
      <c r="F47" s="13">
        <f t="shared" si="3"/>
        <v>150</v>
      </c>
      <c r="G47" s="13">
        <f t="shared" si="3"/>
        <v>200.00000000000003</v>
      </c>
      <c r="H47" s="13">
        <f>E47*[1]战斗预期!$D$4</f>
        <v>1000.0000000000001</v>
      </c>
      <c r="I47" s="13">
        <f>F47*[1]战斗预期!$D$4</f>
        <v>1500</v>
      </c>
      <c r="J47" s="13">
        <f>G47*[1]战斗预期!$D$4</f>
        <v>2000.0000000000002</v>
      </c>
    </row>
    <row r="48" spans="3:10" x14ac:dyDescent="0.15">
      <c r="C48" s="3">
        <v>29</v>
      </c>
      <c r="D48" s="3">
        <f>[1]属性成长!$D36</f>
        <v>145</v>
      </c>
      <c r="E48" s="13">
        <f t="shared" si="3"/>
        <v>103.33333333333334</v>
      </c>
      <c r="F48" s="13">
        <f t="shared" si="3"/>
        <v>155</v>
      </c>
      <c r="G48" s="13">
        <f t="shared" si="3"/>
        <v>206.66666666666669</v>
      </c>
      <c r="H48" s="13">
        <f>E48*[1]战斗预期!$D$4</f>
        <v>1033.3333333333335</v>
      </c>
      <c r="I48" s="13">
        <f>F48*[1]战斗预期!$D$4</f>
        <v>1550</v>
      </c>
      <c r="J48" s="13">
        <f>G48*[1]战斗预期!$D$4</f>
        <v>2066.666666666667</v>
      </c>
    </row>
    <row r="49" spans="3:10" x14ac:dyDescent="0.15">
      <c r="C49" s="3">
        <v>30</v>
      </c>
      <c r="D49" s="3">
        <f>[1]属性成长!$D37</f>
        <v>150</v>
      </c>
      <c r="E49" s="13">
        <f t="shared" si="3"/>
        <v>106.66666666666669</v>
      </c>
      <c r="F49" s="13">
        <f t="shared" si="3"/>
        <v>160</v>
      </c>
      <c r="G49" s="13">
        <f t="shared" si="3"/>
        <v>213.33333333333337</v>
      </c>
      <c r="H49" s="13">
        <f>E49*[1]战斗预期!$D$4</f>
        <v>1066.666666666667</v>
      </c>
      <c r="I49" s="13">
        <f>F49*[1]战斗预期!$D$4</f>
        <v>1600</v>
      </c>
      <c r="J49" s="13">
        <f>G49*[1]战斗预期!$D$4</f>
        <v>2133.3333333333339</v>
      </c>
    </row>
    <row r="50" spans="3:10" x14ac:dyDescent="0.15">
      <c r="C50" s="3">
        <v>31</v>
      </c>
      <c r="D50" s="3">
        <f>[1]属性成长!$D38</f>
        <v>155</v>
      </c>
      <c r="E50" s="13">
        <f t="shared" si="3"/>
        <v>110.00000000000001</v>
      </c>
      <c r="F50" s="13">
        <f t="shared" si="3"/>
        <v>165</v>
      </c>
      <c r="G50" s="13">
        <f t="shared" si="3"/>
        <v>220.00000000000003</v>
      </c>
      <c r="H50" s="13">
        <f>E50*[1]战斗预期!$D$4</f>
        <v>1100.0000000000002</v>
      </c>
      <c r="I50" s="13">
        <f>F50*[1]战斗预期!$D$4</f>
        <v>1650</v>
      </c>
      <c r="J50" s="13">
        <f>G50*[1]战斗预期!$D$4</f>
        <v>2200.0000000000005</v>
      </c>
    </row>
    <row r="51" spans="3:10" x14ac:dyDescent="0.15">
      <c r="C51" s="3">
        <v>32</v>
      </c>
      <c r="D51" s="3">
        <f>[1]属性成长!$D39</f>
        <v>160</v>
      </c>
      <c r="E51" s="13">
        <f t="shared" si="3"/>
        <v>113.33333333333336</v>
      </c>
      <c r="F51" s="13">
        <f t="shared" si="3"/>
        <v>170</v>
      </c>
      <c r="G51" s="13">
        <f t="shared" si="3"/>
        <v>226.66666666666671</v>
      </c>
      <c r="H51" s="13">
        <f>E51*[1]战斗预期!$D$4</f>
        <v>1133.3333333333335</v>
      </c>
      <c r="I51" s="13">
        <f>F51*[1]战斗预期!$D$4</f>
        <v>1700</v>
      </c>
      <c r="J51" s="13">
        <f>G51*[1]战斗预期!$D$4</f>
        <v>2266.666666666667</v>
      </c>
    </row>
    <row r="52" spans="3:10" x14ac:dyDescent="0.15">
      <c r="C52" s="3">
        <v>33</v>
      </c>
      <c r="D52" s="3">
        <f>[1]属性成长!$D40</f>
        <v>165</v>
      </c>
      <c r="E52" s="13">
        <f t="shared" si="3"/>
        <v>116.66666666666669</v>
      </c>
      <c r="F52" s="13">
        <f t="shared" si="3"/>
        <v>175</v>
      </c>
      <c r="G52" s="13">
        <f t="shared" si="3"/>
        <v>233.33333333333337</v>
      </c>
      <c r="H52" s="13">
        <f>E52*[1]战斗预期!$D$4</f>
        <v>1166.666666666667</v>
      </c>
      <c r="I52" s="13">
        <f>F52*[1]战斗预期!$D$4</f>
        <v>1750</v>
      </c>
      <c r="J52" s="13">
        <f>G52*[1]战斗预期!$D$4</f>
        <v>2333.3333333333339</v>
      </c>
    </row>
    <row r="53" spans="3:10" x14ac:dyDescent="0.15">
      <c r="C53" s="3">
        <v>34</v>
      </c>
      <c r="D53" s="3">
        <f>[1]属性成长!$D41</f>
        <v>170</v>
      </c>
      <c r="E53" s="13">
        <f t="shared" si="3"/>
        <v>120.00000000000001</v>
      </c>
      <c r="F53" s="13">
        <f t="shared" si="3"/>
        <v>180</v>
      </c>
      <c r="G53" s="13">
        <f t="shared" si="3"/>
        <v>240.00000000000003</v>
      </c>
      <c r="H53" s="13">
        <f>E53*[1]战斗预期!$D$4</f>
        <v>1200.0000000000002</v>
      </c>
      <c r="I53" s="13">
        <f>F53*[1]战斗预期!$D$4</f>
        <v>1800</v>
      </c>
      <c r="J53" s="13">
        <f>G53*[1]战斗预期!$D$4</f>
        <v>2400.0000000000005</v>
      </c>
    </row>
    <row r="54" spans="3:10" x14ac:dyDescent="0.15">
      <c r="C54" s="3">
        <v>35</v>
      </c>
      <c r="D54" s="3">
        <f>[1]属性成长!$D42</f>
        <v>175</v>
      </c>
      <c r="E54" s="13">
        <f t="shared" si="3"/>
        <v>123.33333333333336</v>
      </c>
      <c r="F54" s="13">
        <f t="shared" si="3"/>
        <v>185</v>
      </c>
      <c r="G54" s="13">
        <f t="shared" si="3"/>
        <v>246.66666666666671</v>
      </c>
      <c r="H54" s="13">
        <f>E54*[1]战斗预期!$D$4</f>
        <v>1233.3333333333335</v>
      </c>
      <c r="I54" s="13">
        <f>F54*[1]战斗预期!$D$4</f>
        <v>1850</v>
      </c>
      <c r="J54" s="13">
        <f>G54*[1]战斗预期!$D$4</f>
        <v>2466.666666666667</v>
      </c>
    </row>
    <row r="55" spans="3:10" x14ac:dyDescent="0.15">
      <c r="C55" s="3">
        <v>36</v>
      </c>
      <c r="D55" s="3">
        <f>[1]属性成长!$D43</f>
        <v>180</v>
      </c>
      <c r="E55" s="13">
        <f t="shared" si="3"/>
        <v>126.66666666666669</v>
      </c>
      <c r="F55" s="13">
        <f t="shared" si="3"/>
        <v>190</v>
      </c>
      <c r="G55" s="13">
        <f t="shared" si="3"/>
        <v>253.33333333333337</v>
      </c>
      <c r="H55" s="13">
        <f>E55*[1]战斗预期!$D$4</f>
        <v>1266.666666666667</v>
      </c>
      <c r="I55" s="13">
        <f>F55*[1]战斗预期!$D$4</f>
        <v>1900</v>
      </c>
      <c r="J55" s="13">
        <f>G55*[1]战斗预期!$D$4</f>
        <v>2533.3333333333339</v>
      </c>
    </row>
    <row r="56" spans="3:10" x14ac:dyDescent="0.15">
      <c r="C56" s="3">
        <v>37</v>
      </c>
      <c r="D56" s="3">
        <f>[1]属性成长!$D44</f>
        <v>185</v>
      </c>
      <c r="E56" s="13">
        <f t="shared" si="3"/>
        <v>130</v>
      </c>
      <c r="F56" s="13">
        <f t="shared" si="3"/>
        <v>195</v>
      </c>
      <c r="G56" s="13">
        <f t="shared" si="3"/>
        <v>260</v>
      </c>
      <c r="H56" s="13">
        <f>E56*[1]战斗预期!$D$4</f>
        <v>1300</v>
      </c>
      <c r="I56" s="13">
        <f>F56*[1]战斗预期!$D$4</f>
        <v>1950</v>
      </c>
      <c r="J56" s="13">
        <f>G56*[1]战斗预期!$D$4</f>
        <v>2600</v>
      </c>
    </row>
    <row r="57" spans="3:10" x14ac:dyDescent="0.15">
      <c r="C57" s="3">
        <v>38</v>
      </c>
      <c r="D57" s="3">
        <f>[1]属性成长!$D45</f>
        <v>190</v>
      </c>
      <c r="E57" s="13">
        <f t="shared" si="3"/>
        <v>133.33333333333334</v>
      </c>
      <c r="F57" s="13">
        <f t="shared" si="3"/>
        <v>200</v>
      </c>
      <c r="G57" s="13">
        <f t="shared" si="3"/>
        <v>266.66666666666669</v>
      </c>
      <c r="H57" s="13">
        <f>E57*[1]战斗预期!$D$4</f>
        <v>1333.3333333333335</v>
      </c>
      <c r="I57" s="13">
        <f>F57*[1]战斗预期!$D$4</f>
        <v>2000</v>
      </c>
      <c r="J57" s="13">
        <f>G57*[1]战斗预期!$D$4</f>
        <v>2666.666666666667</v>
      </c>
    </row>
    <row r="58" spans="3:10" x14ac:dyDescent="0.15">
      <c r="C58" s="3">
        <v>39</v>
      </c>
      <c r="D58" s="3">
        <f>[1]属性成长!$D46</f>
        <v>195</v>
      </c>
      <c r="E58" s="13">
        <f t="shared" si="3"/>
        <v>136.66666666666669</v>
      </c>
      <c r="F58" s="13">
        <f t="shared" si="3"/>
        <v>205</v>
      </c>
      <c r="G58" s="13">
        <f t="shared" si="3"/>
        <v>273.33333333333337</v>
      </c>
      <c r="H58" s="13">
        <f>E58*[1]战斗预期!$D$4</f>
        <v>1366.666666666667</v>
      </c>
      <c r="I58" s="13">
        <f>F58*[1]战斗预期!$D$4</f>
        <v>2050</v>
      </c>
      <c r="J58" s="13">
        <f>G58*[1]战斗预期!$D$4</f>
        <v>2733.3333333333339</v>
      </c>
    </row>
    <row r="59" spans="3:10" x14ac:dyDescent="0.15">
      <c r="C59" s="3">
        <v>40</v>
      </c>
      <c r="D59" s="3">
        <f>[1]属性成长!$D47</f>
        <v>200</v>
      </c>
      <c r="E59" s="13">
        <f t="shared" si="3"/>
        <v>140</v>
      </c>
      <c r="F59" s="13">
        <f t="shared" si="3"/>
        <v>210</v>
      </c>
      <c r="G59" s="13">
        <f t="shared" si="3"/>
        <v>280</v>
      </c>
      <c r="H59" s="13">
        <f>E59*[1]战斗预期!$D$4</f>
        <v>1400</v>
      </c>
      <c r="I59" s="13">
        <f>F59*[1]战斗预期!$D$4</f>
        <v>2100</v>
      </c>
      <c r="J59" s="13">
        <f>G59*[1]战斗预期!$D$4</f>
        <v>2800</v>
      </c>
    </row>
    <row r="60" spans="3:10" x14ac:dyDescent="0.15">
      <c r="C60" s="3">
        <v>41</v>
      </c>
      <c r="D60" s="3">
        <f>[1]属性成长!$D48</f>
        <v>205</v>
      </c>
      <c r="E60" s="13">
        <f t="shared" ref="E60:G79" si="4">VLOOKUP(E$19,$D$8:$G$10,4,FALSE)/$B$3*$D60+VLOOKUP(E$19,$D$8:$G$10,3,FALSE)</f>
        <v>143.33333333333334</v>
      </c>
      <c r="F60" s="13">
        <f t="shared" si="4"/>
        <v>215</v>
      </c>
      <c r="G60" s="13">
        <f t="shared" si="4"/>
        <v>286.66666666666669</v>
      </c>
      <c r="H60" s="13">
        <f>E60*[1]战斗预期!$D$4</f>
        <v>1433.3333333333335</v>
      </c>
      <c r="I60" s="13">
        <f>F60*[1]战斗预期!$D$4</f>
        <v>2150</v>
      </c>
      <c r="J60" s="13">
        <f>G60*[1]战斗预期!$D$4</f>
        <v>2866.666666666667</v>
      </c>
    </row>
    <row r="61" spans="3:10" x14ac:dyDescent="0.15">
      <c r="C61" s="3">
        <v>42</v>
      </c>
      <c r="D61" s="3">
        <f>[1]属性成长!$D49</f>
        <v>210</v>
      </c>
      <c r="E61" s="13">
        <f t="shared" si="4"/>
        <v>146.66666666666669</v>
      </c>
      <c r="F61" s="13">
        <f t="shared" si="4"/>
        <v>220</v>
      </c>
      <c r="G61" s="13">
        <f t="shared" si="4"/>
        <v>293.33333333333337</v>
      </c>
      <c r="H61" s="13">
        <f>E61*[1]战斗预期!$D$4</f>
        <v>1466.666666666667</v>
      </c>
      <c r="I61" s="13">
        <f>F61*[1]战斗预期!$D$4</f>
        <v>2200</v>
      </c>
      <c r="J61" s="13">
        <f>G61*[1]战斗预期!$D$4</f>
        <v>2933.3333333333339</v>
      </c>
    </row>
    <row r="62" spans="3:10" x14ac:dyDescent="0.15">
      <c r="C62" s="3">
        <v>43</v>
      </c>
      <c r="D62" s="3">
        <f>[1]属性成长!$D50</f>
        <v>215</v>
      </c>
      <c r="E62" s="13">
        <f t="shared" si="4"/>
        <v>150</v>
      </c>
      <c r="F62" s="13">
        <f t="shared" si="4"/>
        <v>225</v>
      </c>
      <c r="G62" s="13">
        <f t="shared" si="4"/>
        <v>300</v>
      </c>
      <c r="H62" s="13">
        <f>E62*[1]战斗预期!$D$4</f>
        <v>1500</v>
      </c>
      <c r="I62" s="13">
        <f>F62*[1]战斗预期!$D$4</f>
        <v>2250</v>
      </c>
      <c r="J62" s="13">
        <f>G62*[1]战斗预期!$D$4</f>
        <v>3000</v>
      </c>
    </row>
    <row r="63" spans="3:10" x14ac:dyDescent="0.15">
      <c r="C63" s="3">
        <v>44</v>
      </c>
      <c r="D63" s="3">
        <f>[1]属性成长!$D51</f>
        <v>220</v>
      </c>
      <c r="E63" s="13">
        <f t="shared" si="4"/>
        <v>153.33333333333334</v>
      </c>
      <c r="F63" s="13">
        <f t="shared" si="4"/>
        <v>230</v>
      </c>
      <c r="G63" s="13">
        <f t="shared" si="4"/>
        <v>306.66666666666669</v>
      </c>
      <c r="H63" s="13">
        <f>E63*[1]战斗预期!$D$4</f>
        <v>1533.3333333333335</v>
      </c>
      <c r="I63" s="13">
        <f>F63*[1]战斗预期!$D$4</f>
        <v>2300</v>
      </c>
      <c r="J63" s="13">
        <f>G63*[1]战斗预期!$D$4</f>
        <v>3066.666666666667</v>
      </c>
    </row>
    <row r="64" spans="3:10" x14ac:dyDescent="0.15">
      <c r="C64" s="3">
        <v>45</v>
      </c>
      <c r="D64" s="3">
        <f>[1]属性成长!$D52</f>
        <v>225</v>
      </c>
      <c r="E64" s="13">
        <f t="shared" si="4"/>
        <v>156.66666666666669</v>
      </c>
      <c r="F64" s="13">
        <f t="shared" si="4"/>
        <v>235</v>
      </c>
      <c r="G64" s="13">
        <f t="shared" si="4"/>
        <v>313.33333333333337</v>
      </c>
      <c r="H64" s="13">
        <f>E64*[1]战斗预期!$D$4</f>
        <v>1566.666666666667</v>
      </c>
      <c r="I64" s="13">
        <f>F64*[1]战斗预期!$D$4</f>
        <v>2350</v>
      </c>
      <c r="J64" s="13">
        <f>G64*[1]战斗预期!$D$4</f>
        <v>3133.3333333333339</v>
      </c>
    </row>
    <row r="65" spans="3:10" x14ac:dyDescent="0.15">
      <c r="C65" s="3">
        <v>46</v>
      </c>
      <c r="D65" s="3">
        <f>[1]属性成长!$D53</f>
        <v>230</v>
      </c>
      <c r="E65" s="13">
        <f t="shared" si="4"/>
        <v>160</v>
      </c>
      <c r="F65" s="13">
        <f t="shared" si="4"/>
        <v>240</v>
      </c>
      <c r="G65" s="13">
        <f t="shared" si="4"/>
        <v>320</v>
      </c>
      <c r="H65" s="13">
        <f>E65*[1]战斗预期!$D$4</f>
        <v>1600</v>
      </c>
      <c r="I65" s="13">
        <f>F65*[1]战斗预期!$D$4</f>
        <v>2400</v>
      </c>
      <c r="J65" s="13">
        <f>G65*[1]战斗预期!$D$4</f>
        <v>3200</v>
      </c>
    </row>
    <row r="66" spans="3:10" x14ac:dyDescent="0.15">
      <c r="C66" s="3">
        <v>47</v>
      </c>
      <c r="D66" s="3">
        <f>[1]属性成长!$D54</f>
        <v>235</v>
      </c>
      <c r="E66" s="13">
        <f t="shared" si="4"/>
        <v>163.33333333333334</v>
      </c>
      <c r="F66" s="13">
        <f t="shared" si="4"/>
        <v>245</v>
      </c>
      <c r="G66" s="13">
        <f t="shared" si="4"/>
        <v>326.66666666666669</v>
      </c>
      <c r="H66" s="13">
        <f>E66*[1]战斗预期!$D$4</f>
        <v>1633.3333333333335</v>
      </c>
      <c r="I66" s="13">
        <f>F66*[1]战斗预期!$D$4</f>
        <v>2450</v>
      </c>
      <c r="J66" s="13">
        <f>G66*[1]战斗预期!$D$4</f>
        <v>3266.666666666667</v>
      </c>
    </row>
    <row r="67" spans="3:10" x14ac:dyDescent="0.15">
      <c r="C67" s="3">
        <v>48</v>
      </c>
      <c r="D67" s="3">
        <f>[1]属性成长!$D55</f>
        <v>240</v>
      </c>
      <c r="E67" s="13">
        <f t="shared" si="4"/>
        <v>166.66666666666669</v>
      </c>
      <c r="F67" s="13">
        <f t="shared" si="4"/>
        <v>250</v>
      </c>
      <c r="G67" s="13">
        <f t="shared" si="4"/>
        <v>333.33333333333337</v>
      </c>
      <c r="H67" s="13">
        <f>E67*[1]战斗预期!$D$4</f>
        <v>1666.666666666667</v>
      </c>
      <c r="I67" s="13">
        <f>F67*[1]战斗预期!$D$4</f>
        <v>2500</v>
      </c>
      <c r="J67" s="13">
        <f>G67*[1]战斗预期!$D$4</f>
        <v>3333.3333333333339</v>
      </c>
    </row>
    <row r="68" spans="3:10" x14ac:dyDescent="0.15">
      <c r="C68" s="3">
        <v>49</v>
      </c>
      <c r="D68" s="3">
        <f>[1]属性成长!$D56</f>
        <v>245</v>
      </c>
      <c r="E68" s="13">
        <f t="shared" si="4"/>
        <v>170</v>
      </c>
      <c r="F68" s="13">
        <f t="shared" si="4"/>
        <v>255</v>
      </c>
      <c r="G68" s="13">
        <f t="shared" si="4"/>
        <v>340</v>
      </c>
      <c r="H68" s="13">
        <f>E68*[1]战斗预期!$D$4</f>
        <v>1700</v>
      </c>
      <c r="I68" s="13">
        <f>F68*[1]战斗预期!$D$4</f>
        <v>2550</v>
      </c>
      <c r="J68" s="13">
        <f>G68*[1]战斗预期!$D$4</f>
        <v>3400</v>
      </c>
    </row>
    <row r="69" spans="3:10" x14ac:dyDescent="0.15">
      <c r="C69" s="3">
        <v>50</v>
      </c>
      <c r="D69" s="3">
        <f>[1]属性成长!$D57</f>
        <v>250</v>
      </c>
      <c r="E69" s="13">
        <f t="shared" si="4"/>
        <v>173.33333333333334</v>
      </c>
      <c r="F69" s="13">
        <f t="shared" si="4"/>
        <v>260</v>
      </c>
      <c r="G69" s="13">
        <f t="shared" si="4"/>
        <v>346.66666666666669</v>
      </c>
      <c r="H69" s="13">
        <f>E69*[1]战斗预期!$D$4</f>
        <v>1733.3333333333335</v>
      </c>
      <c r="I69" s="13">
        <f>F69*[1]战斗预期!$D$4</f>
        <v>2600</v>
      </c>
      <c r="J69" s="13">
        <f>G69*[1]战斗预期!$D$4</f>
        <v>3466.666666666667</v>
      </c>
    </row>
    <row r="70" spans="3:10" x14ac:dyDescent="0.15">
      <c r="C70" s="3">
        <v>51</v>
      </c>
      <c r="D70" s="3">
        <f>[1]属性成长!$D58</f>
        <v>255</v>
      </c>
      <c r="E70" s="13">
        <f t="shared" si="4"/>
        <v>176.66666666666669</v>
      </c>
      <c r="F70" s="13">
        <f t="shared" si="4"/>
        <v>265</v>
      </c>
      <c r="G70" s="13">
        <f t="shared" si="4"/>
        <v>353.33333333333337</v>
      </c>
      <c r="H70" s="13">
        <f>E70*[1]战斗预期!$D$4</f>
        <v>1766.666666666667</v>
      </c>
      <c r="I70" s="13">
        <f>F70*[1]战斗预期!$D$4</f>
        <v>2650</v>
      </c>
      <c r="J70" s="13">
        <f>G70*[1]战斗预期!$D$4</f>
        <v>3533.3333333333339</v>
      </c>
    </row>
    <row r="71" spans="3:10" x14ac:dyDescent="0.15">
      <c r="C71" s="3">
        <v>52</v>
      </c>
      <c r="D71" s="3">
        <f>[1]属性成长!$D59</f>
        <v>260</v>
      </c>
      <c r="E71" s="13">
        <f t="shared" si="4"/>
        <v>180</v>
      </c>
      <c r="F71" s="13">
        <f t="shared" si="4"/>
        <v>270</v>
      </c>
      <c r="G71" s="13">
        <f t="shared" si="4"/>
        <v>360</v>
      </c>
      <c r="H71" s="13">
        <f>E71*[1]战斗预期!$D$4</f>
        <v>1800</v>
      </c>
      <c r="I71" s="13">
        <f>F71*[1]战斗预期!$D$4</f>
        <v>2700</v>
      </c>
      <c r="J71" s="13">
        <f>G71*[1]战斗预期!$D$4</f>
        <v>3600</v>
      </c>
    </row>
    <row r="72" spans="3:10" x14ac:dyDescent="0.15">
      <c r="C72" s="3">
        <v>53</v>
      </c>
      <c r="D72" s="3">
        <f>[1]属性成长!$D60</f>
        <v>265</v>
      </c>
      <c r="E72" s="13">
        <f t="shared" si="4"/>
        <v>183.33333333333334</v>
      </c>
      <c r="F72" s="13">
        <f t="shared" si="4"/>
        <v>275</v>
      </c>
      <c r="G72" s="13">
        <f t="shared" si="4"/>
        <v>366.66666666666669</v>
      </c>
      <c r="H72" s="13">
        <f>E72*[1]战斗预期!$D$4</f>
        <v>1833.3333333333335</v>
      </c>
      <c r="I72" s="13">
        <f>F72*[1]战斗预期!$D$4</f>
        <v>2750</v>
      </c>
      <c r="J72" s="13">
        <f>G72*[1]战斗预期!$D$4</f>
        <v>3666.666666666667</v>
      </c>
    </row>
    <row r="73" spans="3:10" x14ac:dyDescent="0.15">
      <c r="C73" s="3">
        <v>54</v>
      </c>
      <c r="D73" s="3">
        <f>[1]属性成长!$D61</f>
        <v>270</v>
      </c>
      <c r="E73" s="13">
        <f t="shared" si="4"/>
        <v>186.66666666666669</v>
      </c>
      <c r="F73" s="13">
        <f t="shared" si="4"/>
        <v>280</v>
      </c>
      <c r="G73" s="13">
        <f t="shared" si="4"/>
        <v>373.33333333333337</v>
      </c>
      <c r="H73" s="13">
        <f>E73*[1]战斗预期!$D$4</f>
        <v>1866.666666666667</v>
      </c>
      <c r="I73" s="13">
        <f>F73*[1]战斗预期!$D$4</f>
        <v>2800</v>
      </c>
      <c r="J73" s="13">
        <f>G73*[1]战斗预期!$D$4</f>
        <v>3733.3333333333339</v>
      </c>
    </row>
    <row r="74" spans="3:10" x14ac:dyDescent="0.15">
      <c r="C74" s="3">
        <v>55</v>
      </c>
      <c r="D74" s="3">
        <f>[1]属性成长!$D62</f>
        <v>275</v>
      </c>
      <c r="E74" s="13">
        <f t="shared" si="4"/>
        <v>190</v>
      </c>
      <c r="F74" s="13">
        <f t="shared" si="4"/>
        <v>285</v>
      </c>
      <c r="G74" s="13">
        <f t="shared" si="4"/>
        <v>380</v>
      </c>
      <c r="H74" s="13">
        <f>E74*[1]战斗预期!$D$4</f>
        <v>1900</v>
      </c>
      <c r="I74" s="13">
        <f>F74*[1]战斗预期!$D$4</f>
        <v>2850</v>
      </c>
      <c r="J74" s="13">
        <f>G74*[1]战斗预期!$D$4</f>
        <v>3800</v>
      </c>
    </row>
    <row r="75" spans="3:10" x14ac:dyDescent="0.15">
      <c r="C75" s="3">
        <v>56</v>
      </c>
      <c r="D75" s="3">
        <f>[1]属性成长!$D63</f>
        <v>280</v>
      </c>
      <c r="E75" s="13">
        <f t="shared" si="4"/>
        <v>193.33333333333334</v>
      </c>
      <c r="F75" s="13">
        <f t="shared" si="4"/>
        <v>290</v>
      </c>
      <c r="G75" s="13">
        <f t="shared" si="4"/>
        <v>386.66666666666669</v>
      </c>
      <c r="H75" s="13">
        <f>E75*[1]战斗预期!$D$4</f>
        <v>1933.3333333333335</v>
      </c>
      <c r="I75" s="13">
        <f>F75*[1]战斗预期!$D$4</f>
        <v>2900</v>
      </c>
      <c r="J75" s="13">
        <f>G75*[1]战斗预期!$D$4</f>
        <v>3866.666666666667</v>
      </c>
    </row>
    <row r="76" spans="3:10" x14ac:dyDescent="0.15">
      <c r="C76" s="3">
        <v>57</v>
      </c>
      <c r="D76" s="3">
        <f>[1]属性成长!$D64</f>
        <v>285</v>
      </c>
      <c r="E76" s="13">
        <f t="shared" si="4"/>
        <v>196.66666666666669</v>
      </c>
      <c r="F76" s="13">
        <f t="shared" si="4"/>
        <v>295</v>
      </c>
      <c r="G76" s="13">
        <f t="shared" si="4"/>
        <v>393.33333333333337</v>
      </c>
      <c r="H76" s="13">
        <f>E76*[1]战斗预期!$D$4</f>
        <v>1966.666666666667</v>
      </c>
      <c r="I76" s="13">
        <f>F76*[1]战斗预期!$D$4</f>
        <v>2950</v>
      </c>
      <c r="J76" s="13">
        <f>G76*[1]战斗预期!$D$4</f>
        <v>3933.3333333333339</v>
      </c>
    </row>
    <row r="77" spans="3:10" x14ac:dyDescent="0.15">
      <c r="C77" s="3">
        <v>58</v>
      </c>
      <c r="D77" s="3">
        <f>[1]属性成长!$D65</f>
        <v>290</v>
      </c>
      <c r="E77" s="13">
        <f t="shared" si="4"/>
        <v>200</v>
      </c>
      <c r="F77" s="13">
        <f t="shared" si="4"/>
        <v>300</v>
      </c>
      <c r="G77" s="13">
        <f t="shared" si="4"/>
        <v>400</v>
      </c>
      <c r="H77" s="13">
        <f>E77*[1]战斗预期!$D$4</f>
        <v>2000</v>
      </c>
      <c r="I77" s="13">
        <f>F77*[1]战斗预期!$D$4</f>
        <v>3000</v>
      </c>
      <c r="J77" s="13">
        <f>G77*[1]战斗预期!$D$4</f>
        <v>4000</v>
      </c>
    </row>
    <row r="78" spans="3:10" x14ac:dyDescent="0.15">
      <c r="C78" s="3">
        <v>59</v>
      </c>
      <c r="D78" s="3">
        <f>[1]属性成长!$D66</f>
        <v>295</v>
      </c>
      <c r="E78" s="13">
        <f t="shared" si="4"/>
        <v>203.33333333333334</v>
      </c>
      <c r="F78" s="13">
        <f t="shared" si="4"/>
        <v>305</v>
      </c>
      <c r="G78" s="13">
        <f t="shared" si="4"/>
        <v>406.66666666666669</v>
      </c>
      <c r="H78" s="13">
        <f>E78*[1]战斗预期!$D$4</f>
        <v>2033.3333333333335</v>
      </c>
      <c r="I78" s="13">
        <f>F78*[1]战斗预期!$D$4</f>
        <v>3050</v>
      </c>
      <c r="J78" s="13">
        <f>G78*[1]战斗预期!$D$4</f>
        <v>4066.666666666667</v>
      </c>
    </row>
    <row r="79" spans="3:10" x14ac:dyDescent="0.15">
      <c r="C79" s="3">
        <v>60</v>
      </c>
      <c r="D79" s="3">
        <f>[1]属性成长!$D67</f>
        <v>300</v>
      </c>
      <c r="E79" s="13">
        <f t="shared" si="4"/>
        <v>206.66666666666669</v>
      </c>
      <c r="F79" s="13">
        <f t="shared" si="4"/>
        <v>310</v>
      </c>
      <c r="G79" s="13">
        <f t="shared" si="4"/>
        <v>413.33333333333337</v>
      </c>
      <c r="H79" s="13">
        <f>E79*[1]战斗预期!$D$4</f>
        <v>2066.666666666667</v>
      </c>
      <c r="I79" s="13">
        <f>F79*[1]战斗预期!$D$4</f>
        <v>3100</v>
      </c>
      <c r="J79" s="13">
        <f>G79*[1]战斗预期!$D$4</f>
        <v>4133.3333333333339</v>
      </c>
    </row>
    <row r="80" spans="3:10" x14ac:dyDescent="0.15">
      <c r="C80" s="3">
        <v>61</v>
      </c>
      <c r="D80" s="3">
        <f>[1]属性成长!$D68</f>
        <v>305</v>
      </c>
      <c r="E80" s="13">
        <f t="shared" ref="E80:G99" si="5">VLOOKUP(E$19,$D$8:$G$10,4,FALSE)/$B$3*$D80+VLOOKUP(E$19,$D$8:$G$10,3,FALSE)</f>
        <v>210</v>
      </c>
      <c r="F80" s="13">
        <f t="shared" si="5"/>
        <v>315</v>
      </c>
      <c r="G80" s="13">
        <f t="shared" si="5"/>
        <v>420</v>
      </c>
      <c r="H80" s="13">
        <f>E80*[1]战斗预期!$D$4</f>
        <v>2100</v>
      </c>
      <c r="I80" s="13">
        <f>F80*[1]战斗预期!$D$4</f>
        <v>3150</v>
      </c>
      <c r="J80" s="13">
        <f>G80*[1]战斗预期!$D$4</f>
        <v>4200</v>
      </c>
    </row>
    <row r="81" spans="3:10" x14ac:dyDescent="0.15">
      <c r="C81" s="3">
        <v>62</v>
      </c>
      <c r="D81" s="3">
        <f>[1]属性成长!$D69</f>
        <v>310</v>
      </c>
      <c r="E81" s="13">
        <f t="shared" si="5"/>
        <v>213.33333333333334</v>
      </c>
      <c r="F81" s="13">
        <f t="shared" si="5"/>
        <v>320</v>
      </c>
      <c r="G81" s="13">
        <f t="shared" si="5"/>
        <v>426.66666666666669</v>
      </c>
      <c r="H81" s="13">
        <f>E81*[1]战斗预期!$D$4</f>
        <v>2133.3333333333335</v>
      </c>
      <c r="I81" s="13">
        <f>F81*[1]战斗预期!$D$4</f>
        <v>3200</v>
      </c>
      <c r="J81" s="13">
        <f>G81*[1]战斗预期!$D$4</f>
        <v>4266.666666666667</v>
      </c>
    </row>
    <row r="82" spans="3:10" x14ac:dyDescent="0.15">
      <c r="C82" s="3">
        <v>63</v>
      </c>
      <c r="D82" s="3">
        <f>[1]属性成长!$D70</f>
        <v>315</v>
      </c>
      <c r="E82" s="13">
        <f t="shared" si="5"/>
        <v>216.66666666666669</v>
      </c>
      <c r="F82" s="13">
        <f t="shared" si="5"/>
        <v>325</v>
      </c>
      <c r="G82" s="13">
        <f t="shared" si="5"/>
        <v>433.33333333333337</v>
      </c>
      <c r="H82" s="13">
        <f>E82*[1]战斗预期!$D$4</f>
        <v>2166.666666666667</v>
      </c>
      <c r="I82" s="13">
        <f>F82*[1]战斗预期!$D$4</f>
        <v>3250</v>
      </c>
      <c r="J82" s="13">
        <f>G82*[1]战斗预期!$D$4</f>
        <v>4333.3333333333339</v>
      </c>
    </row>
    <row r="83" spans="3:10" x14ac:dyDescent="0.15">
      <c r="C83" s="3">
        <v>64</v>
      </c>
      <c r="D83" s="3">
        <f>[1]属性成长!$D71</f>
        <v>320</v>
      </c>
      <c r="E83" s="13">
        <f t="shared" si="5"/>
        <v>220.00000000000003</v>
      </c>
      <c r="F83" s="13">
        <f t="shared" si="5"/>
        <v>330</v>
      </c>
      <c r="G83" s="13">
        <f t="shared" si="5"/>
        <v>440.00000000000006</v>
      </c>
      <c r="H83" s="13">
        <f>E83*[1]战斗预期!$D$4</f>
        <v>2200.0000000000005</v>
      </c>
      <c r="I83" s="13">
        <f>F83*[1]战斗预期!$D$4</f>
        <v>3300</v>
      </c>
      <c r="J83" s="13">
        <f>G83*[1]战斗预期!$D$4</f>
        <v>4400.0000000000009</v>
      </c>
    </row>
    <row r="84" spans="3:10" x14ac:dyDescent="0.15">
      <c r="C84" s="3">
        <v>65</v>
      </c>
      <c r="D84" s="3">
        <f>[1]属性成长!$D72</f>
        <v>325</v>
      </c>
      <c r="E84" s="13">
        <f t="shared" si="5"/>
        <v>223.33333333333334</v>
      </c>
      <c r="F84" s="13">
        <f t="shared" si="5"/>
        <v>335</v>
      </c>
      <c r="G84" s="13">
        <f t="shared" si="5"/>
        <v>446.66666666666669</v>
      </c>
      <c r="H84" s="13">
        <f>E84*[1]战斗预期!$D$4</f>
        <v>2233.3333333333335</v>
      </c>
      <c r="I84" s="13">
        <f>F84*[1]战斗预期!$D$4</f>
        <v>3350</v>
      </c>
      <c r="J84" s="13">
        <f>G84*[1]战斗预期!$D$4</f>
        <v>4466.666666666667</v>
      </c>
    </row>
    <row r="85" spans="3:10" x14ac:dyDescent="0.15">
      <c r="C85" s="3">
        <v>66</v>
      </c>
      <c r="D85" s="3">
        <f>[1]属性成长!$D73</f>
        <v>330</v>
      </c>
      <c r="E85" s="13">
        <f t="shared" si="5"/>
        <v>226.66666666666669</v>
      </c>
      <c r="F85" s="13">
        <f t="shared" si="5"/>
        <v>340</v>
      </c>
      <c r="G85" s="13">
        <f t="shared" si="5"/>
        <v>453.33333333333337</v>
      </c>
      <c r="H85" s="13">
        <f>E85*[1]战斗预期!$D$4</f>
        <v>2266.666666666667</v>
      </c>
      <c r="I85" s="13">
        <f>F85*[1]战斗预期!$D$4</f>
        <v>3400</v>
      </c>
      <c r="J85" s="13">
        <f>G85*[1]战斗预期!$D$4</f>
        <v>4533.3333333333339</v>
      </c>
    </row>
    <row r="86" spans="3:10" x14ac:dyDescent="0.15">
      <c r="C86" s="3">
        <v>67</v>
      </c>
      <c r="D86" s="3">
        <f>[1]属性成长!$D74</f>
        <v>335</v>
      </c>
      <c r="E86" s="13">
        <f t="shared" si="5"/>
        <v>230.00000000000003</v>
      </c>
      <c r="F86" s="13">
        <f t="shared" si="5"/>
        <v>345</v>
      </c>
      <c r="G86" s="13">
        <f t="shared" si="5"/>
        <v>460.00000000000006</v>
      </c>
      <c r="H86" s="13">
        <f>E86*[1]战斗预期!$D$4</f>
        <v>2300.0000000000005</v>
      </c>
      <c r="I86" s="13">
        <f>F86*[1]战斗预期!$D$4</f>
        <v>3450</v>
      </c>
      <c r="J86" s="13">
        <f>G86*[1]战斗预期!$D$4</f>
        <v>4600.0000000000009</v>
      </c>
    </row>
    <row r="87" spans="3:10" x14ac:dyDescent="0.15">
      <c r="C87" s="3">
        <v>68</v>
      </c>
      <c r="D87" s="3">
        <f>[1]属性成长!$D75</f>
        <v>340</v>
      </c>
      <c r="E87" s="13">
        <f t="shared" si="5"/>
        <v>233.33333333333334</v>
      </c>
      <c r="F87" s="13">
        <f t="shared" si="5"/>
        <v>350</v>
      </c>
      <c r="G87" s="13">
        <f t="shared" si="5"/>
        <v>466.66666666666669</v>
      </c>
      <c r="H87" s="13">
        <f>E87*[1]战斗预期!$D$4</f>
        <v>2333.3333333333335</v>
      </c>
      <c r="I87" s="13">
        <f>F87*[1]战斗预期!$D$4</f>
        <v>3500</v>
      </c>
      <c r="J87" s="13">
        <f>G87*[1]战斗预期!$D$4</f>
        <v>4666.666666666667</v>
      </c>
    </row>
    <row r="88" spans="3:10" x14ac:dyDescent="0.15">
      <c r="C88" s="3">
        <v>69</v>
      </c>
      <c r="D88" s="3">
        <f>[1]属性成长!$D76</f>
        <v>345</v>
      </c>
      <c r="E88" s="13">
        <f t="shared" si="5"/>
        <v>236.66666666666669</v>
      </c>
      <c r="F88" s="13">
        <f t="shared" si="5"/>
        <v>355</v>
      </c>
      <c r="G88" s="13">
        <f t="shared" si="5"/>
        <v>473.33333333333337</v>
      </c>
      <c r="H88" s="13">
        <f>E88*[1]战斗预期!$D$4</f>
        <v>2366.666666666667</v>
      </c>
      <c r="I88" s="13">
        <f>F88*[1]战斗预期!$D$4</f>
        <v>3550</v>
      </c>
      <c r="J88" s="13">
        <f>G88*[1]战斗预期!$D$4</f>
        <v>4733.3333333333339</v>
      </c>
    </row>
    <row r="89" spans="3:10" x14ac:dyDescent="0.15">
      <c r="C89" s="3">
        <v>70</v>
      </c>
      <c r="D89" s="3">
        <f>[1]属性成长!$D77</f>
        <v>350</v>
      </c>
      <c r="E89" s="13">
        <f t="shared" si="5"/>
        <v>240.00000000000003</v>
      </c>
      <c r="F89" s="13">
        <f t="shared" si="5"/>
        <v>360</v>
      </c>
      <c r="G89" s="13">
        <f t="shared" si="5"/>
        <v>480.00000000000006</v>
      </c>
      <c r="H89" s="13">
        <f>E89*[1]战斗预期!$D$4</f>
        <v>2400.0000000000005</v>
      </c>
      <c r="I89" s="13">
        <f>F89*[1]战斗预期!$D$4</f>
        <v>3600</v>
      </c>
      <c r="J89" s="13">
        <f>G89*[1]战斗预期!$D$4</f>
        <v>4800.0000000000009</v>
      </c>
    </row>
    <row r="90" spans="3:10" x14ac:dyDescent="0.15">
      <c r="C90" s="3">
        <v>71</v>
      </c>
      <c r="D90" s="3">
        <f>[1]属性成长!$D78</f>
        <v>355</v>
      </c>
      <c r="E90" s="13">
        <f t="shared" si="5"/>
        <v>243.33333333333334</v>
      </c>
      <c r="F90" s="13">
        <f t="shared" si="5"/>
        <v>365</v>
      </c>
      <c r="G90" s="13">
        <f t="shared" si="5"/>
        <v>486.66666666666669</v>
      </c>
      <c r="H90" s="13">
        <f>E90*[1]战斗预期!$D$4</f>
        <v>2433.3333333333335</v>
      </c>
      <c r="I90" s="13">
        <f>F90*[1]战斗预期!$D$4</f>
        <v>3650</v>
      </c>
      <c r="J90" s="13">
        <f>G90*[1]战斗预期!$D$4</f>
        <v>4866.666666666667</v>
      </c>
    </row>
    <row r="91" spans="3:10" x14ac:dyDescent="0.15">
      <c r="C91" s="3">
        <v>72</v>
      </c>
      <c r="D91" s="3">
        <f>[1]属性成长!$D79</f>
        <v>360</v>
      </c>
      <c r="E91" s="13">
        <f t="shared" si="5"/>
        <v>246.66666666666669</v>
      </c>
      <c r="F91" s="13">
        <f t="shared" si="5"/>
        <v>370</v>
      </c>
      <c r="G91" s="13">
        <f t="shared" si="5"/>
        <v>493.33333333333337</v>
      </c>
      <c r="H91" s="13">
        <f>E91*[1]战斗预期!$D$4</f>
        <v>2466.666666666667</v>
      </c>
      <c r="I91" s="13">
        <f>F91*[1]战斗预期!$D$4</f>
        <v>3700</v>
      </c>
      <c r="J91" s="13">
        <f>G91*[1]战斗预期!$D$4</f>
        <v>4933.3333333333339</v>
      </c>
    </row>
    <row r="92" spans="3:10" x14ac:dyDescent="0.15">
      <c r="C92" s="3">
        <v>73</v>
      </c>
      <c r="D92" s="3">
        <f>[1]属性成长!$D80</f>
        <v>365</v>
      </c>
      <c r="E92" s="13">
        <f t="shared" si="5"/>
        <v>250.00000000000003</v>
      </c>
      <c r="F92" s="13">
        <f t="shared" si="5"/>
        <v>375</v>
      </c>
      <c r="G92" s="13">
        <f t="shared" si="5"/>
        <v>500.00000000000006</v>
      </c>
      <c r="H92" s="13">
        <f>E92*[1]战斗预期!$D$4</f>
        <v>2500.0000000000005</v>
      </c>
      <c r="I92" s="13">
        <f>F92*[1]战斗预期!$D$4</f>
        <v>3750</v>
      </c>
      <c r="J92" s="13">
        <f>G92*[1]战斗预期!$D$4</f>
        <v>5000.0000000000009</v>
      </c>
    </row>
    <row r="93" spans="3:10" x14ac:dyDescent="0.15">
      <c r="C93" s="3">
        <v>74</v>
      </c>
      <c r="D93" s="3">
        <f>[1]属性成长!$D81</f>
        <v>370</v>
      </c>
      <c r="E93" s="13">
        <f t="shared" si="5"/>
        <v>253.33333333333334</v>
      </c>
      <c r="F93" s="13">
        <f t="shared" si="5"/>
        <v>380</v>
      </c>
      <c r="G93" s="13">
        <f t="shared" si="5"/>
        <v>506.66666666666669</v>
      </c>
      <c r="H93" s="13">
        <f>E93*[1]战斗预期!$D$4</f>
        <v>2533.3333333333335</v>
      </c>
      <c r="I93" s="13">
        <f>F93*[1]战斗预期!$D$4</f>
        <v>3800</v>
      </c>
      <c r="J93" s="13">
        <f>G93*[1]战斗预期!$D$4</f>
        <v>5066.666666666667</v>
      </c>
    </row>
    <row r="94" spans="3:10" x14ac:dyDescent="0.15">
      <c r="C94" s="3">
        <v>75</v>
      </c>
      <c r="D94" s="3">
        <f>[1]属性成长!$D82</f>
        <v>375</v>
      </c>
      <c r="E94" s="13">
        <f t="shared" si="5"/>
        <v>256.66666666666669</v>
      </c>
      <c r="F94" s="13">
        <f t="shared" si="5"/>
        <v>385</v>
      </c>
      <c r="G94" s="13">
        <f t="shared" si="5"/>
        <v>513.33333333333337</v>
      </c>
      <c r="H94" s="13">
        <f>E94*[1]战斗预期!$D$4</f>
        <v>2566.666666666667</v>
      </c>
      <c r="I94" s="13">
        <f>F94*[1]战斗预期!$D$4</f>
        <v>3850</v>
      </c>
      <c r="J94" s="13">
        <f>G94*[1]战斗预期!$D$4</f>
        <v>5133.3333333333339</v>
      </c>
    </row>
    <row r="95" spans="3:10" x14ac:dyDescent="0.15">
      <c r="C95" s="3">
        <v>76</v>
      </c>
      <c r="D95" s="3">
        <f>[1]属性成长!$D83</f>
        <v>380</v>
      </c>
      <c r="E95" s="13">
        <f t="shared" si="5"/>
        <v>260.00000000000006</v>
      </c>
      <c r="F95" s="13">
        <f t="shared" si="5"/>
        <v>390</v>
      </c>
      <c r="G95" s="13">
        <f t="shared" si="5"/>
        <v>520.00000000000011</v>
      </c>
      <c r="H95" s="13">
        <f>E95*[1]战斗预期!$D$4</f>
        <v>2600.0000000000005</v>
      </c>
      <c r="I95" s="13">
        <f>F95*[1]战斗预期!$D$4</f>
        <v>3900</v>
      </c>
      <c r="J95" s="13">
        <f>G95*[1]战斗预期!$D$4</f>
        <v>5200.0000000000009</v>
      </c>
    </row>
    <row r="96" spans="3:10" x14ac:dyDescent="0.15">
      <c r="C96" s="3">
        <v>77</v>
      </c>
      <c r="D96" s="3">
        <f>[1]属性成长!$D84</f>
        <v>385</v>
      </c>
      <c r="E96" s="13">
        <f t="shared" si="5"/>
        <v>263.33333333333337</v>
      </c>
      <c r="F96" s="13">
        <f t="shared" si="5"/>
        <v>395</v>
      </c>
      <c r="G96" s="13">
        <f t="shared" si="5"/>
        <v>526.66666666666674</v>
      </c>
      <c r="H96" s="13">
        <f>E96*[1]战斗预期!$D$4</f>
        <v>2633.3333333333339</v>
      </c>
      <c r="I96" s="13">
        <f>F96*[1]战斗预期!$D$4</f>
        <v>3950</v>
      </c>
      <c r="J96" s="13">
        <f>G96*[1]战斗预期!$D$4</f>
        <v>5266.6666666666679</v>
      </c>
    </row>
    <row r="97" spans="3:10" x14ac:dyDescent="0.15">
      <c r="C97" s="3">
        <v>78</v>
      </c>
      <c r="D97" s="3">
        <f>[1]属性成长!$D85</f>
        <v>390</v>
      </c>
      <c r="E97" s="13">
        <f t="shared" si="5"/>
        <v>266.66666666666674</v>
      </c>
      <c r="F97" s="13">
        <f t="shared" si="5"/>
        <v>400</v>
      </c>
      <c r="G97" s="13">
        <f t="shared" si="5"/>
        <v>533.33333333333348</v>
      </c>
      <c r="H97" s="13">
        <f>E97*[1]战斗预期!$D$4</f>
        <v>2666.6666666666674</v>
      </c>
      <c r="I97" s="13">
        <f>F97*[1]战斗预期!$D$4</f>
        <v>4000</v>
      </c>
      <c r="J97" s="13">
        <f>G97*[1]战斗预期!$D$4</f>
        <v>5333.3333333333348</v>
      </c>
    </row>
    <row r="98" spans="3:10" x14ac:dyDescent="0.15">
      <c r="C98" s="3">
        <v>79</v>
      </c>
      <c r="D98" s="3">
        <f>[1]属性成长!$D86</f>
        <v>395</v>
      </c>
      <c r="E98" s="13">
        <f t="shared" si="5"/>
        <v>270.00000000000006</v>
      </c>
      <c r="F98" s="13">
        <f t="shared" si="5"/>
        <v>405</v>
      </c>
      <c r="G98" s="13">
        <f t="shared" si="5"/>
        <v>540.00000000000011</v>
      </c>
      <c r="H98" s="13">
        <f>E98*[1]战斗预期!$D$4</f>
        <v>2700.0000000000005</v>
      </c>
      <c r="I98" s="13">
        <f>F98*[1]战斗预期!$D$4</f>
        <v>4050</v>
      </c>
      <c r="J98" s="13">
        <f>G98*[1]战斗预期!$D$4</f>
        <v>5400.0000000000009</v>
      </c>
    </row>
    <row r="99" spans="3:10" x14ac:dyDescent="0.15">
      <c r="C99" s="3">
        <v>80</v>
      </c>
      <c r="D99" s="3">
        <f>[1]属性成长!$D87</f>
        <v>400</v>
      </c>
      <c r="E99" s="13">
        <f t="shared" si="5"/>
        <v>273.33333333333337</v>
      </c>
      <c r="F99" s="13">
        <f t="shared" si="5"/>
        <v>410</v>
      </c>
      <c r="G99" s="13">
        <f t="shared" si="5"/>
        <v>546.66666666666674</v>
      </c>
      <c r="H99" s="13">
        <f>E99*[1]战斗预期!$D$4</f>
        <v>2733.3333333333339</v>
      </c>
      <c r="I99" s="13">
        <f>F99*[1]战斗预期!$D$4</f>
        <v>4100</v>
      </c>
      <c r="J99" s="13">
        <f>G99*[1]战斗预期!$D$4</f>
        <v>5466.6666666666679</v>
      </c>
    </row>
    <row r="100" spans="3:10" x14ac:dyDescent="0.15">
      <c r="C100" s="3">
        <v>81</v>
      </c>
      <c r="D100" s="3">
        <f>[1]属性成长!$D88</f>
        <v>405</v>
      </c>
      <c r="E100" s="13">
        <f t="shared" ref="E100:G119" si="6">VLOOKUP(E$19,$D$8:$G$10,4,FALSE)/$B$3*$D100+VLOOKUP(E$19,$D$8:$G$10,3,FALSE)</f>
        <v>276.66666666666674</v>
      </c>
      <c r="F100" s="13">
        <f t="shared" si="6"/>
        <v>415</v>
      </c>
      <c r="G100" s="13">
        <f t="shared" si="6"/>
        <v>553.33333333333348</v>
      </c>
      <c r="H100" s="13">
        <f>E100*[1]战斗预期!$D$4</f>
        <v>2766.6666666666674</v>
      </c>
      <c r="I100" s="13">
        <f>F100*[1]战斗预期!$D$4</f>
        <v>4150</v>
      </c>
      <c r="J100" s="13">
        <f>G100*[1]战斗预期!$D$4</f>
        <v>5533.3333333333348</v>
      </c>
    </row>
    <row r="101" spans="3:10" x14ac:dyDescent="0.15">
      <c r="C101" s="3">
        <v>82</v>
      </c>
      <c r="D101" s="3">
        <f>[1]属性成长!$D89</f>
        <v>410</v>
      </c>
      <c r="E101" s="13">
        <f t="shared" si="6"/>
        <v>280.00000000000006</v>
      </c>
      <c r="F101" s="13">
        <f t="shared" si="6"/>
        <v>420</v>
      </c>
      <c r="G101" s="13">
        <f t="shared" si="6"/>
        <v>560.00000000000011</v>
      </c>
      <c r="H101" s="13">
        <f>E101*[1]战斗预期!$D$4</f>
        <v>2800.0000000000005</v>
      </c>
      <c r="I101" s="13">
        <f>F101*[1]战斗预期!$D$4</f>
        <v>4200</v>
      </c>
      <c r="J101" s="13">
        <f>G101*[1]战斗预期!$D$4</f>
        <v>5600.0000000000009</v>
      </c>
    </row>
    <row r="102" spans="3:10" x14ac:dyDescent="0.15">
      <c r="C102" s="3">
        <v>83</v>
      </c>
      <c r="D102" s="3">
        <f>[1]属性成长!$D90</f>
        <v>415</v>
      </c>
      <c r="E102" s="13">
        <f t="shared" si="6"/>
        <v>283.33333333333337</v>
      </c>
      <c r="F102" s="13">
        <f t="shared" si="6"/>
        <v>425</v>
      </c>
      <c r="G102" s="13">
        <f t="shared" si="6"/>
        <v>566.66666666666674</v>
      </c>
      <c r="H102" s="13">
        <f>E102*[1]战斗预期!$D$4</f>
        <v>2833.3333333333339</v>
      </c>
      <c r="I102" s="13">
        <f>F102*[1]战斗预期!$D$4</f>
        <v>4250</v>
      </c>
      <c r="J102" s="13">
        <f>G102*[1]战斗预期!$D$4</f>
        <v>5666.6666666666679</v>
      </c>
    </row>
    <row r="103" spans="3:10" x14ac:dyDescent="0.15">
      <c r="C103" s="3">
        <v>84</v>
      </c>
      <c r="D103" s="3">
        <f>[1]属性成长!$D91</f>
        <v>420</v>
      </c>
      <c r="E103" s="13">
        <f t="shared" si="6"/>
        <v>286.66666666666674</v>
      </c>
      <c r="F103" s="13">
        <f t="shared" si="6"/>
        <v>430</v>
      </c>
      <c r="G103" s="13">
        <f t="shared" si="6"/>
        <v>573.33333333333348</v>
      </c>
      <c r="H103" s="13">
        <f>E103*[1]战斗预期!$D$4</f>
        <v>2866.6666666666674</v>
      </c>
      <c r="I103" s="13">
        <f>F103*[1]战斗预期!$D$4</f>
        <v>4300</v>
      </c>
      <c r="J103" s="13">
        <f>G103*[1]战斗预期!$D$4</f>
        <v>5733.3333333333348</v>
      </c>
    </row>
    <row r="104" spans="3:10" x14ac:dyDescent="0.15">
      <c r="C104" s="3">
        <v>85</v>
      </c>
      <c r="D104" s="3">
        <f>[1]属性成长!$D92</f>
        <v>425</v>
      </c>
      <c r="E104" s="13">
        <f t="shared" si="6"/>
        <v>290.00000000000006</v>
      </c>
      <c r="F104" s="13">
        <f t="shared" si="6"/>
        <v>435</v>
      </c>
      <c r="G104" s="13">
        <f t="shared" si="6"/>
        <v>580.00000000000011</v>
      </c>
      <c r="H104" s="13">
        <f>E104*[1]战斗预期!$D$4</f>
        <v>2900.0000000000005</v>
      </c>
      <c r="I104" s="13">
        <f>F104*[1]战斗预期!$D$4</f>
        <v>4350</v>
      </c>
      <c r="J104" s="13">
        <f>G104*[1]战斗预期!$D$4</f>
        <v>5800.0000000000009</v>
      </c>
    </row>
    <row r="105" spans="3:10" x14ac:dyDescent="0.15">
      <c r="C105" s="3">
        <v>86</v>
      </c>
      <c r="D105" s="3">
        <f>[1]属性成长!$D93</f>
        <v>430</v>
      </c>
      <c r="E105" s="13">
        <f t="shared" si="6"/>
        <v>293.33333333333337</v>
      </c>
      <c r="F105" s="13">
        <f t="shared" si="6"/>
        <v>440</v>
      </c>
      <c r="G105" s="13">
        <f t="shared" si="6"/>
        <v>586.66666666666674</v>
      </c>
      <c r="H105" s="13">
        <f>E105*[1]战斗预期!$D$4</f>
        <v>2933.3333333333339</v>
      </c>
      <c r="I105" s="13">
        <f>F105*[1]战斗预期!$D$4</f>
        <v>4400</v>
      </c>
      <c r="J105" s="13">
        <f>G105*[1]战斗预期!$D$4</f>
        <v>5866.6666666666679</v>
      </c>
    </row>
    <row r="106" spans="3:10" x14ac:dyDescent="0.15">
      <c r="C106" s="3">
        <v>87</v>
      </c>
      <c r="D106" s="3">
        <f>[1]属性成长!$D94</f>
        <v>435</v>
      </c>
      <c r="E106" s="13">
        <f t="shared" si="6"/>
        <v>296.66666666666674</v>
      </c>
      <c r="F106" s="13">
        <f t="shared" si="6"/>
        <v>445</v>
      </c>
      <c r="G106" s="13">
        <f t="shared" si="6"/>
        <v>593.33333333333348</v>
      </c>
      <c r="H106" s="13">
        <f>E106*[1]战斗预期!$D$4</f>
        <v>2966.6666666666674</v>
      </c>
      <c r="I106" s="13">
        <f>F106*[1]战斗预期!$D$4</f>
        <v>4450</v>
      </c>
      <c r="J106" s="13">
        <f>G106*[1]战斗预期!$D$4</f>
        <v>5933.3333333333348</v>
      </c>
    </row>
    <row r="107" spans="3:10" x14ac:dyDescent="0.15">
      <c r="C107" s="3">
        <v>88</v>
      </c>
      <c r="D107" s="3">
        <f>[1]属性成长!$D95</f>
        <v>440</v>
      </c>
      <c r="E107" s="13">
        <f t="shared" si="6"/>
        <v>300.00000000000006</v>
      </c>
      <c r="F107" s="13">
        <f t="shared" si="6"/>
        <v>450</v>
      </c>
      <c r="G107" s="13">
        <f t="shared" si="6"/>
        <v>600.00000000000011</v>
      </c>
      <c r="H107" s="13">
        <f>E107*[1]战斗预期!$D$4</f>
        <v>3000.0000000000005</v>
      </c>
      <c r="I107" s="13">
        <f>F107*[1]战斗预期!$D$4</f>
        <v>4500</v>
      </c>
      <c r="J107" s="13">
        <f>G107*[1]战斗预期!$D$4</f>
        <v>6000.0000000000009</v>
      </c>
    </row>
    <row r="108" spans="3:10" x14ac:dyDescent="0.15">
      <c r="C108" s="3">
        <v>89</v>
      </c>
      <c r="D108" s="3">
        <f>[1]属性成长!$D96</f>
        <v>445</v>
      </c>
      <c r="E108" s="13">
        <f t="shared" si="6"/>
        <v>303.33333333333337</v>
      </c>
      <c r="F108" s="13">
        <f t="shared" si="6"/>
        <v>455</v>
      </c>
      <c r="G108" s="13">
        <f t="shared" si="6"/>
        <v>606.66666666666674</v>
      </c>
      <c r="H108" s="13">
        <f>E108*[1]战斗预期!$D$4</f>
        <v>3033.3333333333339</v>
      </c>
      <c r="I108" s="13">
        <f>F108*[1]战斗预期!$D$4</f>
        <v>4550</v>
      </c>
      <c r="J108" s="13">
        <f>G108*[1]战斗预期!$D$4</f>
        <v>6066.6666666666679</v>
      </c>
    </row>
    <row r="109" spans="3:10" x14ac:dyDescent="0.15">
      <c r="C109" s="3">
        <v>90</v>
      </c>
      <c r="D109" s="3">
        <f>[1]属性成长!$D97</f>
        <v>450</v>
      </c>
      <c r="E109" s="13">
        <f t="shared" si="6"/>
        <v>306.66666666666674</v>
      </c>
      <c r="F109" s="13">
        <f t="shared" si="6"/>
        <v>460</v>
      </c>
      <c r="G109" s="13">
        <f t="shared" si="6"/>
        <v>613.33333333333348</v>
      </c>
      <c r="H109" s="13">
        <f>E109*[1]战斗预期!$D$4</f>
        <v>3066.6666666666674</v>
      </c>
      <c r="I109" s="13">
        <f>F109*[1]战斗预期!$D$4</f>
        <v>4600</v>
      </c>
      <c r="J109" s="13">
        <f>G109*[1]战斗预期!$D$4</f>
        <v>6133.3333333333348</v>
      </c>
    </row>
    <row r="110" spans="3:10" x14ac:dyDescent="0.15">
      <c r="C110" s="3">
        <v>91</v>
      </c>
      <c r="D110" s="3">
        <f>[1]属性成长!$D98</f>
        <v>455</v>
      </c>
      <c r="E110" s="13">
        <f t="shared" si="6"/>
        <v>310.00000000000006</v>
      </c>
      <c r="F110" s="13">
        <f t="shared" si="6"/>
        <v>465</v>
      </c>
      <c r="G110" s="13">
        <f t="shared" si="6"/>
        <v>620.00000000000011</v>
      </c>
      <c r="H110" s="13">
        <f>E110*[1]战斗预期!$D$4</f>
        <v>3100.0000000000005</v>
      </c>
      <c r="I110" s="13">
        <f>F110*[1]战斗预期!$D$4</f>
        <v>4650</v>
      </c>
      <c r="J110" s="13">
        <f>G110*[1]战斗预期!$D$4</f>
        <v>6200.0000000000009</v>
      </c>
    </row>
    <row r="111" spans="3:10" x14ac:dyDescent="0.15">
      <c r="C111" s="3">
        <v>92</v>
      </c>
      <c r="D111" s="3">
        <f>[1]属性成长!$D99</f>
        <v>460</v>
      </c>
      <c r="E111" s="13">
        <f t="shared" si="6"/>
        <v>313.33333333333337</v>
      </c>
      <c r="F111" s="13">
        <f t="shared" si="6"/>
        <v>470</v>
      </c>
      <c r="G111" s="13">
        <f t="shared" si="6"/>
        <v>626.66666666666674</v>
      </c>
      <c r="H111" s="13">
        <f>E111*[1]战斗预期!$D$4</f>
        <v>3133.3333333333339</v>
      </c>
      <c r="I111" s="13">
        <f>F111*[1]战斗预期!$D$4</f>
        <v>4700</v>
      </c>
      <c r="J111" s="13">
        <f>G111*[1]战斗预期!$D$4</f>
        <v>6266.6666666666679</v>
      </c>
    </row>
    <row r="112" spans="3:10" x14ac:dyDescent="0.15">
      <c r="C112" s="3">
        <v>93</v>
      </c>
      <c r="D112" s="3">
        <f>[1]属性成长!$D100</f>
        <v>465</v>
      </c>
      <c r="E112" s="13">
        <f t="shared" si="6"/>
        <v>316.66666666666674</v>
      </c>
      <c r="F112" s="13">
        <f t="shared" si="6"/>
        <v>475</v>
      </c>
      <c r="G112" s="13">
        <f t="shared" si="6"/>
        <v>633.33333333333348</v>
      </c>
      <c r="H112" s="13">
        <f>E112*[1]战斗预期!$D$4</f>
        <v>3166.6666666666674</v>
      </c>
      <c r="I112" s="13">
        <f>F112*[1]战斗预期!$D$4</f>
        <v>4750</v>
      </c>
      <c r="J112" s="13">
        <f>G112*[1]战斗预期!$D$4</f>
        <v>6333.3333333333348</v>
      </c>
    </row>
    <row r="113" spans="3:10" x14ac:dyDescent="0.15">
      <c r="C113" s="3">
        <v>94</v>
      </c>
      <c r="D113" s="3">
        <f>[1]属性成长!$D101</f>
        <v>470</v>
      </c>
      <c r="E113" s="13">
        <f t="shared" si="6"/>
        <v>320.00000000000006</v>
      </c>
      <c r="F113" s="13">
        <f t="shared" si="6"/>
        <v>480</v>
      </c>
      <c r="G113" s="13">
        <f t="shared" si="6"/>
        <v>640.00000000000011</v>
      </c>
      <c r="H113" s="13">
        <f>E113*[1]战斗预期!$D$4</f>
        <v>3200.0000000000005</v>
      </c>
      <c r="I113" s="13">
        <f>F113*[1]战斗预期!$D$4</f>
        <v>4800</v>
      </c>
      <c r="J113" s="13">
        <f>G113*[1]战斗预期!$D$4</f>
        <v>6400.0000000000009</v>
      </c>
    </row>
    <row r="114" spans="3:10" x14ac:dyDescent="0.15">
      <c r="C114" s="3">
        <v>95</v>
      </c>
      <c r="D114" s="3">
        <f>[1]属性成长!$D102</f>
        <v>475</v>
      </c>
      <c r="E114" s="13">
        <f t="shared" si="6"/>
        <v>323.33333333333337</v>
      </c>
      <c r="F114" s="13">
        <f t="shared" si="6"/>
        <v>485</v>
      </c>
      <c r="G114" s="13">
        <f t="shared" si="6"/>
        <v>646.66666666666674</v>
      </c>
      <c r="H114" s="13">
        <f>E114*[1]战斗预期!$D$4</f>
        <v>3233.3333333333339</v>
      </c>
      <c r="I114" s="13">
        <f>F114*[1]战斗预期!$D$4</f>
        <v>4850</v>
      </c>
      <c r="J114" s="13">
        <f>G114*[1]战斗预期!$D$4</f>
        <v>6466.6666666666679</v>
      </c>
    </row>
    <row r="115" spans="3:10" x14ac:dyDescent="0.15">
      <c r="C115" s="3">
        <v>96</v>
      </c>
      <c r="D115" s="3">
        <f>[1]属性成长!$D103</f>
        <v>480</v>
      </c>
      <c r="E115" s="13">
        <f t="shared" si="6"/>
        <v>326.66666666666674</v>
      </c>
      <c r="F115" s="13">
        <f t="shared" si="6"/>
        <v>490</v>
      </c>
      <c r="G115" s="13">
        <f t="shared" si="6"/>
        <v>653.33333333333348</v>
      </c>
      <c r="H115" s="13">
        <f>E115*[1]战斗预期!$D$4</f>
        <v>3266.6666666666674</v>
      </c>
      <c r="I115" s="13">
        <f>F115*[1]战斗预期!$D$4</f>
        <v>4900</v>
      </c>
      <c r="J115" s="13">
        <f>G115*[1]战斗预期!$D$4</f>
        <v>6533.3333333333348</v>
      </c>
    </row>
    <row r="116" spans="3:10" x14ac:dyDescent="0.15">
      <c r="C116" s="3">
        <v>97</v>
      </c>
      <c r="D116" s="3">
        <f>[1]属性成长!$D104</f>
        <v>485</v>
      </c>
      <c r="E116" s="13">
        <f t="shared" si="6"/>
        <v>330.00000000000006</v>
      </c>
      <c r="F116" s="13">
        <f t="shared" si="6"/>
        <v>495</v>
      </c>
      <c r="G116" s="13">
        <f t="shared" si="6"/>
        <v>660.00000000000011</v>
      </c>
      <c r="H116" s="13">
        <f>E116*[1]战斗预期!$D$4</f>
        <v>3300.0000000000005</v>
      </c>
      <c r="I116" s="13">
        <f>F116*[1]战斗预期!$D$4</f>
        <v>4950</v>
      </c>
      <c r="J116" s="13">
        <f>G116*[1]战斗预期!$D$4</f>
        <v>6600.0000000000009</v>
      </c>
    </row>
    <row r="117" spans="3:10" x14ac:dyDescent="0.15">
      <c r="C117" s="3">
        <v>98</v>
      </c>
      <c r="D117" s="3">
        <f>[1]属性成长!$D105</f>
        <v>490</v>
      </c>
      <c r="E117" s="13">
        <f t="shared" si="6"/>
        <v>333.33333333333337</v>
      </c>
      <c r="F117" s="13">
        <f t="shared" si="6"/>
        <v>500</v>
      </c>
      <c r="G117" s="13">
        <f t="shared" si="6"/>
        <v>666.66666666666674</v>
      </c>
      <c r="H117" s="13">
        <f>E117*[1]战斗预期!$D$4</f>
        <v>3333.3333333333339</v>
      </c>
      <c r="I117" s="13">
        <f>F117*[1]战斗预期!$D$4</f>
        <v>5000</v>
      </c>
      <c r="J117" s="13">
        <f>G117*[1]战斗预期!$D$4</f>
        <v>6666.6666666666679</v>
      </c>
    </row>
    <row r="118" spans="3:10" x14ac:dyDescent="0.15">
      <c r="C118" s="3">
        <v>99</v>
      </c>
      <c r="D118" s="3">
        <f>[1]属性成长!$D106</f>
        <v>495</v>
      </c>
      <c r="E118" s="13">
        <f t="shared" si="6"/>
        <v>336.66666666666674</v>
      </c>
      <c r="F118" s="13">
        <f t="shared" si="6"/>
        <v>505</v>
      </c>
      <c r="G118" s="13">
        <f t="shared" si="6"/>
        <v>673.33333333333348</v>
      </c>
      <c r="H118" s="13">
        <f>E118*[1]战斗预期!$D$4</f>
        <v>3366.6666666666674</v>
      </c>
      <c r="I118" s="13">
        <f>F118*[1]战斗预期!$D$4</f>
        <v>5050</v>
      </c>
      <c r="J118" s="13">
        <f>G118*[1]战斗预期!$D$4</f>
        <v>6733.3333333333348</v>
      </c>
    </row>
    <row r="119" spans="3:10" x14ac:dyDescent="0.15">
      <c r="C119" s="3">
        <v>100</v>
      </c>
      <c r="D119" s="3">
        <f>[1]属性成长!$D107</f>
        <v>500</v>
      </c>
      <c r="E119" s="13">
        <f t="shared" si="6"/>
        <v>340.00000000000006</v>
      </c>
      <c r="F119" s="13">
        <f t="shared" si="6"/>
        <v>510</v>
      </c>
      <c r="G119" s="13">
        <f t="shared" si="6"/>
        <v>680.00000000000011</v>
      </c>
      <c r="H119" s="13">
        <f>E119*[1]战斗预期!$D$4</f>
        <v>3400.0000000000005</v>
      </c>
      <c r="I119" s="13">
        <f>F119*[1]战斗预期!$D$4</f>
        <v>5100</v>
      </c>
      <c r="J119" s="13">
        <f>G119*[1]战斗预期!$D$4</f>
        <v>6800.0000000000009</v>
      </c>
    </row>
  </sheetData>
  <mergeCells count="19">
    <mergeCell ref="S3:S9"/>
    <mergeCell ref="S10:S14"/>
    <mergeCell ref="S15:S19"/>
    <mergeCell ref="H18:J18"/>
    <mergeCell ref="E18:G18"/>
    <mergeCell ref="I9:I11"/>
    <mergeCell ref="I6:I8"/>
    <mergeCell ref="I3:I5"/>
    <mergeCell ref="U20:X20"/>
    <mergeCell ref="U21:X21"/>
    <mergeCell ref="U22:X22"/>
    <mergeCell ref="U23:X23"/>
    <mergeCell ref="U24:X24"/>
    <mergeCell ref="U31:X31"/>
    <mergeCell ref="U25:X25"/>
    <mergeCell ref="U26:X26"/>
    <mergeCell ref="U27:X27"/>
    <mergeCell ref="U29:X29"/>
    <mergeCell ref="U30:X30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35"/>
  <sheetViews>
    <sheetView workbookViewId="0">
      <selection activeCell="J9" sqref="J9:K19"/>
    </sheetView>
  </sheetViews>
  <sheetFormatPr defaultRowHeight="11.25" x14ac:dyDescent="0.15"/>
  <cols>
    <col min="1" max="16384" width="9" style="1"/>
  </cols>
  <sheetData>
    <row r="1" spans="2:11" x14ac:dyDescent="0.15">
      <c r="B1" s="10" t="s">
        <v>224</v>
      </c>
    </row>
    <row r="2" spans="2:11" x14ac:dyDescent="0.15">
      <c r="C2" s="10" t="s">
        <v>247</v>
      </c>
    </row>
    <row r="4" spans="2:11" x14ac:dyDescent="0.15">
      <c r="D4" s="122" t="s">
        <v>221</v>
      </c>
      <c r="E4" s="122"/>
      <c r="F4" s="122"/>
      <c r="G4" s="122"/>
      <c r="H4" s="122" t="s">
        <v>222</v>
      </c>
      <c r="I4" s="122"/>
      <c r="J4" s="122"/>
      <c r="K4" s="122"/>
    </row>
    <row r="5" spans="2:11" x14ac:dyDescent="0.15">
      <c r="B5" s="11" t="s">
        <v>147</v>
      </c>
      <c r="C5" s="11" t="s">
        <v>148</v>
      </c>
      <c r="D5" s="11" t="s">
        <v>154</v>
      </c>
      <c r="E5" s="11" t="s">
        <v>155</v>
      </c>
      <c r="F5" s="122" t="s">
        <v>156</v>
      </c>
      <c r="G5" s="122"/>
      <c r="H5" s="11" t="s">
        <v>154</v>
      </c>
      <c r="I5" s="11" t="s">
        <v>155</v>
      </c>
      <c r="J5" s="122" t="s">
        <v>156</v>
      </c>
      <c r="K5" s="122"/>
    </row>
    <row r="6" spans="2:11" x14ac:dyDescent="0.15">
      <c r="B6" s="44" t="s">
        <v>61</v>
      </c>
      <c r="C6" s="44">
        <v>100</v>
      </c>
      <c r="D6" s="44">
        <v>201</v>
      </c>
      <c r="E6" s="44">
        <v>301</v>
      </c>
      <c r="F6" s="44">
        <v>200</v>
      </c>
      <c r="G6" s="44">
        <v>300</v>
      </c>
      <c r="H6" s="3" t="s">
        <v>223</v>
      </c>
      <c r="I6" s="3" t="s">
        <v>7</v>
      </c>
      <c r="J6" s="3" t="s">
        <v>7</v>
      </c>
      <c r="K6" s="3" t="s">
        <v>8</v>
      </c>
    </row>
    <row r="7" spans="2:11" x14ac:dyDescent="0.15">
      <c r="B7" s="44" t="s">
        <v>61</v>
      </c>
      <c r="C7" s="44">
        <v>101</v>
      </c>
      <c r="D7" s="44">
        <v>200</v>
      </c>
      <c r="E7" s="44">
        <v>300</v>
      </c>
      <c r="F7" s="44">
        <v>201</v>
      </c>
      <c r="G7" s="44">
        <v>301</v>
      </c>
      <c r="H7" s="3" t="s">
        <v>8</v>
      </c>
      <c r="I7" s="3" t="s">
        <v>7</v>
      </c>
      <c r="J7" s="3" t="s">
        <v>7</v>
      </c>
      <c r="K7" s="3" t="s">
        <v>8</v>
      </c>
    </row>
    <row r="8" spans="2:11" x14ac:dyDescent="0.15">
      <c r="B8" s="48" t="s">
        <v>61</v>
      </c>
      <c r="C8" s="48">
        <v>102</v>
      </c>
      <c r="D8" s="48">
        <v>203</v>
      </c>
      <c r="E8" s="48">
        <v>303</v>
      </c>
      <c r="F8" s="48">
        <v>202</v>
      </c>
      <c r="G8" s="48">
        <v>302</v>
      </c>
      <c r="H8" s="3" t="s">
        <v>7</v>
      </c>
      <c r="I8" s="3" t="s">
        <v>168</v>
      </c>
      <c r="J8" s="3" t="s">
        <v>7</v>
      </c>
      <c r="K8" s="3" t="s">
        <v>168</v>
      </c>
    </row>
    <row r="9" spans="2:11" x14ac:dyDescent="0.15">
      <c r="B9" s="48" t="s">
        <v>61</v>
      </c>
      <c r="C9" s="48">
        <v>103</v>
      </c>
      <c r="D9" s="48">
        <v>202</v>
      </c>
      <c r="E9" s="48">
        <v>302</v>
      </c>
      <c r="F9" s="48">
        <v>203</v>
      </c>
      <c r="G9" s="48">
        <v>303</v>
      </c>
      <c r="H9" s="3" t="s">
        <v>7</v>
      </c>
      <c r="I9" s="3" t="s">
        <v>168</v>
      </c>
      <c r="J9" s="3" t="s">
        <v>7</v>
      </c>
      <c r="K9" s="3" t="s">
        <v>168</v>
      </c>
    </row>
    <row r="10" spans="2:11" x14ac:dyDescent="0.15">
      <c r="B10" s="50" t="s">
        <v>61</v>
      </c>
      <c r="C10" s="50">
        <v>104</v>
      </c>
      <c r="D10" s="50">
        <v>205</v>
      </c>
      <c r="E10" s="50">
        <v>305</v>
      </c>
      <c r="F10" s="50">
        <v>204</v>
      </c>
      <c r="G10" s="50">
        <v>304</v>
      </c>
      <c r="H10" s="3" t="s">
        <v>8</v>
      </c>
      <c r="I10" s="3" t="s">
        <v>168</v>
      </c>
      <c r="J10" s="3" t="s">
        <v>238</v>
      </c>
      <c r="K10" s="3" t="s">
        <v>239</v>
      </c>
    </row>
    <row r="11" spans="2:11" x14ac:dyDescent="0.15">
      <c r="B11" s="50" t="s">
        <v>61</v>
      </c>
      <c r="C11" s="50">
        <v>105</v>
      </c>
      <c r="D11" s="50">
        <v>204</v>
      </c>
      <c r="E11" s="50">
        <v>304</v>
      </c>
      <c r="F11" s="50">
        <v>205</v>
      </c>
      <c r="G11" s="50">
        <v>305</v>
      </c>
      <c r="H11" s="3" t="s">
        <v>8</v>
      </c>
      <c r="I11" s="3" t="s">
        <v>168</v>
      </c>
      <c r="J11" s="3" t="s">
        <v>238</v>
      </c>
      <c r="K11" s="3" t="s">
        <v>239</v>
      </c>
    </row>
    <row r="12" spans="2:11" ht="12" thickBot="1" x14ac:dyDescent="0.2">
      <c r="B12" s="52" t="s">
        <v>61</v>
      </c>
      <c r="C12" s="53">
        <v>106</v>
      </c>
      <c r="D12" s="53">
        <v>200</v>
      </c>
      <c r="E12" s="53">
        <v>300</v>
      </c>
      <c r="F12" s="53">
        <v>206</v>
      </c>
      <c r="G12" s="53">
        <v>306</v>
      </c>
      <c r="H12" s="3" t="s">
        <v>8</v>
      </c>
      <c r="I12" s="3" t="s">
        <v>7</v>
      </c>
      <c r="J12" s="3" t="s">
        <v>7</v>
      </c>
      <c r="K12" s="3" t="s">
        <v>8</v>
      </c>
    </row>
    <row r="13" spans="2:11" x14ac:dyDescent="0.15">
      <c r="B13" s="45" t="s">
        <v>60</v>
      </c>
      <c r="C13" s="44">
        <v>200</v>
      </c>
      <c r="D13" s="44">
        <f>INDEX($C$6:$C$12,MATCH(C13,$D$6:$D$12,0),1)</f>
        <v>101</v>
      </c>
      <c r="E13" s="44">
        <v>300</v>
      </c>
      <c r="F13" s="44">
        <v>100</v>
      </c>
      <c r="G13" s="44">
        <v>300</v>
      </c>
      <c r="H13" s="3" t="s">
        <v>223</v>
      </c>
      <c r="I13" s="3" t="s">
        <v>7</v>
      </c>
      <c r="J13" s="3" t="s">
        <v>7</v>
      </c>
      <c r="K13" s="3" t="s">
        <v>8</v>
      </c>
    </row>
    <row r="14" spans="2:11" x14ac:dyDescent="0.15">
      <c r="B14" s="47" t="s">
        <v>60</v>
      </c>
      <c r="C14" s="44">
        <v>201</v>
      </c>
      <c r="D14" s="44">
        <f t="shared" ref="D14:D18" si="0">INDEX($C$6:$C$12,MATCH(C14,$D$6:$D$12,0),1)</f>
        <v>100</v>
      </c>
      <c r="E14" s="44">
        <v>301</v>
      </c>
      <c r="F14" s="44">
        <v>101</v>
      </c>
      <c r="G14" s="44">
        <v>301</v>
      </c>
      <c r="H14" s="3" t="s">
        <v>8</v>
      </c>
      <c r="I14" s="3" t="s">
        <v>7</v>
      </c>
      <c r="J14" s="3" t="s">
        <v>7</v>
      </c>
      <c r="K14" s="3" t="s">
        <v>8</v>
      </c>
    </row>
    <row r="15" spans="2:11" x14ac:dyDescent="0.15">
      <c r="B15" s="49" t="s">
        <v>60</v>
      </c>
      <c r="C15" s="48">
        <v>202</v>
      </c>
      <c r="D15" s="48">
        <f t="shared" si="0"/>
        <v>103</v>
      </c>
      <c r="E15" s="44">
        <v>302</v>
      </c>
      <c r="F15" s="48">
        <v>102</v>
      </c>
      <c r="G15" s="48">
        <v>302</v>
      </c>
      <c r="H15" s="3" t="s">
        <v>7</v>
      </c>
      <c r="I15" s="3" t="s">
        <v>168</v>
      </c>
      <c r="J15" s="3" t="s">
        <v>7</v>
      </c>
      <c r="K15" s="3" t="s">
        <v>168</v>
      </c>
    </row>
    <row r="16" spans="2:11" x14ac:dyDescent="0.15">
      <c r="B16" s="49" t="s">
        <v>60</v>
      </c>
      <c r="C16" s="48">
        <v>203</v>
      </c>
      <c r="D16" s="48">
        <f t="shared" si="0"/>
        <v>102</v>
      </c>
      <c r="E16" s="44">
        <v>303</v>
      </c>
      <c r="F16" s="48">
        <v>103</v>
      </c>
      <c r="G16" s="48">
        <v>303</v>
      </c>
      <c r="H16" s="3" t="s">
        <v>7</v>
      </c>
      <c r="I16" s="3" t="s">
        <v>168</v>
      </c>
      <c r="J16" s="3" t="s">
        <v>7</v>
      </c>
      <c r="K16" s="3" t="s">
        <v>168</v>
      </c>
    </row>
    <row r="17" spans="2:34" x14ac:dyDescent="0.15">
      <c r="B17" s="51" t="s">
        <v>60</v>
      </c>
      <c r="C17" s="50">
        <v>204</v>
      </c>
      <c r="D17" s="50">
        <f t="shared" si="0"/>
        <v>105</v>
      </c>
      <c r="E17" s="44">
        <v>304</v>
      </c>
      <c r="F17" s="50">
        <v>104</v>
      </c>
      <c r="G17" s="50">
        <v>304</v>
      </c>
      <c r="H17" s="3" t="s">
        <v>8</v>
      </c>
      <c r="I17" s="3" t="s">
        <v>168</v>
      </c>
      <c r="J17" s="3" t="s">
        <v>238</v>
      </c>
      <c r="K17" s="3" t="s">
        <v>239</v>
      </c>
    </row>
    <row r="18" spans="2:34" x14ac:dyDescent="0.15">
      <c r="B18" s="51" t="s">
        <v>60</v>
      </c>
      <c r="C18" s="50">
        <v>205</v>
      </c>
      <c r="D18" s="50">
        <f t="shared" si="0"/>
        <v>104</v>
      </c>
      <c r="E18" s="44">
        <v>305</v>
      </c>
      <c r="F18" s="50">
        <v>105</v>
      </c>
      <c r="G18" s="50">
        <v>305</v>
      </c>
      <c r="H18" s="3" t="s">
        <v>8</v>
      </c>
      <c r="I18" s="3" t="s">
        <v>168</v>
      </c>
      <c r="J18" s="3" t="s">
        <v>238</v>
      </c>
      <c r="K18" s="3" t="s">
        <v>239</v>
      </c>
      <c r="Z18" s="29">
        <v>0.24</v>
      </c>
      <c r="AB18" s="29">
        <v>0.26</v>
      </c>
      <c r="AD18" s="29">
        <v>0.28000000000000003</v>
      </c>
      <c r="AF18" s="29">
        <v>0.3</v>
      </c>
      <c r="AH18" s="29">
        <v>0.32</v>
      </c>
    </row>
    <row r="19" spans="2:34" ht="12" thickBot="1" x14ac:dyDescent="0.2">
      <c r="B19" s="54" t="s">
        <v>60</v>
      </c>
      <c r="C19" s="53">
        <v>206</v>
      </c>
      <c r="D19" s="53">
        <v>201</v>
      </c>
      <c r="E19" s="53">
        <v>301</v>
      </c>
      <c r="F19" s="53">
        <v>106</v>
      </c>
      <c r="G19" s="53">
        <v>306</v>
      </c>
      <c r="H19" s="3" t="s">
        <v>7</v>
      </c>
      <c r="I19" s="3" t="s">
        <v>168</v>
      </c>
      <c r="J19" s="3" t="s">
        <v>7</v>
      </c>
      <c r="K19" s="3" t="s">
        <v>8</v>
      </c>
      <c r="Z19" s="29">
        <v>0.24</v>
      </c>
      <c r="AB19" s="29">
        <v>0.26</v>
      </c>
      <c r="AD19" s="29">
        <v>0.28000000000000003</v>
      </c>
      <c r="AF19" s="29">
        <v>0.3</v>
      </c>
      <c r="AH19" s="29">
        <v>0.32</v>
      </c>
    </row>
    <row r="20" spans="2:34" x14ac:dyDescent="0.15">
      <c r="B20" s="46" t="s">
        <v>149</v>
      </c>
      <c r="C20" s="44">
        <v>300</v>
      </c>
      <c r="D20" s="44">
        <f>INDEX($C$6:$C$12,MATCH(C20,$E$6:$E$12,0),1)</f>
        <v>101</v>
      </c>
      <c r="E20" s="44">
        <f>INDEX($C$13:$C$19,MATCH(C20,$E$13:$E$19,0),1)</f>
        <v>200</v>
      </c>
      <c r="F20" s="44">
        <v>100</v>
      </c>
      <c r="G20" s="44">
        <v>200</v>
      </c>
      <c r="H20" s="3" t="s">
        <v>223</v>
      </c>
      <c r="I20" s="3" t="s">
        <v>7</v>
      </c>
      <c r="J20" s="3" t="s">
        <v>7</v>
      </c>
      <c r="K20" s="3" t="s">
        <v>8</v>
      </c>
      <c r="Z20" s="1" t="s">
        <v>142</v>
      </c>
      <c r="AB20" s="1" t="s">
        <v>144</v>
      </c>
      <c r="AD20" s="29" t="s">
        <v>145</v>
      </c>
      <c r="AF20" s="1" t="s">
        <v>146</v>
      </c>
      <c r="AH20" s="1" t="s">
        <v>143</v>
      </c>
    </row>
    <row r="21" spans="2:34" x14ac:dyDescent="0.15">
      <c r="B21" s="44" t="s">
        <v>149</v>
      </c>
      <c r="C21" s="44">
        <v>301</v>
      </c>
      <c r="D21" s="44">
        <f t="shared" ref="D21:D25" si="1">INDEX($C$6:$C$12,MATCH(C21,$E$6:$E$12,0),1)</f>
        <v>100</v>
      </c>
      <c r="E21" s="44">
        <f t="shared" ref="E21:E25" si="2">INDEX($C$13:$C$19,MATCH(C21,$E$13:$E$19,0),1)</f>
        <v>201</v>
      </c>
      <c r="F21" s="44">
        <v>101</v>
      </c>
      <c r="G21" s="44">
        <v>201</v>
      </c>
      <c r="H21" s="3" t="s">
        <v>8</v>
      </c>
      <c r="I21" s="3" t="s">
        <v>7</v>
      </c>
      <c r="J21" s="3" t="s">
        <v>7</v>
      </c>
      <c r="K21" s="3" t="s">
        <v>8</v>
      </c>
    </row>
    <row r="22" spans="2:34" x14ac:dyDescent="0.15">
      <c r="B22" s="48" t="s">
        <v>149</v>
      </c>
      <c r="C22" s="48">
        <v>302</v>
      </c>
      <c r="D22" s="48">
        <f t="shared" si="1"/>
        <v>103</v>
      </c>
      <c r="E22" s="44">
        <f t="shared" si="2"/>
        <v>202</v>
      </c>
      <c r="F22" s="48">
        <v>102</v>
      </c>
      <c r="G22" s="48">
        <v>202</v>
      </c>
      <c r="H22" s="3" t="s">
        <v>7</v>
      </c>
      <c r="I22" s="3" t="s">
        <v>168</v>
      </c>
      <c r="J22" s="3" t="s">
        <v>7</v>
      </c>
      <c r="K22" s="3" t="s">
        <v>168</v>
      </c>
    </row>
    <row r="23" spans="2:34" x14ac:dyDescent="0.15">
      <c r="B23" s="48" t="s">
        <v>149</v>
      </c>
      <c r="C23" s="48">
        <v>303</v>
      </c>
      <c r="D23" s="48">
        <f t="shared" si="1"/>
        <v>102</v>
      </c>
      <c r="E23" s="44">
        <f t="shared" si="2"/>
        <v>203</v>
      </c>
      <c r="F23" s="48">
        <v>103</v>
      </c>
      <c r="G23" s="48">
        <v>203</v>
      </c>
      <c r="H23" s="3" t="s">
        <v>7</v>
      </c>
      <c r="I23" s="3" t="s">
        <v>168</v>
      </c>
      <c r="J23" s="3" t="s">
        <v>7</v>
      </c>
      <c r="K23" s="3" t="s">
        <v>168</v>
      </c>
    </row>
    <row r="24" spans="2:34" x14ac:dyDescent="0.15">
      <c r="B24" s="50" t="s">
        <v>149</v>
      </c>
      <c r="C24" s="50">
        <v>304</v>
      </c>
      <c r="D24" s="50">
        <f t="shared" si="1"/>
        <v>105</v>
      </c>
      <c r="E24" s="44">
        <f t="shared" si="2"/>
        <v>204</v>
      </c>
      <c r="F24" s="50">
        <v>104</v>
      </c>
      <c r="G24" s="50">
        <v>204</v>
      </c>
      <c r="H24" s="3" t="s">
        <v>8</v>
      </c>
      <c r="I24" s="3" t="s">
        <v>168</v>
      </c>
      <c r="J24" s="3" t="s">
        <v>238</v>
      </c>
      <c r="K24" s="3" t="s">
        <v>239</v>
      </c>
    </row>
    <row r="25" spans="2:34" x14ac:dyDescent="0.15">
      <c r="B25" s="50" t="s">
        <v>149</v>
      </c>
      <c r="C25" s="50">
        <v>305</v>
      </c>
      <c r="D25" s="50">
        <f t="shared" si="1"/>
        <v>104</v>
      </c>
      <c r="E25" s="44">
        <f t="shared" si="2"/>
        <v>205</v>
      </c>
      <c r="F25" s="50">
        <v>105</v>
      </c>
      <c r="G25" s="50">
        <v>205</v>
      </c>
      <c r="H25" s="3" t="s">
        <v>8</v>
      </c>
      <c r="I25" s="3" t="s">
        <v>168</v>
      </c>
      <c r="J25" s="3" t="s">
        <v>238</v>
      </c>
      <c r="K25" s="3" t="s">
        <v>239</v>
      </c>
    </row>
    <row r="26" spans="2:34" ht="12" thickBot="1" x14ac:dyDescent="0.2">
      <c r="B26" s="52" t="s">
        <v>149</v>
      </c>
      <c r="C26" s="53">
        <v>306</v>
      </c>
      <c r="D26" s="53">
        <v>202</v>
      </c>
      <c r="E26" s="53">
        <v>302</v>
      </c>
      <c r="F26" s="53">
        <v>106</v>
      </c>
      <c r="G26" s="53">
        <v>206</v>
      </c>
      <c r="H26" s="3" t="s">
        <v>8</v>
      </c>
      <c r="I26" s="3" t="s">
        <v>168</v>
      </c>
      <c r="J26" s="3" t="s">
        <v>7</v>
      </c>
      <c r="K26" s="3" t="s">
        <v>8</v>
      </c>
    </row>
    <row r="28" spans="2:34" x14ac:dyDescent="0.15">
      <c r="B28" s="55" t="s">
        <v>228</v>
      </c>
      <c r="C28" s="56"/>
      <c r="D28" s="56"/>
      <c r="E28" s="56"/>
      <c r="F28" s="57"/>
      <c r="G28" s="74"/>
      <c r="H28" s="106" t="s">
        <v>230</v>
      </c>
      <c r="I28" s="106"/>
      <c r="J28" s="106"/>
      <c r="K28" s="123" t="s">
        <v>125</v>
      </c>
      <c r="L28" s="123"/>
      <c r="M28" s="123"/>
      <c r="N28" s="121" t="s">
        <v>232</v>
      </c>
      <c r="O28" s="121"/>
      <c r="P28" s="121"/>
    </row>
    <row r="29" spans="2:34" x14ac:dyDescent="0.15">
      <c r="B29" s="11" t="s">
        <v>225</v>
      </c>
      <c r="C29" s="11" t="s">
        <v>154</v>
      </c>
      <c r="D29" s="11" t="s">
        <v>226</v>
      </c>
      <c r="E29" s="122" t="s">
        <v>227</v>
      </c>
      <c r="F29" s="122"/>
      <c r="G29" s="75" t="s">
        <v>229</v>
      </c>
      <c r="H29" s="3" t="s">
        <v>231</v>
      </c>
      <c r="I29" s="3" t="s">
        <v>8</v>
      </c>
      <c r="J29" s="3" t="s">
        <v>168</v>
      </c>
      <c r="K29" s="60" t="s">
        <v>231</v>
      </c>
      <c r="L29" s="60" t="s">
        <v>8</v>
      </c>
      <c r="M29" s="60" t="s">
        <v>168</v>
      </c>
      <c r="N29" s="43" t="s">
        <v>231</v>
      </c>
      <c r="O29" s="43" t="s">
        <v>8</v>
      </c>
      <c r="P29" s="43" t="s">
        <v>168</v>
      </c>
    </row>
    <row r="30" spans="2:34" x14ac:dyDescent="0.15">
      <c r="B30" s="3">
        <v>1</v>
      </c>
      <c r="C30" s="58">
        <v>0.1</v>
      </c>
      <c r="D30" s="58">
        <v>0.06</v>
      </c>
      <c r="E30" s="58">
        <v>0.09</v>
      </c>
      <c r="F30" s="58">
        <v>0.09</v>
      </c>
      <c r="G30" s="76">
        <f>SUM(C30:F30)</f>
        <v>0.33999999999999997</v>
      </c>
      <c r="H30" s="59">
        <f>G30/3</f>
        <v>0.11333333333333333</v>
      </c>
      <c r="I30" s="59">
        <f t="shared" ref="I30:J30" si="3">H30/3</f>
        <v>3.7777777777777778E-2</v>
      </c>
      <c r="J30" s="59">
        <f t="shared" si="3"/>
        <v>1.2592592592592593E-2</v>
      </c>
      <c r="K30" s="61">
        <v>0</v>
      </c>
      <c r="L30" s="61">
        <v>0</v>
      </c>
      <c r="M30" s="61">
        <v>0</v>
      </c>
      <c r="N30" s="62">
        <f>$G30/2</f>
        <v>0.16999999999999998</v>
      </c>
      <c r="O30" s="62">
        <f t="shared" ref="O30:P34" si="4">$G30/2</f>
        <v>0.16999999999999998</v>
      </c>
      <c r="P30" s="62">
        <f t="shared" si="4"/>
        <v>0.16999999999999998</v>
      </c>
    </row>
    <row r="31" spans="2:34" x14ac:dyDescent="0.15">
      <c r="B31" s="3">
        <v>2</v>
      </c>
      <c r="C31" s="58">
        <v>0.15</v>
      </c>
      <c r="D31" s="58">
        <v>0.09</v>
      </c>
      <c r="E31" s="58">
        <v>0.12</v>
      </c>
      <c r="F31" s="58">
        <v>0.12</v>
      </c>
      <c r="G31" s="76">
        <f t="shared" ref="G31:G34" si="5">SUM(C31:F31)</f>
        <v>0.48</v>
      </c>
      <c r="H31" s="59">
        <f t="shared" ref="H31:J31" si="6">G31/3</f>
        <v>0.16</v>
      </c>
      <c r="I31" s="59">
        <f t="shared" si="6"/>
        <v>5.3333333333333337E-2</v>
      </c>
      <c r="J31" s="59">
        <f t="shared" si="6"/>
        <v>1.7777777777777778E-2</v>
      </c>
      <c r="K31" s="61">
        <v>0</v>
      </c>
      <c r="L31" s="61">
        <v>0</v>
      </c>
      <c r="M31" s="61">
        <v>0</v>
      </c>
      <c r="N31" s="62">
        <f t="shared" ref="N31:N34" si="7">$G31/2</f>
        <v>0.24</v>
      </c>
      <c r="O31" s="62">
        <f t="shared" si="4"/>
        <v>0.24</v>
      </c>
      <c r="P31" s="62">
        <f t="shared" si="4"/>
        <v>0.24</v>
      </c>
    </row>
    <row r="32" spans="2:34" x14ac:dyDescent="0.15">
      <c r="B32" s="3">
        <v>3</v>
      </c>
      <c r="C32" s="58">
        <v>0.2</v>
      </c>
      <c r="D32" s="58">
        <v>0.12</v>
      </c>
      <c r="E32" s="58">
        <v>0.15</v>
      </c>
      <c r="F32" s="58">
        <v>0.15</v>
      </c>
      <c r="G32" s="76">
        <f t="shared" si="5"/>
        <v>0.62</v>
      </c>
      <c r="H32" s="59">
        <f t="shared" ref="H32:J32" si="8">G32/3</f>
        <v>0.20666666666666667</v>
      </c>
      <c r="I32" s="59">
        <f t="shared" si="8"/>
        <v>6.8888888888888888E-2</v>
      </c>
      <c r="J32" s="59">
        <f t="shared" si="8"/>
        <v>2.2962962962962963E-2</v>
      </c>
      <c r="K32" s="61">
        <v>0</v>
      </c>
      <c r="L32" s="61">
        <v>0</v>
      </c>
      <c r="M32" s="61">
        <v>0</v>
      </c>
      <c r="N32" s="62">
        <f t="shared" si="7"/>
        <v>0.31</v>
      </c>
      <c r="O32" s="62">
        <f t="shared" si="4"/>
        <v>0.31</v>
      </c>
      <c r="P32" s="62">
        <f t="shared" si="4"/>
        <v>0.31</v>
      </c>
    </row>
    <row r="33" spans="2:16" x14ac:dyDescent="0.15">
      <c r="B33" s="3">
        <v>4</v>
      </c>
      <c r="C33" s="58">
        <v>0.25</v>
      </c>
      <c r="D33" s="58">
        <v>0.15</v>
      </c>
      <c r="E33" s="58">
        <v>0.18</v>
      </c>
      <c r="F33" s="58">
        <v>0.18</v>
      </c>
      <c r="G33" s="76">
        <f t="shared" si="5"/>
        <v>0.76</v>
      </c>
      <c r="H33" s="59">
        <f t="shared" ref="H33:J33" si="9">G33/3</f>
        <v>0.25333333333333335</v>
      </c>
      <c r="I33" s="59">
        <f t="shared" si="9"/>
        <v>8.4444444444444447E-2</v>
      </c>
      <c r="J33" s="59">
        <f t="shared" si="9"/>
        <v>2.8148148148148148E-2</v>
      </c>
      <c r="K33" s="61">
        <v>0</v>
      </c>
      <c r="L33" s="61">
        <v>0</v>
      </c>
      <c r="M33" s="61">
        <v>0</v>
      </c>
      <c r="N33" s="62">
        <f t="shared" si="7"/>
        <v>0.38</v>
      </c>
      <c r="O33" s="62">
        <f t="shared" si="4"/>
        <v>0.38</v>
      </c>
      <c r="P33" s="62">
        <f t="shared" si="4"/>
        <v>0.38</v>
      </c>
    </row>
    <row r="34" spans="2:16" x14ac:dyDescent="0.15">
      <c r="B34" s="3">
        <v>5</v>
      </c>
      <c r="C34" s="58">
        <v>0.3</v>
      </c>
      <c r="D34" s="58">
        <v>0.18</v>
      </c>
      <c r="E34" s="58">
        <v>0.21</v>
      </c>
      <c r="F34" s="58">
        <v>0.21</v>
      </c>
      <c r="G34" s="76">
        <f t="shared" si="5"/>
        <v>0.89999999999999991</v>
      </c>
      <c r="H34" s="59">
        <f t="shared" ref="H34:J34" si="10">G34/3</f>
        <v>0.3</v>
      </c>
      <c r="I34" s="59">
        <f t="shared" si="10"/>
        <v>9.9999999999999992E-2</v>
      </c>
      <c r="J34" s="59">
        <f t="shared" si="10"/>
        <v>3.3333333333333333E-2</v>
      </c>
      <c r="K34" s="61">
        <v>0</v>
      </c>
      <c r="L34" s="61">
        <v>0</v>
      </c>
      <c r="M34" s="61">
        <v>0</v>
      </c>
      <c r="N34" s="62">
        <f t="shared" si="7"/>
        <v>0.44999999999999996</v>
      </c>
      <c r="O34" s="62">
        <f t="shared" si="4"/>
        <v>0.44999999999999996</v>
      </c>
      <c r="P34" s="62">
        <f t="shared" si="4"/>
        <v>0.44999999999999996</v>
      </c>
    </row>
    <row r="35" spans="2:16" x14ac:dyDescent="0.15">
      <c r="B35" s="1" t="s">
        <v>268</v>
      </c>
    </row>
  </sheetData>
  <mergeCells count="8">
    <mergeCell ref="E29:F29"/>
    <mergeCell ref="H28:J28"/>
    <mergeCell ref="K28:M28"/>
    <mergeCell ref="N28:P28"/>
    <mergeCell ref="F5:G5"/>
    <mergeCell ref="J5:K5"/>
    <mergeCell ref="D4:G4"/>
    <mergeCell ref="H4:K4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M33"/>
  <sheetViews>
    <sheetView workbookViewId="0">
      <selection activeCell="E4" sqref="E4"/>
    </sheetView>
  </sheetViews>
  <sheetFormatPr defaultRowHeight="11.25" x14ac:dyDescent="0.15"/>
  <cols>
    <col min="1" max="16384" width="9" style="30"/>
  </cols>
  <sheetData>
    <row r="2" spans="2:12" x14ac:dyDescent="0.15">
      <c r="I2" s="21" t="s">
        <v>129</v>
      </c>
    </row>
    <row r="3" spans="2:12" x14ac:dyDescent="0.15">
      <c r="C3" s="3" t="s">
        <v>110</v>
      </c>
      <c r="D3" s="3" t="s">
        <v>116</v>
      </c>
      <c r="E3" s="3" t="s">
        <v>117</v>
      </c>
      <c r="F3" s="3" t="s">
        <v>118</v>
      </c>
      <c r="G3" s="22" t="s">
        <v>119</v>
      </c>
      <c r="H3" s="3" t="s">
        <v>120</v>
      </c>
      <c r="I3" s="3" t="s">
        <v>121</v>
      </c>
      <c r="J3" s="3" t="s">
        <v>122</v>
      </c>
      <c r="K3" s="3" t="s">
        <v>123</v>
      </c>
      <c r="L3" s="3" t="s">
        <v>124</v>
      </c>
    </row>
    <row r="4" spans="2:12" x14ac:dyDescent="0.15">
      <c r="B4" s="118" t="s">
        <v>126</v>
      </c>
      <c r="C4" s="3" t="s">
        <v>111</v>
      </c>
      <c r="D4" s="3">
        <v>5</v>
      </c>
      <c r="E4" s="3">
        <v>14</v>
      </c>
      <c r="F4" s="3">
        <v>10</v>
      </c>
      <c r="G4" s="22">
        <v>25</v>
      </c>
      <c r="H4" s="3">
        <v>20</v>
      </c>
      <c r="I4" s="3">
        <v>10</v>
      </c>
      <c r="J4" s="3">
        <v>80</v>
      </c>
      <c r="K4" s="31">
        <v>0.3</v>
      </c>
      <c r="L4" s="13">
        <f>SUM(D4:J4)*(1+K4)</f>
        <v>213.20000000000002</v>
      </c>
    </row>
    <row r="5" spans="2:12" x14ac:dyDescent="0.15">
      <c r="B5" s="119"/>
      <c r="C5" s="3" t="s">
        <v>112</v>
      </c>
      <c r="D5" s="3">
        <v>5</v>
      </c>
      <c r="E5" s="3">
        <v>14</v>
      </c>
      <c r="F5" s="3">
        <v>10</v>
      </c>
      <c r="G5" s="22">
        <v>25</v>
      </c>
      <c r="H5" s="3">
        <v>20</v>
      </c>
      <c r="I5" s="3">
        <v>10</v>
      </c>
      <c r="J5" s="3">
        <v>80</v>
      </c>
      <c r="K5" s="31">
        <v>0.3</v>
      </c>
      <c r="L5" s="13">
        <f t="shared" ref="L5:L8" si="0">SUM(D5:J5)*(1+K5)</f>
        <v>213.20000000000002</v>
      </c>
    </row>
    <row r="6" spans="2:12" x14ac:dyDescent="0.15">
      <c r="B6" s="119"/>
      <c r="C6" s="3" t="s">
        <v>113</v>
      </c>
      <c r="D6" s="3">
        <v>5</v>
      </c>
      <c r="E6" s="3">
        <v>14</v>
      </c>
      <c r="F6" s="3">
        <v>10</v>
      </c>
      <c r="G6" s="22">
        <v>25</v>
      </c>
      <c r="H6" s="3">
        <v>20</v>
      </c>
      <c r="I6" s="3">
        <v>10</v>
      </c>
      <c r="J6" s="3">
        <v>80</v>
      </c>
      <c r="K6" s="31">
        <v>0.3</v>
      </c>
      <c r="L6" s="13">
        <f t="shared" si="0"/>
        <v>213.20000000000002</v>
      </c>
    </row>
    <row r="7" spans="2:12" x14ac:dyDescent="0.15">
      <c r="B7" s="119"/>
      <c r="C7" s="3" t="s">
        <v>114</v>
      </c>
      <c r="D7" s="3">
        <v>5</v>
      </c>
      <c r="E7" s="3">
        <v>14</v>
      </c>
      <c r="F7" s="3">
        <v>10</v>
      </c>
      <c r="G7" s="22">
        <v>25</v>
      </c>
      <c r="H7" s="3">
        <v>20</v>
      </c>
      <c r="I7" s="3">
        <v>10</v>
      </c>
      <c r="J7" s="3">
        <v>80</v>
      </c>
      <c r="K7" s="31">
        <v>0.3</v>
      </c>
      <c r="L7" s="13">
        <f t="shared" si="0"/>
        <v>213.20000000000002</v>
      </c>
    </row>
    <row r="8" spans="2:12" x14ac:dyDescent="0.15">
      <c r="B8" s="120"/>
      <c r="C8" s="3" t="s">
        <v>115</v>
      </c>
      <c r="D8" s="3">
        <v>5</v>
      </c>
      <c r="E8" s="3">
        <v>14</v>
      </c>
      <c r="F8" s="3">
        <v>10</v>
      </c>
      <c r="G8" s="22">
        <v>25</v>
      </c>
      <c r="H8" s="3">
        <v>20</v>
      </c>
      <c r="I8" s="3">
        <v>10</v>
      </c>
      <c r="J8" s="3">
        <v>80</v>
      </c>
      <c r="K8" s="31">
        <v>0.3</v>
      </c>
      <c r="L8" s="13">
        <f t="shared" si="0"/>
        <v>213.20000000000002</v>
      </c>
    </row>
    <row r="9" spans="2:12" x14ac:dyDescent="0.15">
      <c r="B9" s="32"/>
      <c r="C9" s="11" t="s">
        <v>130</v>
      </c>
      <c r="D9" s="11">
        <f>SUM(D4:D8)/5</f>
        <v>5</v>
      </c>
      <c r="E9" s="11">
        <f t="shared" ref="E9:L9" si="1">SUM(E4:E8)/5</f>
        <v>14</v>
      </c>
      <c r="F9" s="11">
        <f t="shared" si="1"/>
        <v>10</v>
      </c>
      <c r="G9" s="11">
        <f t="shared" si="1"/>
        <v>25</v>
      </c>
      <c r="H9" s="11">
        <f t="shared" si="1"/>
        <v>20</v>
      </c>
      <c r="I9" s="11">
        <f t="shared" si="1"/>
        <v>10</v>
      </c>
      <c r="J9" s="11">
        <f t="shared" si="1"/>
        <v>80</v>
      </c>
      <c r="K9" s="33"/>
      <c r="L9" s="28">
        <f t="shared" si="1"/>
        <v>213.2</v>
      </c>
    </row>
    <row r="10" spans="2:12" x14ac:dyDescent="0.15">
      <c r="B10" s="124" t="s">
        <v>127</v>
      </c>
      <c r="C10" s="34" t="s">
        <v>111</v>
      </c>
      <c r="D10" s="34">
        <f>D$9/5</f>
        <v>1</v>
      </c>
      <c r="E10" s="34">
        <f t="shared" ref="E10:H10" si="2">E$9/5</f>
        <v>2.8</v>
      </c>
      <c r="F10" s="34">
        <f t="shared" si="2"/>
        <v>2</v>
      </c>
      <c r="G10" s="34">
        <f t="shared" si="2"/>
        <v>5</v>
      </c>
      <c r="H10" s="34">
        <f t="shared" si="2"/>
        <v>4</v>
      </c>
      <c r="I10" s="34">
        <v>0</v>
      </c>
      <c r="J10" s="34">
        <v>0</v>
      </c>
      <c r="K10" s="35">
        <v>0</v>
      </c>
      <c r="L10" s="36">
        <f>SUM(D10:J10)*(1+K10)</f>
        <v>14.8</v>
      </c>
    </row>
    <row r="11" spans="2:12" x14ac:dyDescent="0.15">
      <c r="B11" s="125"/>
      <c r="C11" s="34" t="s">
        <v>112</v>
      </c>
      <c r="D11" s="34">
        <f t="shared" ref="D11:H15" si="3">D$9/5</f>
        <v>1</v>
      </c>
      <c r="E11" s="34">
        <f t="shared" si="3"/>
        <v>2.8</v>
      </c>
      <c r="F11" s="34">
        <f t="shared" si="3"/>
        <v>2</v>
      </c>
      <c r="G11" s="34">
        <f t="shared" si="3"/>
        <v>5</v>
      </c>
      <c r="H11" s="34">
        <f t="shared" si="3"/>
        <v>4</v>
      </c>
      <c r="I11" s="34">
        <v>0</v>
      </c>
      <c r="J11" s="34">
        <v>0</v>
      </c>
      <c r="K11" s="35">
        <v>0</v>
      </c>
      <c r="L11" s="36">
        <f t="shared" ref="L11:L14" si="4">SUM(D11:J11)*(1+K11)</f>
        <v>14.8</v>
      </c>
    </row>
    <row r="12" spans="2:12" x14ac:dyDescent="0.15">
      <c r="B12" s="125"/>
      <c r="C12" s="34" t="s">
        <v>113</v>
      </c>
      <c r="D12" s="34">
        <f t="shared" si="3"/>
        <v>1</v>
      </c>
      <c r="E12" s="34">
        <f t="shared" si="3"/>
        <v>2.8</v>
      </c>
      <c r="F12" s="34">
        <f t="shared" si="3"/>
        <v>2</v>
      </c>
      <c r="G12" s="34">
        <f t="shared" si="3"/>
        <v>5</v>
      </c>
      <c r="H12" s="34">
        <f t="shared" si="3"/>
        <v>4</v>
      </c>
      <c r="I12" s="34">
        <v>0</v>
      </c>
      <c r="J12" s="34">
        <v>0</v>
      </c>
      <c r="K12" s="35">
        <v>0</v>
      </c>
      <c r="L12" s="36">
        <f t="shared" si="4"/>
        <v>14.8</v>
      </c>
    </row>
    <row r="13" spans="2:12" x14ac:dyDescent="0.15">
      <c r="B13" s="125"/>
      <c r="C13" s="34" t="s">
        <v>114</v>
      </c>
      <c r="D13" s="34">
        <f t="shared" si="3"/>
        <v>1</v>
      </c>
      <c r="E13" s="34">
        <f t="shared" si="3"/>
        <v>2.8</v>
      </c>
      <c r="F13" s="34">
        <f t="shared" si="3"/>
        <v>2</v>
      </c>
      <c r="G13" s="34">
        <f t="shared" si="3"/>
        <v>5</v>
      </c>
      <c r="H13" s="34">
        <f t="shared" si="3"/>
        <v>4</v>
      </c>
      <c r="I13" s="34">
        <v>0</v>
      </c>
      <c r="J13" s="34">
        <v>0</v>
      </c>
      <c r="K13" s="35">
        <v>0</v>
      </c>
      <c r="L13" s="36">
        <f t="shared" si="4"/>
        <v>14.8</v>
      </c>
    </row>
    <row r="14" spans="2:12" x14ac:dyDescent="0.15">
      <c r="B14" s="126"/>
      <c r="C14" s="34" t="s">
        <v>115</v>
      </c>
      <c r="D14" s="34">
        <f t="shared" si="3"/>
        <v>1</v>
      </c>
      <c r="E14" s="34">
        <f t="shared" si="3"/>
        <v>2.8</v>
      </c>
      <c r="F14" s="34">
        <f t="shared" si="3"/>
        <v>2</v>
      </c>
      <c r="G14" s="34">
        <f t="shared" si="3"/>
        <v>5</v>
      </c>
      <c r="H14" s="34">
        <f t="shared" si="3"/>
        <v>4</v>
      </c>
      <c r="I14" s="34">
        <v>0</v>
      </c>
      <c r="J14" s="34">
        <v>0</v>
      </c>
      <c r="K14" s="35">
        <v>0</v>
      </c>
      <c r="L14" s="36">
        <f t="shared" si="4"/>
        <v>14.8</v>
      </c>
    </row>
    <row r="15" spans="2:12" x14ac:dyDescent="0.15">
      <c r="B15" s="127" t="s">
        <v>128</v>
      </c>
      <c r="C15" s="38" t="s">
        <v>111</v>
      </c>
      <c r="D15" s="38">
        <f>D$9/5</f>
        <v>1</v>
      </c>
      <c r="E15" s="38">
        <f t="shared" si="3"/>
        <v>2.8</v>
      </c>
      <c r="F15" s="38">
        <f t="shared" si="3"/>
        <v>2</v>
      </c>
      <c r="G15" s="38">
        <f t="shared" si="3"/>
        <v>5</v>
      </c>
      <c r="H15" s="38">
        <f t="shared" si="3"/>
        <v>4</v>
      </c>
      <c r="I15" s="39">
        <f>$I$9*2/3</f>
        <v>6.666666666666667</v>
      </c>
      <c r="J15" s="38">
        <f>$J$9*7/28</f>
        <v>20</v>
      </c>
      <c r="K15" s="40">
        <v>0.39</v>
      </c>
      <c r="L15" s="41">
        <f>SUM(D15:J15)*(1+K15)</f>
        <v>57.638666666666673</v>
      </c>
    </row>
    <row r="16" spans="2:12" x14ac:dyDescent="0.15">
      <c r="B16" s="128"/>
      <c r="C16" s="38" t="s">
        <v>112</v>
      </c>
      <c r="D16" s="38">
        <f t="shared" ref="D16:H20" si="5">D$9/5</f>
        <v>1</v>
      </c>
      <c r="E16" s="38">
        <f t="shared" si="5"/>
        <v>2.8</v>
      </c>
      <c r="F16" s="38">
        <f t="shared" si="5"/>
        <v>2</v>
      </c>
      <c r="G16" s="38">
        <f t="shared" si="5"/>
        <v>5</v>
      </c>
      <c r="H16" s="38">
        <f t="shared" si="5"/>
        <v>4</v>
      </c>
      <c r="I16" s="39">
        <f t="shared" ref="I16:I19" si="6">$I$9*2/3</f>
        <v>6.666666666666667</v>
      </c>
      <c r="J16" s="38">
        <f t="shared" ref="J16:J19" si="7">$J$9*7/28</f>
        <v>20</v>
      </c>
      <c r="K16" s="40">
        <v>0.39</v>
      </c>
      <c r="L16" s="41">
        <f t="shared" ref="L16:L29" si="8">SUM(D16:J16)*(1+K16)</f>
        <v>57.638666666666673</v>
      </c>
    </row>
    <row r="17" spans="2:13" x14ac:dyDescent="0.15">
      <c r="B17" s="128"/>
      <c r="C17" s="38" t="s">
        <v>113</v>
      </c>
      <c r="D17" s="38">
        <f t="shared" si="5"/>
        <v>1</v>
      </c>
      <c r="E17" s="38">
        <f t="shared" si="5"/>
        <v>2.8</v>
      </c>
      <c r="F17" s="38">
        <f t="shared" si="5"/>
        <v>2</v>
      </c>
      <c r="G17" s="38">
        <f t="shared" si="5"/>
        <v>5</v>
      </c>
      <c r="H17" s="38">
        <f t="shared" si="5"/>
        <v>4</v>
      </c>
      <c r="I17" s="39">
        <f t="shared" si="6"/>
        <v>6.666666666666667</v>
      </c>
      <c r="J17" s="38">
        <f t="shared" si="7"/>
        <v>20</v>
      </c>
      <c r="K17" s="40">
        <v>0.39</v>
      </c>
      <c r="L17" s="41">
        <f t="shared" si="8"/>
        <v>57.638666666666673</v>
      </c>
    </row>
    <row r="18" spans="2:13" x14ac:dyDescent="0.15">
      <c r="B18" s="128"/>
      <c r="C18" s="38" t="s">
        <v>114</v>
      </c>
      <c r="D18" s="38">
        <f t="shared" si="5"/>
        <v>1</v>
      </c>
      <c r="E18" s="38">
        <f t="shared" si="5"/>
        <v>2.8</v>
      </c>
      <c r="F18" s="38">
        <f t="shared" si="5"/>
        <v>2</v>
      </c>
      <c r="G18" s="38">
        <f t="shared" si="5"/>
        <v>5</v>
      </c>
      <c r="H18" s="38">
        <f t="shared" si="5"/>
        <v>4</v>
      </c>
      <c r="I18" s="39">
        <f t="shared" si="6"/>
        <v>6.666666666666667</v>
      </c>
      <c r="J18" s="38">
        <f t="shared" si="7"/>
        <v>20</v>
      </c>
      <c r="K18" s="40">
        <v>0</v>
      </c>
      <c r="L18" s="41">
        <f t="shared" si="8"/>
        <v>41.466666666666669</v>
      </c>
    </row>
    <row r="19" spans="2:13" x14ac:dyDescent="0.15">
      <c r="B19" s="129"/>
      <c r="C19" s="38" t="s">
        <v>115</v>
      </c>
      <c r="D19" s="38">
        <f t="shared" si="5"/>
        <v>1</v>
      </c>
      <c r="E19" s="38">
        <f t="shared" si="5"/>
        <v>2.8</v>
      </c>
      <c r="F19" s="38">
        <f t="shared" si="5"/>
        <v>2</v>
      </c>
      <c r="G19" s="38">
        <f t="shared" si="5"/>
        <v>5</v>
      </c>
      <c r="H19" s="38">
        <f t="shared" si="5"/>
        <v>4</v>
      </c>
      <c r="I19" s="39">
        <f t="shared" si="6"/>
        <v>6.666666666666667</v>
      </c>
      <c r="J19" s="38">
        <f t="shared" si="7"/>
        <v>20</v>
      </c>
      <c r="K19" s="40">
        <v>0</v>
      </c>
      <c r="L19" s="41">
        <f t="shared" si="8"/>
        <v>41.466666666666669</v>
      </c>
    </row>
    <row r="20" spans="2:13" x14ac:dyDescent="0.15">
      <c r="B20" s="130" t="s">
        <v>61</v>
      </c>
      <c r="C20" s="24" t="s">
        <v>111</v>
      </c>
      <c r="D20" s="64">
        <v>1</v>
      </c>
      <c r="E20" s="64">
        <f>E$9/5</f>
        <v>2.8</v>
      </c>
      <c r="F20" s="64">
        <f t="shared" si="5"/>
        <v>2</v>
      </c>
      <c r="G20" s="64">
        <f t="shared" si="5"/>
        <v>5</v>
      </c>
      <c r="H20" s="64">
        <f t="shared" si="5"/>
        <v>4</v>
      </c>
      <c r="I20" s="64"/>
      <c r="J20" s="64">
        <f>J$9*7/28</f>
        <v>20</v>
      </c>
      <c r="K20" s="65">
        <f>宠物缘分!G34*1/2</f>
        <v>0.44999999999999996</v>
      </c>
      <c r="L20" s="37">
        <f t="shared" si="8"/>
        <v>50.459999999999994</v>
      </c>
      <c r="M20" s="73">
        <f>L20*INDEX([1]战斗预期!$C$4:$G$4,1,ROW(A1))</f>
        <v>5045.9999999999991</v>
      </c>
    </row>
    <row r="21" spans="2:13" x14ac:dyDescent="0.15">
      <c r="B21" s="130"/>
      <c r="C21" s="24" t="s">
        <v>112</v>
      </c>
      <c r="D21" s="64">
        <v>1</v>
      </c>
      <c r="E21" s="64">
        <f t="shared" ref="E21:H29" si="9">E$9/5</f>
        <v>2.8</v>
      </c>
      <c r="F21" s="64">
        <f t="shared" si="9"/>
        <v>2</v>
      </c>
      <c r="G21" s="64">
        <f t="shared" si="9"/>
        <v>5</v>
      </c>
      <c r="H21" s="64">
        <f t="shared" si="9"/>
        <v>4</v>
      </c>
      <c r="I21" s="66">
        <f>I$9*2/3</f>
        <v>6.666666666666667</v>
      </c>
      <c r="J21" s="64">
        <f>J$9*7/28</f>
        <v>20</v>
      </c>
      <c r="K21" s="65">
        <f>宠物缘分!G34*1/2</f>
        <v>0.44999999999999996</v>
      </c>
      <c r="L21" s="37">
        <f t="shared" si="8"/>
        <v>60.126666666666665</v>
      </c>
      <c r="M21" s="73">
        <f>L21*INDEX([1]战斗预期!$C$4:$G$4,1,ROW(A2))</f>
        <v>601.26666666666665</v>
      </c>
    </row>
    <row r="22" spans="2:13" x14ac:dyDescent="0.15">
      <c r="B22" s="130"/>
      <c r="C22" s="24" t="s">
        <v>113</v>
      </c>
      <c r="D22" s="64">
        <v>1</v>
      </c>
      <c r="E22" s="64">
        <f t="shared" si="9"/>
        <v>2.8</v>
      </c>
      <c r="F22" s="64">
        <f t="shared" si="9"/>
        <v>2</v>
      </c>
      <c r="G22" s="64">
        <f t="shared" si="9"/>
        <v>5</v>
      </c>
      <c r="H22" s="64">
        <f t="shared" si="9"/>
        <v>4</v>
      </c>
      <c r="I22" s="64"/>
      <c r="J22" s="64"/>
      <c r="K22" s="65"/>
      <c r="L22" s="37">
        <f t="shared" si="8"/>
        <v>14.8</v>
      </c>
      <c r="M22" s="73">
        <f>L22*INDEX([1]战斗预期!$C$4:$G$4,1,ROW(A3))</f>
        <v>74</v>
      </c>
    </row>
    <row r="23" spans="2:13" x14ac:dyDescent="0.15">
      <c r="B23" s="130"/>
      <c r="C23" s="24" t="s">
        <v>114</v>
      </c>
      <c r="D23" s="64">
        <v>1</v>
      </c>
      <c r="E23" s="64">
        <f t="shared" si="9"/>
        <v>2.8</v>
      </c>
      <c r="F23" s="64">
        <f t="shared" si="9"/>
        <v>2</v>
      </c>
      <c r="G23" s="64">
        <f t="shared" si="9"/>
        <v>5</v>
      </c>
      <c r="H23" s="64">
        <f t="shared" si="9"/>
        <v>4</v>
      </c>
      <c r="I23" s="64"/>
      <c r="J23" s="64">
        <f>J$9*7/28</f>
        <v>20</v>
      </c>
      <c r="K23" s="65"/>
      <c r="L23" s="37">
        <f t="shared" si="8"/>
        <v>34.799999999999997</v>
      </c>
      <c r="M23" s="73">
        <f>L23*INDEX([1]战斗预期!$C$4:$G$4,1,ROW(A4))</f>
        <v>139.19999999999999</v>
      </c>
    </row>
    <row r="24" spans="2:13" x14ac:dyDescent="0.15">
      <c r="B24" s="130"/>
      <c r="C24" s="24" t="s">
        <v>115</v>
      </c>
      <c r="D24" s="64">
        <v>1</v>
      </c>
      <c r="E24" s="64">
        <f t="shared" si="9"/>
        <v>2.8</v>
      </c>
      <c r="F24" s="64">
        <f t="shared" si="9"/>
        <v>2</v>
      </c>
      <c r="G24" s="64">
        <f t="shared" si="9"/>
        <v>5</v>
      </c>
      <c r="H24" s="64">
        <f t="shared" si="9"/>
        <v>4</v>
      </c>
      <c r="I24" s="66">
        <f>I$9*1/3</f>
        <v>3.3333333333333335</v>
      </c>
      <c r="J24" s="64">
        <f>J$9*7/28</f>
        <v>20</v>
      </c>
      <c r="K24" s="65"/>
      <c r="L24" s="37">
        <f t="shared" si="8"/>
        <v>38.133333333333333</v>
      </c>
      <c r="M24" s="73">
        <f>L24*INDEX([1]战斗预期!$C$4:$G$4,1,ROW(A5))</f>
        <v>152.53333333333333</v>
      </c>
    </row>
    <row r="25" spans="2:13" x14ac:dyDescent="0.15">
      <c r="B25" s="131" t="s">
        <v>60</v>
      </c>
      <c r="C25" s="67" t="s">
        <v>111</v>
      </c>
      <c r="D25" s="68">
        <v>1</v>
      </c>
      <c r="E25" s="68">
        <f t="shared" si="9"/>
        <v>2.8</v>
      </c>
      <c r="F25" s="68">
        <f t="shared" si="9"/>
        <v>2</v>
      </c>
      <c r="G25" s="68">
        <f t="shared" si="9"/>
        <v>5</v>
      </c>
      <c r="H25" s="68">
        <f t="shared" si="9"/>
        <v>4</v>
      </c>
      <c r="I25" s="69">
        <f>I$9*2/3</f>
        <v>6.666666666666667</v>
      </c>
      <c r="J25" s="69">
        <f>J$9*7/28</f>
        <v>20</v>
      </c>
      <c r="K25" s="70">
        <f>宠物缘分!G34*1/2</f>
        <v>0.44999999999999996</v>
      </c>
      <c r="L25" s="71">
        <f t="shared" si="8"/>
        <v>60.126666666666665</v>
      </c>
      <c r="M25" s="73">
        <f>L25*INDEX([1]战斗预期!$C$4:$G$4,1,ROW(A1))</f>
        <v>6012.6666666666661</v>
      </c>
    </row>
    <row r="26" spans="2:13" x14ac:dyDescent="0.15">
      <c r="B26" s="131"/>
      <c r="C26" s="67" t="s">
        <v>112</v>
      </c>
      <c r="D26" s="68">
        <v>1</v>
      </c>
      <c r="E26" s="68">
        <f t="shared" si="9"/>
        <v>2.8</v>
      </c>
      <c r="F26" s="68">
        <f t="shared" si="9"/>
        <v>2</v>
      </c>
      <c r="G26" s="68">
        <f t="shared" si="9"/>
        <v>5</v>
      </c>
      <c r="H26" s="68">
        <f t="shared" si="9"/>
        <v>4</v>
      </c>
      <c r="I26" s="69"/>
      <c r="J26" s="69">
        <v>7</v>
      </c>
      <c r="K26" s="70"/>
      <c r="L26" s="71">
        <f t="shared" si="8"/>
        <v>21.8</v>
      </c>
      <c r="M26" s="73">
        <f>L26*INDEX([1]战斗预期!$C$4:$G$4,1,ROW(A2))</f>
        <v>218</v>
      </c>
    </row>
    <row r="27" spans="2:13" x14ac:dyDescent="0.15">
      <c r="B27" s="131"/>
      <c r="C27" s="67" t="s">
        <v>113</v>
      </c>
      <c r="D27" s="68">
        <v>1</v>
      </c>
      <c r="E27" s="68">
        <f t="shared" si="9"/>
        <v>2.8</v>
      </c>
      <c r="F27" s="68">
        <f t="shared" si="9"/>
        <v>2</v>
      </c>
      <c r="G27" s="68">
        <f t="shared" si="9"/>
        <v>5</v>
      </c>
      <c r="H27" s="68">
        <f t="shared" si="9"/>
        <v>4</v>
      </c>
      <c r="I27" s="69"/>
      <c r="J27" s="69">
        <v>8</v>
      </c>
      <c r="K27" s="70">
        <f>宠物缘分!G34*1/2</f>
        <v>0.44999999999999996</v>
      </c>
      <c r="L27" s="71">
        <f t="shared" si="8"/>
        <v>33.06</v>
      </c>
      <c r="M27" s="73">
        <f>L27*INDEX([1]战斗预期!$C$4:$G$4,1,ROW(A3))</f>
        <v>165.3</v>
      </c>
    </row>
    <row r="28" spans="2:13" x14ac:dyDescent="0.15">
      <c r="B28" s="131"/>
      <c r="C28" s="67" t="s">
        <v>114</v>
      </c>
      <c r="D28" s="68">
        <v>1</v>
      </c>
      <c r="E28" s="68">
        <f t="shared" si="9"/>
        <v>2.8</v>
      </c>
      <c r="F28" s="68">
        <f t="shared" si="9"/>
        <v>2</v>
      </c>
      <c r="G28" s="68">
        <f t="shared" si="9"/>
        <v>5</v>
      </c>
      <c r="H28" s="68">
        <f t="shared" si="9"/>
        <v>4</v>
      </c>
      <c r="I28" s="69">
        <f>I$9*1/3</f>
        <v>3.3333333333333335</v>
      </c>
      <c r="J28" s="69">
        <f t="shared" ref="J28:J29" si="10">J$9*7/28</f>
        <v>20</v>
      </c>
      <c r="K28" s="70"/>
      <c r="L28" s="71">
        <f t="shared" si="8"/>
        <v>38.133333333333333</v>
      </c>
      <c r="M28" s="73">
        <f>L28*INDEX([1]战斗预期!$C$4:$G$4,1,ROW(A4))</f>
        <v>152.53333333333333</v>
      </c>
    </row>
    <row r="29" spans="2:13" x14ac:dyDescent="0.15">
      <c r="B29" s="131"/>
      <c r="C29" s="67" t="s">
        <v>115</v>
      </c>
      <c r="D29" s="68">
        <v>1</v>
      </c>
      <c r="E29" s="68">
        <f t="shared" si="9"/>
        <v>2.8</v>
      </c>
      <c r="F29" s="68">
        <f t="shared" si="9"/>
        <v>2</v>
      </c>
      <c r="G29" s="68">
        <f t="shared" si="9"/>
        <v>5</v>
      </c>
      <c r="H29" s="68">
        <f t="shared" si="9"/>
        <v>4</v>
      </c>
      <c r="I29" s="69"/>
      <c r="J29" s="69">
        <f t="shared" si="10"/>
        <v>20</v>
      </c>
      <c r="K29" s="70"/>
      <c r="L29" s="71">
        <f t="shared" si="8"/>
        <v>34.799999999999997</v>
      </c>
      <c r="M29" s="73">
        <f>L29*INDEX([1]战斗预期!$C$4:$G$4,1,ROW(A5))</f>
        <v>139.19999999999999</v>
      </c>
    </row>
    <row r="30" spans="2:13" x14ac:dyDescent="0.15">
      <c r="B30" s="30" t="s">
        <v>234</v>
      </c>
      <c r="D30" s="72">
        <f>M20/(M21*(1-0.4))</f>
        <v>13.987138263665592</v>
      </c>
    </row>
    <row r="31" spans="2:13" x14ac:dyDescent="0.15">
      <c r="B31" s="30" t="s">
        <v>235</v>
      </c>
      <c r="D31" s="72">
        <f>M25/(M26*(1-0.6))</f>
        <v>68.952599388379198</v>
      </c>
    </row>
    <row r="32" spans="2:13" x14ac:dyDescent="0.15">
      <c r="B32" s="30" t="s">
        <v>236</v>
      </c>
      <c r="D32" s="72">
        <f>M20/(M26*(1-0.4))</f>
        <v>38.577981651376142</v>
      </c>
    </row>
    <row r="33" spans="2:4" x14ac:dyDescent="0.15">
      <c r="B33" s="30" t="s">
        <v>237</v>
      </c>
      <c r="D33" s="72">
        <f>M25/(M21*(1-0.6))</f>
        <v>24.999999999999996</v>
      </c>
    </row>
  </sheetData>
  <mergeCells count="5">
    <mergeCell ref="B4:B8"/>
    <mergeCell ref="B10:B14"/>
    <mergeCell ref="B15:B19"/>
    <mergeCell ref="B20:B24"/>
    <mergeCell ref="B25:B2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F107"/>
  <sheetViews>
    <sheetView workbookViewId="0">
      <selection activeCell="AJ8" sqref="AJ8:AJ107"/>
    </sheetView>
  </sheetViews>
  <sheetFormatPr defaultRowHeight="11.25" x14ac:dyDescent="0.15"/>
  <cols>
    <col min="1" max="1" width="16.875" style="1" customWidth="1"/>
    <col min="2" max="3" width="13.75" style="1" customWidth="1"/>
    <col min="4" max="4" width="9" style="1"/>
    <col min="5" max="5" width="13.375" style="1" customWidth="1"/>
    <col min="6" max="33" width="9" style="1"/>
    <col min="34" max="34" width="9.75" style="1" bestFit="1" customWidth="1"/>
    <col min="35" max="16384" width="9" style="1"/>
  </cols>
  <sheetData>
    <row r="1" spans="1:58" x14ac:dyDescent="0.15">
      <c r="A1" s="3" t="s">
        <v>95</v>
      </c>
      <c r="B1" s="3">
        <f>宠物成长!C3</f>
        <v>5</v>
      </c>
    </row>
    <row r="2" spans="1:58" x14ac:dyDescent="0.15">
      <c r="A2" s="3" t="s">
        <v>94</v>
      </c>
      <c r="B2" s="3">
        <f>宠物成长!C1</f>
        <v>60</v>
      </c>
      <c r="C2" s="3" t="s">
        <v>262</v>
      </c>
      <c r="D2" s="3">
        <v>24</v>
      </c>
      <c r="E2" s="3" t="s">
        <v>98</v>
      </c>
      <c r="F2" s="3">
        <f>宠物天赋!B1</f>
        <v>20</v>
      </c>
      <c r="G2" s="3" t="s">
        <v>131</v>
      </c>
      <c r="H2" s="3">
        <v>0.25</v>
      </c>
      <c r="I2" s="42"/>
      <c r="J2" s="42"/>
      <c r="O2" s="1">
        <f>(VLOOKUP(K8,$I$8:$J$107,2,FALSE)-J$8)*$B$3/$B$1</f>
        <v>0</v>
      </c>
      <c r="P2" s="1">
        <f>(B$2+B$3/B$1*J$8)</f>
        <v>62</v>
      </c>
      <c r="Q2" s="1">
        <f>(1+VLOOKUP(L8,$A$49:$F$69,4,FALSE)+VLOOKUP(M8,$A$72:$D$77,3,FALSE))</f>
        <v>1</v>
      </c>
      <c r="AK2" s="1">
        <f>156+156+249</f>
        <v>561</v>
      </c>
      <c r="AL2" s="9">
        <f>宠物成长!L30+宠物属性!AK2</f>
        <v>2297</v>
      </c>
      <c r="AM2" s="9">
        <f>AL2-1245</f>
        <v>1052</v>
      </c>
    </row>
    <row r="3" spans="1:58" x14ac:dyDescent="0.15">
      <c r="A3" s="3" t="s">
        <v>266</v>
      </c>
      <c r="B3" s="1">
        <f>宠物成长!C4</f>
        <v>2</v>
      </c>
      <c r="C3" s="3" t="s">
        <v>263</v>
      </c>
      <c r="D3" s="3">
        <v>4</v>
      </c>
      <c r="E3" s="3" t="s">
        <v>99</v>
      </c>
      <c r="F3" s="3">
        <f>宠物天赋!B4</f>
        <v>10</v>
      </c>
      <c r="G3" s="3" t="s">
        <v>132</v>
      </c>
      <c r="H3" s="3">
        <v>0.25</v>
      </c>
      <c r="I3" s="42"/>
      <c r="J3" s="42"/>
    </row>
    <row r="4" spans="1:58" s="26" customFormat="1" x14ac:dyDescent="0.15">
      <c r="A4" s="22" t="s">
        <v>86</v>
      </c>
      <c r="B4" s="22" t="s">
        <v>137</v>
      </c>
      <c r="C4" s="22" t="s">
        <v>249</v>
      </c>
      <c r="D4" s="22" t="s">
        <v>261</v>
      </c>
      <c r="E4" s="22" t="s">
        <v>253</v>
      </c>
      <c r="F4" s="22" t="s">
        <v>255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58" x14ac:dyDescent="0.15">
      <c r="A5" s="22">
        <v>1</v>
      </c>
      <c r="B5" s="23">
        <v>1</v>
      </c>
      <c r="C5" s="23">
        <v>0</v>
      </c>
      <c r="D5" s="78">
        <v>0</v>
      </c>
      <c r="E5" s="23">
        <v>0</v>
      </c>
      <c r="F5" s="23">
        <v>0</v>
      </c>
      <c r="N5" s="122" t="s">
        <v>293</v>
      </c>
      <c r="O5" s="122"/>
      <c r="P5" s="122"/>
      <c r="Q5" s="122" t="s">
        <v>293</v>
      </c>
      <c r="R5" s="122"/>
      <c r="S5" s="122"/>
      <c r="AA5" s="11" t="s">
        <v>292</v>
      </c>
      <c r="AB5" s="11" t="s">
        <v>294</v>
      </c>
      <c r="AK5" s="114" t="s">
        <v>309</v>
      </c>
      <c r="AL5" s="114"/>
      <c r="AM5" s="114"/>
      <c r="AN5" s="114"/>
      <c r="AO5" s="114"/>
    </row>
    <row r="6" spans="1:58" ht="13.5" customHeight="1" x14ac:dyDescent="0.15">
      <c r="A6" s="22">
        <v>5</v>
      </c>
      <c r="B6" s="63">
        <v>1.5</v>
      </c>
      <c r="C6" s="23">
        <v>0.5</v>
      </c>
      <c r="D6" s="78">
        <v>1.5</v>
      </c>
      <c r="E6" s="23">
        <v>2</v>
      </c>
      <c r="F6" s="23">
        <v>36</v>
      </c>
      <c r="I6" s="134" t="s">
        <v>101</v>
      </c>
      <c r="J6" s="134" t="s">
        <v>102</v>
      </c>
      <c r="K6" s="133" t="s">
        <v>103</v>
      </c>
      <c r="L6" s="139" t="s">
        <v>140</v>
      </c>
      <c r="M6" s="139" t="s">
        <v>141</v>
      </c>
      <c r="N6" s="133" t="s">
        <v>104</v>
      </c>
      <c r="O6" s="133" t="s">
        <v>105</v>
      </c>
      <c r="P6" s="133" t="s">
        <v>106</v>
      </c>
      <c r="Q6" s="133" t="s">
        <v>104</v>
      </c>
      <c r="R6" s="133" t="s">
        <v>105</v>
      </c>
      <c r="S6" s="133" t="s">
        <v>106</v>
      </c>
      <c r="T6" s="133" t="s">
        <v>107</v>
      </c>
      <c r="U6" s="133" t="s">
        <v>108</v>
      </c>
      <c r="V6" s="133" t="s">
        <v>109</v>
      </c>
      <c r="W6" s="139" t="s">
        <v>233</v>
      </c>
      <c r="X6" s="135" t="s">
        <v>133</v>
      </c>
      <c r="Y6" s="135" t="s">
        <v>134</v>
      </c>
      <c r="Z6" s="132" t="s">
        <v>92</v>
      </c>
      <c r="AA6" s="132" t="s">
        <v>93</v>
      </c>
      <c r="AB6" s="132" t="s">
        <v>93</v>
      </c>
      <c r="AC6" s="132" t="s">
        <v>96</v>
      </c>
      <c r="AD6" s="132" t="s">
        <v>97</v>
      </c>
      <c r="AE6" s="141" t="s">
        <v>269</v>
      </c>
      <c r="AF6" s="137" t="s">
        <v>270</v>
      </c>
      <c r="AG6" s="137" t="s">
        <v>135</v>
      </c>
      <c r="AH6" s="137" t="s">
        <v>271</v>
      </c>
      <c r="AI6" s="137" t="s">
        <v>272</v>
      </c>
      <c r="AJ6" s="132" t="s">
        <v>100</v>
      </c>
      <c r="AK6" s="132" t="s">
        <v>304</v>
      </c>
      <c r="AL6" s="132" t="s">
        <v>305</v>
      </c>
      <c r="AM6" s="132" t="s">
        <v>306</v>
      </c>
      <c r="AN6" s="132" t="s">
        <v>307</v>
      </c>
      <c r="AO6" s="132" t="s">
        <v>308</v>
      </c>
    </row>
    <row r="7" spans="1:58" x14ac:dyDescent="0.15">
      <c r="A7" s="24">
        <v>10</v>
      </c>
      <c r="B7" s="63">
        <v>2</v>
      </c>
      <c r="C7" s="23">
        <v>1</v>
      </c>
      <c r="D7" s="78">
        <v>3</v>
      </c>
      <c r="E7" s="23">
        <v>4</v>
      </c>
      <c r="F7" s="23">
        <v>72</v>
      </c>
      <c r="I7" s="134"/>
      <c r="J7" s="134"/>
      <c r="K7" s="133"/>
      <c r="L7" s="140"/>
      <c r="M7" s="140"/>
      <c r="N7" s="133"/>
      <c r="O7" s="133"/>
      <c r="P7" s="133"/>
      <c r="Q7" s="133"/>
      <c r="R7" s="133"/>
      <c r="S7" s="133"/>
      <c r="T7" s="133"/>
      <c r="U7" s="133"/>
      <c r="V7" s="133"/>
      <c r="W7" s="140"/>
      <c r="X7" s="136"/>
      <c r="Y7" s="136"/>
      <c r="Z7" s="132"/>
      <c r="AA7" s="132"/>
      <c r="AB7" s="132"/>
      <c r="AC7" s="132"/>
      <c r="AD7" s="132"/>
      <c r="AE7" s="142"/>
      <c r="AF7" s="138"/>
      <c r="AG7" s="138"/>
      <c r="AH7" s="138"/>
      <c r="AI7" s="138"/>
      <c r="AJ7" s="132"/>
      <c r="AK7" s="132"/>
      <c r="AL7" s="132"/>
      <c r="AM7" s="132"/>
      <c r="AN7" s="132"/>
      <c r="AO7" s="132"/>
      <c r="AQ7" s="3" t="s">
        <v>273</v>
      </c>
      <c r="AR7" s="3" t="s">
        <v>274</v>
      </c>
      <c r="AS7" s="3" t="s">
        <v>275</v>
      </c>
      <c r="AT7" s="3" t="s">
        <v>276</v>
      </c>
      <c r="AU7" s="3" t="s">
        <v>277</v>
      </c>
      <c r="AV7" s="3" t="s">
        <v>278</v>
      </c>
      <c r="AW7" s="3" t="s">
        <v>279</v>
      </c>
    </row>
    <row r="8" spans="1:58" x14ac:dyDescent="0.15">
      <c r="A8" s="22">
        <v>15</v>
      </c>
      <c r="B8" s="63">
        <v>2.5</v>
      </c>
      <c r="C8" s="23">
        <v>1.5</v>
      </c>
      <c r="D8" s="78">
        <v>5.5</v>
      </c>
      <c r="E8" s="23">
        <v>6</v>
      </c>
      <c r="F8" s="23">
        <v>132</v>
      </c>
      <c r="I8" s="27">
        <v>1</v>
      </c>
      <c r="J8" s="27">
        <f>[1]属性成长!$D8</f>
        <v>5</v>
      </c>
      <c r="K8" s="4">
        <v>1</v>
      </c>
      <c r="L8" s="4">
        <f t="shared" ref="L8:L39" si="0">INDEX($A$49:$A$69,MATCH(K8,$A$49:$A$69,1),1)</f>
        <v>1</v>
      </c>
      <c r="M8" s="4">
        <v>1</v>
      </c>
      <c r="N8" s="4">
        <v>1</v>
      </c>
      <c r="O8" s="4">
        <v>1</v>
      </c>
      <c r="P8" s="4">
        <v>0</v>
      </c>
      <c r="Q8" s="4">
        <v>1</v>
      </c>
      <c r="R8" s="4">
        <v>1</v>
      </c>
      <c r="S8" s="4">
        <v>0</v>
      </c>
      <c r="T8" s="4">
        <v>1</v>
      </c>
      <c r="U8" s="4">
        <v>0</v>
      </c>
      <c r="V8" s="4">
        <v>0</v>
      </c>
      <c r="W8" s="4">
        <v>0</v>
      </c>
      <c r="X8" s="5">
        <v>0</v>
      </c>
      <c r="Y8" s="5">
        <v>0</v>
      </c>
      <c r="Z8" s="13">
        <f>((VLOOKUP(K8,$I$8:$J$107,2,FALSE)-J$8)*$B$3/$B$1)*(1+VLOOKUP(L8,$A$49:$F$69,3,FALSE)+VLOOKUP(M8,$A$72:$D$77,2,FALSE))+(B$2+B$3/B$1*J$8)*(1+VLOOKUP(L8,$A$49:$F$69,4,FALSE)+VLOOKUP(M8,$A$72:$D$77,3,FALSE))</f>
        <v>62</v>
      </c>
      <c r="AA8" s="13">
        <f>ROUND(5/9*($D$2+D$3/B$1*J$8),0)*(1+VLOOKUP(O8,$A$5:$F$25,4,FALSE)+VLOOKUP(P8,$A$28:$E$34,3,FALSE))+5/9*$D$3/$B$1*(VLOOKUP(N8,$I$8:$J$107,2,FALSE)-J$8)*(1+VLOOKUP(O8,$A$5:$F$25,3,FALSE)+VLOOKUP(P8,$A$28:$E$34,2,FALSE))</f>
        <v>16</v>
      </c>
      <c r="AB8" s="13">
        <f>ROUND(4/9*($D$2+D$3/B$1*J$8),0)*(1+VLOOKUP(R8,$A$5:$F$25,4,FALSE)+VLOOKUP(S8,$A$28:$E$34,3,FALSE))+4/9*$D$3/$B$1*(VLOOKUP(Q8,$I$8:$J$107,2,FALSE)-J$8)*(1+VLOOKUP(R8,$A$5:$F$25,3,FALSE)+VLOOKUP(S8,$A$28:$E$34,2,FALSE))</f>
        <v>12</v>
      </c>
      <c r="AC8" s="13">
        <f t="shared" ref="AC8:AC39" si="1">VLOOKUP(T8,$A$37:$C$46,3,FALSE)*U8</f>
        <v>0</v>
      </c>
      <c r="AD8" s="13">
        <f>IF(V8=0,0,VLOOKUP(V8,$I$8:$J$107,2,FALSE)*$F$3/$B$1+$F$2)</f>
        <v>0</v>
      </c>
      <c r="AE8" s="28">
        <f>SUM(Z8:AD8)</f>
        <v>90</v>
      </c>
      <c r="AF8" s="79">
        <f>INDEX(宠物缘分!$G$30:$G$34,MATCH(M8,宠物缘分!$B$30:$B$34,0),1)*IF(W8=2,1/4,IF(W8=3,1/2,IF(W8=4,3/4,IF(W8&gt;4,1,0))))/5</f>
        <v>0</v>
      </c>
      <c r="AG8" s="79">
        <f t="shared" ref="AG8:AG39" si="2">SUM(X8:Y8)</f>
        <v>0</v>
      </c>
      <c r="AH8" s="6">
        <f>SUM($Z8:$AD8)*AF8</f>
        <v>0</v>
      </c>
      <c r="AI8" s="6">
        <f>SUM($Z8:$AD8)*AG8</f>
        <v>0</v>
      </c>
      <c r="AJ8" s="28">
        <f>SUM(Z8:AD8)*(1+AF8)*(1+AG8)</f>
        <v>90</v>
      </c>
      <c r="AK8" s="28">
        <f>$AJ8/5*[1]战斗预期!C$4</f>
        <v>1800</v>
      </c>
      <c r="AL8" s="28">
        <f>$AJ8/5*[1]战斗预期!D$4</f>
        <v>180</v>
      </c>
      <c r="AM8" s="28">
        <f>$AJ8/5*[1]战斗预期!E$4</f>
        <v>90</v>
      </c>
      <c r="AN8" s="28">
        <f>$AJ8/5*[1]战斗预期!F$4</f>
        <v>72</v>
      </c>
      <c r="AO8" s="28">
        <f>$AJ8/5*[1]战斗预期!G$4</f>
        <v>72</v>
      </c>
      <c r="AP8" s="9">
        <f>SUM(Z8:AD8)*(1+AF8)*(1+AG8)</f>
        <v>90</v>
      </c>
      <c r="AQ8" s="3">
        <v>10</v>
      </c>
      <c r="AR8" s="13">
        <f>Z17</f>
        <v>205.1</v>
      </c>
      <c r="AS8" s="13">
        <f>AA17</f>
        <v>104</v>
      </c>
      <c r="AT8" s="13">
        <f t="shared" ref="AT8:AU8" si="3">AC17</f>
        <v>0</v>
      </c>
      <c r="AU8" s="13">
        <f t="shared" si="3"/>
        <v>0</v>
      </c>
      <c r="AV8" s="13">
        <f>AH17</f>
        <v>0</v>
      </c>
      <c r="AW8" s="13">
        <f>AI17</f>
        <v>0</v>
      </c>
      <c r="AZ8" s="29"/>
      <c r="BA8" s="29"/>
      <c r="BB8" s="29"/>
      <c r="BC8" s="29"/>
      <c r="BD8" s="29"/>
      <c r="BE8" s="29"/>
      <c r="BF8" s="29"/>
    </row>
    <row r="9" spans="1:58" x14ac:dyDescent="0.15">
      <c r="A9" s="22">
        <v>20</v>
      </c>
      <c r="B9" s="63">
        <v>3</v>
      </c>
      <c r="C9" s="23">
        <v>2</v>
      </c>
      <c r="D9" s="78">
        <v>9</v>
      </c>
      <c r="E9" s="23">
        <v>8</v>
      </c>
      <c r="F9" s="23">
        <v>216</v>
      </c>
      <c r="I9" s="27">
        <v>2</v>
      </c>
      <c r="J9" s="27">
        <f>[1]属性成长!$D9</f>
        <v>10</v>
      </c>
      <c r="K9" s="4">
        <v>2</v>
      </c>
      <c r="L9" s="4">
        <f t="shared" si="0"/>
        <v>1</v>
      </c>
      <c r="M9" s="4">
        <v>1</v>
      </c>
      <c r="N9" s="4">
        <v>2</v>
      </c>
      <c r="O9" s="4">
        <v>1</v>
      </c>
      <c r="P9" s="4">
        <v>0</v>
      </c>
      <c r="Q9" s="4">
        <v>1</v>
      </c>
      <c r="R9" s="4">
        <v>1</v>
      </c>
      <c r="S9" s="4">
        <v>0</v>
      </c>
      <c r="T9" s="4">
        <v>1</v>
      </c>
      <c r="U9" s="4">
        <v>0</v>
      </c>
      <c r="V9" s="4">
        <v>0</v>
      </c>
      <c r="W9" s="4">
        <v>0</v>
      </c>
      <c r="X9" s="5">
        <v>0</v>
      </c>
      <c r="Y9" s="5">
        <v>0</v>
      </c>
      <c r="Z9" s="13">
        <f t="shared" ref="Z9:Z72" si="4">((VLOOKUP(K9,$I$8:$J$107,2,FALSE)-J$8)*$B$3/$B$1)*(1+VLOOKUP(L9,$A$49:$F$69,3,FALSE)+VLOOKUP(M9,$A$72:$D$77,2,FALSE))+(B$2+B$3/B$1*J$8)*(1+VLOOKUP(L9,$A$49:$F$69,4,FALSE)+VLOOKUP(M9,$A$72:$D$77,3,FALSE))</f>
        <v>65.5</v>
      </c>
      <c r="AA9" s="13">
        <f t="shared" ref="AA9:AA72" si="5">ROUND(5/9*($D$2+D$3/B$1*J$8),0)*(1+VLOOKUP(O9,$A$5:$F$25,4,FALSE)+VLOOKUP(P9,$A$28:$E$34,3,FALSE))+5/9*$D$3/$B$1*(VLOOKUP(N9,$I$8:$J$107,2,FALSE)-J$8)*(1+VLOOKUP(O9,$A$5:$F$25,3,FALSE)+VLOOKUP(P9,$A$28:$E$34,2,FALSE))</f>
        <v>18.222222222222221</v>
      </c>
      <c r="AB9" s="13">
        <f t="shared" ref="AB9:AB72" si="6">ROUND(4/9*($D$2+D$3/B$1*J$8),0)*(1+VLOOKUP(R9,$A$5:$F$25,4,FALSE)+VLOOKUP(S9,$A$28:$E$34,3,FALSE))+4/9*$D$3/$B$1*(VLOOKUP(Q9,$I$8:$J$107,2,FALSE)-J$8)*(1+VLOOKUP(R9,$A$5:$F$25,3,FALSE)+VLOOKUP(S9,$A$28:$E$34,2,FALSE))</f>
        <v>12</v>
      </c>
      <c r="AC9" s="13">
        <f t="shared" si="1"/>
        <v>0</v>
      </c>
      <c r="AD9" s="13">
        <f t="shared" ref="AD9:AD72" si="7">IF(V9=0,0,VLOOKUP(V9,$I$8:$J$107,2,FALSE)*$F$3/$B$1+$F$2)</f>
        <v>0</v>
      </c>
      <c r="AE9" s="28">
        <f t="shared" ref="AE9:AE72" si="8">SUM(Z9:AD9)</f>
        <v>95.722222222222229</v>
      </c>
      <c r="AF9" s="79">
        <f>INDEX(宠物缘分!$G$30:$G$34,MATCH(M9,宠物缘分!$B$30:$B$34,0),1)*IF(W9=2,1/4,IF(W9=3,1/2,IF(W9=4,3/4,IF(W9&gt;4,1,0))))/5</f>
        <v>0</v>
      </c>
      <c r="AG9" s="79">
        <f t="shared" si="2"/>
        <v>0</v>
      </c>
      <c r="AH9" s="6">
        <f t="shared" ref="AH9:AH72" si="9">SUM(Z9:AD9)*AF9</f>
        <v>0</v>
      </c>
      <c r="AI9" s="6">
        <f t="shared" ref="AI9:AI72" si="10">SUM($Z9:$AD9)*AG9</f>
        <v>0</v>
      </c>
      <c r="AJ9" s="28">
        <f t="shared" ref="AJ9:AJ72" si="11">SUM(Z9:AD9)*(1+AF9)*(1+AG9)</f>
        <v>95.722222222222229</v>
      </c>
      <c r="AK9" s="28">
        <f>$AJ9/5*[1]战斗预期!C$4</f>
        <v>1914.4444444444446</v>
      </c>
      <c r="AL9" s="28">
        <f>$AJ9/5*[1]战斗预期!D$4</f>
        <v>191.44444444444446</v>
      </c>
      <c r="AM9" s="28">
        <f>$AJ9/5*[1]战斗预期!E$4</f>
        <v>95.722222222222229</v>
      </c>
      <c r="AN9" s="28">
        <f>$AJ9/5*[1]战斗预期!F$4</f>
        <v>76.577777777777783</v>
      </c>
      <c r="AO9" s="28">
        <f>$AJ9/5*[1]战斗预期!G$4</f>
        <v>76.577777777777783</v>
      </c>
      <c r="AP9" s="9">
        <f t="shared" ref="AP9:AP70" si="12">SUM(Z9:AD9)*(1+AF9)*(1+AG9)</f>
        <v>95.722222222222229</v>
      </c>
      <c r="AQ9" s="3">
        <v>30</v>
      </c>
      <c r="AR9" s="13">
        <f>Z37</f>
        <v>858</v>
      </c>
      <c r="AS9" s="13">
        <f>AA37</f>
        <v>834.22222222222217</v>
      </c>
      <c r="AT9" s="13">
        <f t="shared" ref="AT9:AU9" si="13">AC37</f>
        <v>358.40000000000003</v>
      </c>
      <c r="AU9" s="13">
        <f t="shared" si="13"/>
        <v>0</v>
      </c>
      <c r="AV9" s="13">
        <f>AH37</f>
        <v>70.129155555555542</v>
      </c>
      <c r="AW9" s="13">
        <f>AI37</f>
        <v>0</v>
      </c>
    </row>
    <row r="10" spans="1:58" x14ac:dyDescent="0.15">
      <c r="A10" s="24">
        <v>25</v>
      </c>
      <c r="B10" s="63">
        <v>3.5</v>
      </c>
      <c r="C10" s="23">
        <v>2.5</v>
      </c>
      <c r="D10" s="78">
        <v>14</v>
      </c>
      <c r="E10" s="23">
        <v>10</v>
      </c>
      <c r="F10" s="23">
        <v>336</v>
      </c>
      <c r="I10" s="27">
        <v>3</v>
      </c>
      <c r="J10" s="27">
        <f>[1]属性成长!$D10</f>
        <v>15</v>
      </c>
      <c r="K10" s="4">
        <v>3</v>
      </c>
      <c r="L10" s="4">
        <f t="shared" si="0"/>
        <v>1</v>
      </c>
      <c r="M10" s="4">
        <v>1</v>
      </c>
      <c r="N10" s="4">
        <v>3</v>
      </c>
      <c r="O10" s="4">
        <v>1</v>
      </c>
      <c r="P10" s="4">
        <v>0</v>
      </c>
      <c r="Q10" s="4">
        <v>1</v>
      </c>
      <c r="R10" s="4">
        <v>1</v>
      </c>
      <c r="S10" s="4">
        <v>0</v>
      </c>
      <c r="T10" s="4">
        <v>1</v>
      </c>
      <c r="U10" s="4">
        <v>0</v>
      </c>
      <c r="V10" s="4">
        <v>0</v>
      </c>
      <c r="W10" s="4">
        <v>0</v>
      </c>
      <c r="X10" s="5">
        <v>0</v>
      </c>
      <c r="Y10" s="5">
        <v>0</v>
      </c>
      <c r="Z10" s="13">
        <f t="shared" si="4"/>
        <v>69</v>
      </c>
      <c r="AA10" s="13">
        <f t="shared" si="5"/>
        <v>20.444444444444443</v>
      </c>
      <c r="AB10" s="13">
        <f t="shared" si="6"/>
        <v>12</v>
      </c>
      <c r="AC10" s="13">
        <f t="shared" si="1"/>
        <v>0</v>
      </c>
      <c r="AD10" s="13">
        <f t="shared" si="7"/>
        <v>0</v>
      </c>
      <c r="AE10" s="28">
        <f t="shared" si="8"/>
        <v>101.44444444444444</v>
      </c>
      <c r="AF10" s="79">
        <f>INDEX(宠物缘分!$G$30:$G$34,MATCH(M10,宠物缘分!$B$30:$B$34,0),1)*IF(W10=2,1/4,IF(W10=3,1/2,IF(W10=4,3/4,IF(W10&gt;4,1,0))))/5</f>
        <v>0</v>
      </c>
      <c r="AG10" s="79">
        <f t="shared" si="2"/>
        <v>0</v>
      </c>
      <c r="AH10" s="6">
        <f t="shared" si="9"/>
        <v>0</v>
      </c>
      <c r="AI10" s="6">
        <f t="shared" si="10"/>
        <v>0</v>
      </c>
      <c r="AJ10" s="28">
        <f t="shared" si="11"/>
        <v>101.44444444444444</v>
      </c>
      <c r="AK10" s="28">
        <f>$AJ10/5*[1]战斗预期!C$4</f>
        <v>2028.8888888888887</v>
      </c>
      <c r="AL10" s="28">
        <f>$AJ10/5*[1]战斗预期!D$4</f>
        <v>202.88888888888889</v>
      </c>
      <c r="AM10" s="28">
        <f>$AJ10/5*[1]战斗预期!E$4</f>
        <v>101.44444444444444</v>
      </c>
      <c r="AN10" s="28">
        <f>$AJ10/5*[1]战斗预期!F$4</f>
        <v>81.155555555555551</v>
      </c>
      <c r="AO10" s="28">
        <f>$AJ10/5*[1]战斗预期!G$4</f>
        <v>81.155555555555551</v>
      </c>
      <c r="AP10" s="9">
        <f t="shared" si="12"/>
        <v>101.44444444444444</v>
      </c>
      <c r="AQ10" s="3">
        <v>50</v>
      </c>
      <c r="AR10" s="13">
        <f>Z57</f>
        <v>2768.9147004147003</v>
      </c>
      <c r="AS10" s="13">
        <f>AA57</f>
        <v>2389.1982811451162</v>
      </c>
      <c r="AT10" s="13">
        <f t="shared" ref="AT10:AU10" si="14">AC57</f>
        <v>1916.4444444444443</v>
      </c>
      <c r="AU10" s="13">
        <f t="shared" si="14"/>
        <v>0</v>
      </c>
      <c r="AV10" s="13">
        <f>AH57</f>
        <v>878.73312082452833</v>
      </c>
      <c r="AW10" s="13">
        <f>AI57</f>
        <v>3543.2787130021302</v>
      </c>
    </row>
    <row r="11" spans="1:58" x14ac:dyDescent="0.15">
      <c r="A11" s="22">
        <v>30</v>
      </c>
      <c r="B11" s="63">
        <v>4</v>
      </c>
      <c r="C11" s="23">
        <v>3</v>
      </c>
      <c r="D11" s="78">
        <v>21</v>
      </c>
      <c r="E11" s="23">
        <v>12</v>
      </c>
      <c r="F11" s="23">
        <v>504</v>
      </c>
      <c r="I11" s="27">
        <v>4</v>
      </c>
      <c r="J11" s="27">
        <f>[1]属性成长!$D11</f>
        <v>20</v>
      </c>
      <c r="K11" s="4">
        <v>4</v>
      </c>
      <c r="L11" s="4">
        <f t="shared" si="0"/>
        <v>1</v>
      </c>
      <c r="M11" s="4">
        <v>1</v>
      </c>
      <c r="N11" s="4">
        <v>4</v>
      </c>
      <c r="O11" s="4">
        <v>1</v>
      </c>
      <c r="P11" s="4">
        <v>0</v>
      </c>
      <c r="Q11" s="4">
        <v>1</v>
      </c>
      <c r="R11" s="4">
        <v>1</v>
      </c>
      <c r="S11" s="4">
        <v>0</v>
      </c>
      <c r="T11" s="4">
        <v>1</v>
      </c>
      <c r="U11" s="4">
        <v>0</v>
      </c>
      <c r="V11" s="4">
        <v>0</v>
      </c>
      <c r="W11" s="4">
        <v>0</v>
      </c>
      <c r="X11" s="5">
        <v>0</v>
      </c>
      <c r="Y11" s="5">
        <v>0</v>
      </c>
      <c r="Z11" s="13">
        <f t="shared" si="4"/>
        <v>72.5</v>
      </c>
      <c r="AA11" s="13">
        <f t="shared" si="5"/>
        <v>22.666666666666668</v>
      </c>
      <c r="AB11" s="13">
        <f t="shared" si="6"/>
        <v>12</v>
      </c>
      <c r="AC11" s="13">
        <f t="shared" si="1"/>
        <v>0</v>
      </c>
      <c r="AD11" s="13">
        <f t="shared" si="7"/>
        <v>0</v>
      </c>
      <c r="AE11" s="28">
        <f t="shared" si="8"/>
        <v>107.16666666666667</v>
      </c>
      <c r="AF11" s="79">
        <f>INDEX(宠物缘分!$G$30:$G$34,MATCH(M11,宠物缘分!$B$30:$B$34,0),1)*IF(W11=2,1/4,IF(W11=3,1/2,IF(W11=4,3/4,IF(W11&gt;4,1,0))))/5</f>
        <v>0</v>
      </c>
      <c r="AG11" s="79">
        <f t="shared" si="2"/>
        <v>0</v>
      </c>
      <c r="AH11" s="6">
        <f t="shared" si="9"/>
        <v>0</v>
      </c>
      <c r="AI11" s="6">
        <f t="shared" si="10"/>
        <v>0</v>
      </c>
      <c r="AJ11" s="28">
        <f t="shared" si="11"/>
        <v>107.16666666666667</v>
      </c>
      <c r="AK11" s="28">
        <f>$AJ11/5*[1]战斗预期!C$4</f>
        <v>2143.3333333333335</v>
      </c>
      <c r="AL11" s="28">
        <f>$AJ11/5*[1]战斗预期!D$4</f>
        <v>214.33333333333334</v>
      </c>
      <c r="AM11" s="28">
        <f>$AJ11/5*[1]战斗预期!E$4</f>
        <v>107.16666666666667</v>
      </c>
      <c r="AN11" s="28">
        <f>$AJ11/5*[1]战斗预期!F$4</f>
        <v>85.733333333333334</v>
      </c>
      <c r="AO11" s="28">
        <f>$AJ11/5*[1]战斗预期!G$4</f>
        <v>85.733333333333334</v>
      </c>
      <c r="AP11" s="9">
        <f t="shared" si="12"/>
        <v>107.16666666666667</v>
      </c>
      <c r="AQ11" s="3">
        <v>70</v>
      </c>
      <c r="AR11" s="13">
        <f>Z77</f>
        <v>5048.1212930009115</v>
      </c>
      <c r="AS11" s="13">
        <f>AA77</f>
        <v>4375.3506447769432</v>
      </c>
      <c r="AT11" s="13">
        <f t="shared" ref="AT11:AU11" si="15">AC77</f>
        <v>8711.1111111111113</v>
      </c>
      <c r="AU11" s="13">
        <f t="shared" si="15"/>
        <v>0</v>
      </c>
      <c r="AV11" s="13">
        <f>AH77</f>
        <v>3266.3849488000137</v>
      </c>
      <c r="AW11" s="13">
        <f>AI77</f>
        <v>9073.291524444483</v>
      </c>
    </row>
    <row r="12" spans="1:58" x14ac:dyDescent="0.15">
      <c r="A12" s="24">
        <v>35</v>
      </c>
      <c r="B12" s="63">
        <v>4.5</v>
      </c>
      <c r="C12" s="23">
        <v>3.5</v>
      </c>
      <c r="D12" s="78">
        <v>28.396449704142011</v>
      </c>
      <c r="E12" s="23">
        <v>14</v>
      </c>
      <c r="F12" s="23">
        <v>681.51479289940823</v>
      </c>
      <c r="I12" s="27">
        <v>5</v>
      </c>
      <c r="J12" s="27">
        <f>[1]属性成长!$D12</f>
        <v>25</v>
      </c>
      <c r="K12" s="4">
        <v>5</v>
      </c>
      <c r="L12" s="4">
        <f t="shared" si="0"/>
        <v>5</v>
      </c>
      <c r="M12" s="4">
        <v>1</v>
      </c>
      <c r="N12" s="4">
        <v>5</v>
      </c>
      <c r="O12" s="4">
        <v>1</v>
      </c>
      <c r="P12" s="4">
        <v>0</v>
      </c>
      <c r="Q12" s="4">
        <v>1</v>
      </c>
      <c r="R12" s="4">
        <v>1</v>
      </c>
      <c r="S12" s="4">
        <v>0</v>
      </c>
      <c r="T12" s="4">
        <v>1</v>
      </c>
      <c r="U12" s="4">
        <v>0</v>
      </c>
      <c r="V12" s="4">
        <v>0</v>
      </c>
      <c r="W12" s="4">
        <v>0</v>
      </c>
      <c r="X12" s="5">
        <v>0</v>
      </c>
      <c r="Y12" s="5">
        <v>0</v>
      </c>
      <c r="Z12" s="13">
        <f t="shared" si="4"/>
        <v>122.5</v>
      </c>
      <c r="AA12" s="13">
        <f t="shared" si="5"/>
        <v>24.888888888888889</v>
      </c>
      <c r="AB12" s="13">
        <f t="shared" si="6"/>
        <v>12</v>
      </c>
      <c r="AC12" s="13">
        <f t="shared" si="1"/>
        <v>0</v>
      </c>
      <c r="AD12" s="13">
        <f t="shared" si="7"/>
        <v>0</v>
      </c>
      <c r="AE12" s="28">
        <f t="shared" si="8"/>
        <v>159.38888888888889</v>
      </c>
      <c r="AF12" s="79">
        <f>INDEX(宠物缘分!$G$30:$G$34,MATCH(M12,宠物缘分!$B$30:$B$34,0),1)*IF(W12=2,1/4,IF(W12=3,1/2,IF(W12=4,3/4,IF(W12&gt;4,1,0))))/5</f>
        <v>0</v>
      </c>
      <c r="AG12" s="79">
        <f t="shared" si="2"/>
        <v>0</v>
      </c>
      <c r="AH12" s="6">
        <f t="shared" si="9"/>
        <v>0</v>
      </c>
      <c r="AI12" s="6">
        <f t="shared" si="10"/>
        <v>0</v>
      </c>
      <c r="AJ12" s="28">
        <f t="shared" si="11"/>
        <v>159.38888888888889</v>
      </c>
      <c r="AK12" s="28">
        <f>$AJ12/5*[1]战斗预期!C$4</f>
        <v>3187.7777777777778</v>
      </c>
      <c r="AL12" s="28">
        <f>$AJ12/5*[1]战斗预期!D$4</f>
        <v>318.77777777777777</v>
      </c>
      <c r="AM12" s="28">
        <f>$AJ12/5*[1]战斗预期!E$4</f>
        <v>159.38888888888889</v>
      </c>
      <c r="AN12" s="28">
        <f>$AJ12/5*[1]战斗预期!F$4</f>
        <v>127.51111111111111</v>
      </c>
      <c r="AO12" s="28">
        <f>$AJ12/5*[1]战斗预期!G$4</f>
        <v>127.51111111111111</v>
      </c>
      <c r="AP12" s="9">
        <f t="shared" si="12"/>
        <v>159.38888888888889</v>
      </c>
    </row>
    <row r="13" spans="1:58" x14ac:dyDescent="0.15">
      <c r="A13" s="22">
        <v>40</v>
      </c>
      <c r="B13" s="63">
        <v>5</v>
      </c>
      <c r="C13" s="23">
        <v>4</v>
      </c>
      <c r="D13" s="78">
        <v>35.896449704142015</v>
      </c>
      <c r="E13" s="23">
        <v>16</v>
      </c>
      <c r="F13" s="23">
        <v>861.51479289940835</v>
      </c>
      <c r="I13" s="27">
        <v>6</v>
      </c>
      <c r="J13" s="27">
        <f>[1]属性成长!$D13</f>
        <v>30</v>
      </c>
      <c r="K13" s="4">
        <v>6</v>
      </c>
      <c r="L13" s="4">
        <f t="shared" si="0"/>
        <v>5</v>
      </c>
      <c r="M13" s="4">
        <v>1</v>
      </c>
      <c r="N13" s="4">
        <v>6</v>
      </c>
      <c r="O13" s="4">
        <v>1</v>
      </c>
      <c r="P13" s="4">
        <v>0</v>
      </c>
      <c r="Q13" s="4">
        <v>1</v>
      </c>
      <c r="R13" s="4">
        <v>1</v>
      </c>
      <c r="S13" s="4">
        <v>0</v>
      </c>
      <c r="T13" s="4">
        <v>1</v>
      </c>
      <c r="U13" s="4">
        <v>0</v>
      </c>
      <c r="V13" s="4">
        <v>0</v>
      </c>
      <c r="W13" s="4">
        <v>0</v>
      </c>
      <c r="X13" s="5">
        <v>0</v>
      </c>
      <c r="Y13" s="5">
        <v>0</v>
      </c>
      <c r="Z13" s="13">
        <f t="shared" si="4"/>
        <v>126</v>
      </c>
      <c r="AA13" s="13">
        <f t="shared" si="5"/>
        <v>27.111111111111114</v>
      </c>
      <c r="AB13" s="13">
        <f t="shared" si="6"/>
        <v>12</v>
      </c>
      <c r="AC13" s="13">
        <f t="shared" si="1"/>
        <v>0</v>
      </c>
      <c r="AD13" s="13">
        <f t="shared" si="7"/>
        <v>0</v>
      </c>
      <c r="AE13" s="28">
        <f t="shared" si="8"/>
        <v>165.11111111111111</v>
      </c>
      <c r="AF13" s="79">
        <f>INDEX(宠物缘分!$G$30:$G$34,MATCH(M13,宠物缘分!$B$30:$B$34,0),1)*IF(W13=2,1/4,IF(W13=3,1/2,IF(W13=4,3/4,IF(W13&gt;4,1,0))))/5</f>
        <v>0</v>
      </c>
      <c r="AG13" s="79">
        <f t="shared" si="2"/>
        <v>0</v>
      </c>
      <c r="AH13" s="6">
        <f t="shared" si="9"/>
        <v>0</v>
      </c>
      <c r="AI13" s="6">
        <f t="shared" si="10"/>
        <v>0</v>
      </c>
      <c r="AJ13" s="28">
        <f t="shared" si="11"/>
        <v>165.11111111111111</v>
      </c>
      <c r="AK13" s="28">
        <f>$AJ13/5*[1]战斗预期!C$4</f>
        <v>3302.2222222222226</v>
      </c>
      <c r="AL13" s="28">
        <f>$AJ13/5*[1]战斗预期!D$4</f>
        <v>330.22222222222229</v>
      </c>
      <c r="AM13" s="28">
        <f>$AJ13/5*[1]战斗预期!E$4</f>
        <v>165.11111111111114</v>
      </c>
      <c r="AN13" s="28">
        <f>$AJ13/5*[1]战斗预期!F$4</f>
        <v>132.0888888888889</v>
      </c>
      <c r="AO13" s="28">
        <f>$AJ13/5*[1]战斗预期!G$4</f>
        <v>132.0888888888889</v>
      </c>
      <c r="AP13" s="9">
        <f t="shared" si="12"/>
        <v>165.11111111111111</v>
      </c>
    </row>
    <row r="14" spans="1:58" x14ac:dyDescent="0.15">
      <c r="A14" s="24">
        <v>45</v>
      </c>
      <c r="B14" s="63">
        <v>5.5</v>
      </c>
      <c r="C14" s="23">
        <v>4.5</v>
      </c>
      <c r="D14" s="78">
        <v>43.455844952522142</v>
      </c>
      <c r="E14" s="23">
        <v>18</v>
      </c>
      <c r="F14" s="23">
        <v>1042.9402788605314</v>
      </c>
      <c r="I14" s="27">
        <v>7</v>
      </c>
      <c r="J14" s="27">
        <f>[1]属性成长!$D14</f>
        <v>35</v>
      </c>
      <c r="K14" s="4">
        <v>7</v>
      </c>
      <c r="L14" s="4">
        <f t="shared" si="0"/>
        <v>5</v>
      </c>
      <c r="M14" s="4">
        <v>1</v>
      </c>
      <c r="N14" s="4">
        <v>7</v>
      </c>
      <c r="O14" s="4">
        <v>1</v>
      </c>
      <c r="P14" s="4">
        <v>0</v>
      </c>
      <c r="Q14" s="4">
        <v>1</v>
      </c>
      <c r="R14" s="4">
        <v>1</v>
      </c>
      <c r="S14" s="4">
        <v>0</v>
      </c>
      <c r="T14" s="4">
        <v>1</v>
      </c>
      <c r="U14" s="4">
        <v>0</v>
      </c>
      <c r="V14" s="4">
        <v>0</v>
      </c>
      <c r="W14" s="4">
        <v>0</v>
      </c>
      <c r="X14" s="5">
        <v>0</v>
      </c>
      <c r="Y14" s="5">
        <v>0</v>
      </c>
      <c r="Z14" s="13">
        <f t="shared" si="4"/>
        <v>129.5</v>
      </c>
      <c r="AA14" s="13">
        <f t="shared" si="5"/>
        <v>29.333333333333336</v>
      </c>
      <c r="AB14" s="13">
        <f t="shared" si="6"/>
        <v>12</v>
      </c>
      <c r="AC14" s="13">
        <f t="shared" si="1"/>
        <v>0</v>
      </c>
      <c r="AD14" s="13">
        <f t="shared" si="7"/>
        <v>0</v>
      </c>
      <c r="AE14" s="28">
        <f t="shared" si="8"/>
        <v>170.83333333333334</v>
      </c>
      <c r="AF14" s="79">
        <f>INDEX(宠物缘分!$G$30:$G$34,MATCH(M14,宠物缘分!$B$30:$B$34,0),1)*IF(W14=2,1/4,IF(W14=3,1/2,IF(W14=4,3/4,IF(W14&gt;4,1,0))))/5</f>
        <v>0</v>
      </c>
      <c r="AG14" s="79">
        <f t="shared" si="2"/>
        <v>0</v>
      </c>
      <c r="AH14" s="6">
        <f t="shared" si="9"/>
        <v>0</v>
      </c>
      <c r="AI14" s="6">
        <f t="shared" si="10"/>
        <v>0</v>
      </c>
      <c r="AJ14" s="28">
        <f t="shared" si="11"/>
        <v>170.83333333333334</v>
      </c>
      <c r="AK14" s="28">
        <f>$AJ14/5*[1]战斗预期!C$4</f>
        <v>3416.666666666667</v>
      </c>
      <c r="AL14" s="28">
        <f>$AJ14/5*[1]战斗预期!D$4</f>
        <v>341.66666666666674</v>
      </c>
      <c r="AM14" s="28">
        <f>$AJ14/5*[1]战斗预期!E$4</f>
        <v>170.83333333333337</v>
      </c>
      <c r="AN14" s="28">
        <f>$AJ14/5*[1]战斗预期!F$4</f>
        <v>136.66666666666669</v>
      </c>
      <c r="AO14" s="28">
        <f>$AJ14/5*[1]战斗预期!G$4</f>
        <v>136.66666666666669</v>
      </c>
      <c r="AP14" s="9">
        <f t="shared" si="12"/>
        <v>170.83333333333334</v>
      </c>
    </row>
    <row r="15" spans="1:58" x14ac:dyDescent="0.15">
      <c r="A15" s="22">
        <v>50</v>
      </c>
      <c r="B15" s="63">
        <v>6</v>
      </c>
      <c r="C15" s="23">
        <v>5</v>
      </c>
      <c r="D15" s="78">
        <v>51.074892571569762</v>
      </c>
      <c r="E15" s="23">
        <v>20</v>
      </c>
      <c r="F15" s="23">
        <v>1225.7974217176743</v>
      </c>
      <c r="I15" s="27">
        <v>8</v>
      </c>
      <c r="J15" s="27">
        <f>[1]属性成长!$D15</f>
        <v>40</v>
      </c>
      <c r="K15" s="4">
        <v>8</v>
      </c>
      <c r="L15" s="4">
        <f t="shared" si="0"/>
        <v>5</v>
      </c>
      <c r="M15" s="4">
        <v>1</v>
      </c>
      <c r="N15" s="4">
        <v>8</v>
      </c>
      <c r="O15" s="4">
        <v>1</v>
      </c>
      <c r="P15" s="4">
        <v>0</v>
      </c>
      <c r="Q15" s="4">
        <v>1</v>
      </c>
      <c r="R15" s="4">
        <v>1</v>
      </c>
      <c r="S15" s="4">
        <v>0</v>
      </c>
      <c r="T15" s="4">
        <v>1</v>
      </c>
      <c r="U15" s="4">
        <v>0</v>
      </c>
      <c r="V15" s="4">
        <v>0</v>
      </c>
      <c r="W15" s="4">
        <v>1</v>
      </c>
      <c r="X15" s="5">
        <v>0</v>
      </c>
      <c r="Y15" s="5">
        <v>0</v>
      </c>
      <c r="Z15" s="13">
        <f t="shared" si="4"/>
        <v>133</v>
      </c>
      <c r="AA15" s="13">
        <f t="shared" si="5"/>
        <v>31.555555555555557</v>
      </c>
      <c r="AB15" s="13">
        <f t="shared" si="6"/>
        <v>12</v>
      </c>
      <c r="AC15" s="13">
        <f t="shared" si="1"/>
        <v>0</v>
      </c>
      <c r="AD15" s="13">
        <f t="shared" si="7"/>
        <v>0</v>
      </c>
      <c r="AE15" s="28">
        <f t="shared" si="8"/>
        <v>176.55555555555554</v>
      </c>
      <c r="AF15" s="79">
        <f>INDEX(宠物缘分!$G$30:$G$34,MATCH(M15,宠物缘分!$B$30:$B$34,0),1)*IF(W15=2,1/4,IF(W15=3,1/2,IF(W15=4,3/4,IF(W15&gt;4,1,0))))/5</f>
        <v>0</v>
      </c>
      <c r="AG15" s="79">
        <f t="shared" si="2"/>
        <v>0</v>
      </c>
      <c r="AH15" s="6">
        <f t="shared" si="9"/>
        <v>0</v>
      </c>
      <c r="AI15" s="6">
        <f t="shared" si="10"/>
        <v>0</v>
      </c>
      <c r="AJ15" s="28">
        <f t="shared" si="11"/>
        <v>176.55555555555554</v>
      </c>
      <c r="AK15" s="28">
        <f>$AJ15/5*[1]战斗预期!C$4</f>
        <v>3531.1111111111109</v>
      </c>
      <c r="AL15" s="28">
        <f>$AJ15/5*[1]战斗预期!D$4</f>
        <v>353.11111111111109</v>
      </c>
      <c r="AM15" s="28">
        <f>$AJ15/5*[1]战斗预期!E$4</f>
        <v>176.55555555555554</v>
      </c>
      <c r="AN15" s="28">
        <f>$AJ15/5*[1]战斗预期!F$4</f>
        <v>141.24444444444444</v>
      </c>
      <c r="AO15" s="28">
        <f>$AJ15/5*[1]战斗预期!G$4</f>
        <v>141.24444444444444</v>
      </c>
      <c r="AP15" s="9">
        <f t="shared" si="12"/>
        <v>176.55555555555554</v>
      </c>
    </row>
    <row r="16" spans="1:58" x14ac:dyDescent="0.15">
      <c r="A16" s="22">
        <v>55</v>
      </c>
      <c r="B16" s="63">
        <v>6.5</v>
      </c>
      <c r="C16" s="23">
        <v>5.5</v>
      </c>
      <c r="D16" s="78">
        <v>58.727953796059559</v>
      </c>
      <c r="E16" s="23">
        <v>22</v>
      </c>
      <c r="F16" s="23">
        <v>1409.4708911054295</v>
      </c>
      <c r="I16" s="27">
        <v>9</v>
      </c>
      <c r="J16" s="27">
        <f>[1]属性成长!$D16</f>
        <v>45</v>
      </c>
      <c r="K16" s="4">
        <v>9</v>
      </c>
      <c r="L16" s="4">
        <f t="shared" si="0"/>
        <v>5</v>
      </c>
      <c r="M16" s="4">
        <v>1</v>
      </c>
      <c r="N16" s="4">
        <v>9</v>
      </c>
      <c r="O16" s="4">
        <v>1</v>
      </c>
      <c r="P16" s="4">
        <v>0</v>
      </c>
      <c r="Q16" s="4">
        <v>1</v>
      </c>
      <c r="R16" s="4">
        <v>1</v>
      </c>
      <c r="S16" s="4">
        <v>0</v>
      </c>
      <c r="T16" s="4">
        <v>1</v>
      </c>
      <c r="U16" s="4">
        <v>0</v>
      </c>
      <c r="V16" s="4">
        <v>0</v>
      </c>
      <c r="W16" s="4">
        <v>1</v>
      </c>
      <c r="X16" s="5">
        <v>0</v>
      </c>
      <c r="Y16" s="5">
        <v>0</v>
      </c>
      <c r="Z16" s="13">
        <f t="shared" si="4"/>
        <v>136.5</v>
      </c>
      <c r="AA16" s="13">
        <f t="shared" si="5"/>
        <v>33.777777777777779</v>
      </c>
      <c r="AB16" s="13">
        <f t="shared" si="6"/>
        <v>12</v>
      </c>
      <c r="AC16" s="13">
        <f t="shared" si="1"/>
        <v>0</v>
      </c>
      <c r="AD16" s="13">
        <f t="shared" si="7"/>
        <v>0</v>
      </c>
      <c r="AE16" s="28">
        <f t="shared" si="8"/>
        <v>182.27777777777777</v>
      </c>
      <c r="AF16" s="79">
        <f>INDEX(宠物缘分!$G$30:$G$34,MATCH(M16,宠物缘分!$B$30:$B$34,0),1)*IF(W16=2,1/4,IF(W16=3,1/2,IF(W16=4,3/4,IF(W16&gt;4,1,0))))/5</f>
        <v>0</v>
      </c>
      <c r="AG16" s="79">
        <f t="shared" si="2"/>
        <v>0</v>
      </c>
      <c r="AH16" s="6">
        <f t="shared" si="9"/>
        <v>0</v>
      </c>
      <c r="AI16" s="6">
        <f t="shared" si="10"/>
        <v>0</v>
      </c>
      <c r="AJ16" s="28">
        <f t="shared" si="11"/>
        <v>182.27777777777777</v>
      </c>
      <c r="AK16" s="28">
        <f>$AJ16/5*[1]战斗预期!C$4</f>
        <v>3645.5555555555557</v>
      </c>
      <c r="AL16" s="28">
        <f>$AJ16/5*[1]战斗预期!D$4</f>
        <v>364.55555555555554</v>
      </c>
      <c r="AM16" s="28">
        <f>$AJ16/5*[1]战斗预期!E$4</f>
        <v>182.27777777777777</v>
      </c>
      <c r="AN16" s="28">
        <f>$AJ16/5*[1]战斗预期!F$4</f>
        <v>145.82222222222222</v>
      </c>
      <c r="AO16" s="28">
        <f>$AJ16/5*[1]战斗预期!G$4</f>
        <v>145.82222222222222</v>
      </c>
      <c r="AP16" s="9">
        <f t="shared" si="12"/>
        <v>182.27777777777777</v>
      </c>
    </row>
    <row r="17" spans="1:42" x14ac:dyDescent="0.15">
      <c r="A17" s="22">
        <v>60</v>
      </c>
      <c r="B17" s="63">
        <v>7</v>
      </c>
      <c r="C17" s="23">
        <v>6</v>
      </c>
      <c r="D17" s="78">
        <v>66.420261488367245</v>
      </c>
      <c r="E17" s="23">
        <v>24</v>
      </c>
      <c r="F17" s="23">
        <v>1594.0862757208138</v>
      </c>
      <c r="I17" s="27">
        <v>10</v>
      </c>
      <c r="J17" s="27">
        <f>[1]属性成长!$D17</f>
        <v>50</v>
      </c>
      <c r="K17" s="4">
        <v>10</v>
      </c>
      <c r="L17" s="4">
        <f t="shared" si="0"/>
        <v>10</v>
      </c>
      <c r="M17" s="4">
        <v>1</v>
      </c>
      <c r="N17" s="4">
        <v>10</v>
      </c>
      <c r="O17" s="4">
        <v>10</v>
      </c>
      <c r="P17" s="4">
        <v>0</v>
      </c>
      <c r="Q17" s="4">
        <v>1</v>
      </c>
      <c r="R17" s="4">
        <v>1</v>
      </c>
      <c r="S17" s="4">
        <v>0</v>
      </c>
      <c r="T17" s="4">
        <v>1</v>
      </c>
      <c r="U17" s="4">
        <v>0</v>
      </c>
      <c r="V17" s="4">
        <v>0</v>
      </c>
      <c r="W17" s="4">
        <v>1</v>
      </c>
      <c r="X17" s="5">
        <v>0</v>
      </c>
      <c r="Y17" s="5">
        <v>0</v>
      </c>
      <c r="Z17" s="13">
        <f t="shared" si="4"/>
        <v>205.1</v>
      </c>
      <c r="AA17" s="13">
        <f t="shared" si="5"/>
        <v>104</v>
      </c>
      <c r="AB17" s="13">
        <f t="shared" si="6"/>
        <v>12</v>
      </c>
      <c r="AC17" s="13">
        <f t="shared" si="1"/>
        <v>0</v>
      </c>
      <c r="AD17" s="13">
        <f t="shared" si="7"/>
        <v>0</v>
      </c>
      <c r="AE17" s="28">
        <f t="shared" si="8"/>
        <v>321.10000000000002</v>
      </c>
      <c r="AF17" s="79">
        <f>INDEX(宠物缘分!$G$30:$G$34,MATCH(M17,宠物缘分!$B$30:$B$34,0),1)*IF(W17=2,1/4,IF(W17=3,1/2,IF(W17=4,3/4,IF(W17&gt;4,1,0))))/5</f>
        <v>0</v>
      </c>
      <c r="AG17" s="79">
        <f t="shared" si="2"/>
        <v>0</v>
      </c>
      <c r="AH17" s="6">
        <f t="shared" si="9"/>
        <v>0</v>
      </c>
      <c r="AI17" s="6">
        <f t="shared" si="10"/>
        <v>0</v>
      </c>
      <c r="AJ17" s="28">
        <f t="shared" si="11"/>
        <v>321.10000000000002</v>
      </c>
      <c r="AK17" s="28">
        <f>$AJ17/5*[1]战斗预期!C$4</f>
        <v>6422</v>
      </c>
      <c r="AL17" s="28">
        <f>$AJ17/5*[1]战斗预期!D$4</f>
        <v>642.20000000000005</v>
      </c>
      <c r="AM17" s="28">
        <f>$AJ17/5*[1]战斗预期!E$4</f>
        <v>321.10000000000002</v>
      </c>
      <c r="AN17" s="28">
        <f>$AJ17/5*[1]战斗预期!F$4</f>
        <v>256.88</v>
      </c>
      <c r="AO17" s="28">
        <f>$AJ17/5*[1]战斗预期!G$4</f>
        <v>256.88</v>
      </c>
      <c r="AP17" s="9">
        <f t="shared" si="12"/>
        <v>321.10000000000002</v>
      </c>
    </row>
    <row r="18" spans="1:42" x14ac:dyDescent="0.15">
      <c r="A18" s="24">
        <v>65</v>
      </c>
      <c r="B18" s="63">
        <v>7.5</v>
      </c>
      <c r="C18" s="23">
        <v>6.5</v>
      </c>
      <c r="D18" s="78">
        <v>74.13414648135462</v>
      </c>
      <c r="E18" s="23">
        <v>26</v>
      </c>
      <c r="F18" s="23">
        <v>1779.219515552511</v>
      </c>
      <c r="I18" s="27">
        <v>11</v>
      </c>
      <c r="J18" s="27">
        <f>[1]属性成长!$D18</f>
        <v>55</v>
      </c>
      <c r="K18" s="4">
        <v>11</v>
      </c>
      <c r="L18" s="4">
        <f t="shared" si="0"/>
        <v>10</v>
      </c>
      <c r="M18" s="4">
        <v>1</v>
      </c>
      <c r="N18" s="4">
        <v>11</v>
      </c>
      <c r="O18" s="4">
        <v>10</v>
      </c>
      <c r="P18" s="4">
        <v>0</v>
      </c>
      <c r="Q18" s="4">
        <v>1</v>
      </c>
      <c r="R18" s="4">
        <v>1</v>
      </c>
      <c r="S18" s="4">
        <v>0</v>
      </c>
      <c r="T18" s="4">
        <v>1</v>
      </c>
      <c r="U18" s="4">
        <v>0</v>
      </c>
      <c r="V18" s="4">
        <v>0</v>
      </c>
      <c r="W18" s="4">
        <v>1</v>
      </c>
      <c r="X18" s="5">
        <v>0</v>
      </c>
      <c r="Y18" s="5">
        <v>0</v>
      </c>
      <c r="Z18" s="13">
        <f t="shared" si="4"/>
        <v>208.6</v>
      </c>
      <c r="AA18" s="13">
        <f t="shared" si="5"/>
        <v>108.44444444444446</v>
      </c>
      <c r="AB18" s="13">
        <f t="shared" si="6"/>
        <v>12</v>
      </c>
      <c r="AC18" s="13">
        <f t="shared" si="1"/>
        <v>0</v>
      </c>
      <c r="AD18" s="13">
        <f t="shared" si="7"/>
        <v>0</v>
      </c>
      <c r="AE18" s="28">
        <f t="shared" si="8"/>
        <v>329.04444444444448</v>
      </c>
      <c r="AF18" s="79">
        <f>INDEX(宠物缘分!$G$30:$G$34,MATCH(M18,宠物缘分!$B$30:$B$34,0),1)*IF(W18=2,1/4,IF(W18=3,1/2,IF(W18=4,3/4,IF(W18&gt;4,1,0))))/5</f>
        <v>0</v>
      </c>
      <c r="AG18" s="79">
        <f t="shared" si="2"/>
        <v>0</v>
      </c>
      <c r="AH18" s="6">
        <f t="shared" si="9"/>
        <v>0</v>
      </c>
      <c r="AI18" s="6">
        <f t="shared" si="10"/>
        <v>0</v>
      </c>
      <c r="AJ18" s="28">
        <f t="shared" si="11"/>
        <v>329.04444444444448</v>
      </c>
      <c r="AK18" s="28">
        <f>$AJ18/5*[1]战斗预期!C$4</f>
        <v>6580.8888888888905</v>
      </c>
      <c r="AL18" s="28">
        <f>$AJ18/5*[1]战斗预期!D$4</f>
        <v>658.08888888888896</v>
      </c>
      <c r="AM18" s="28">
        <f>$AJ18/5*[1]战斗预期!E$4</f>
        <v>329.04444444444448</v>
      </c>
      <c r="AN18" s="28">
        <f>$AJ18/5*[1]战斗预期!F$4</f>
        <v>263.23555555555561</v>
      </c>
      <c r="AO18" s="28">
        <f>$AJ18/5*[1]战斗预期!G$4</f>
        <v>263.23555555555561</v>
      </c>
      <c r="AP18" s="9">
        <f t="shared" si="12"/>
        <v>329.04444444444448</v>
      </c>
    </row>
    <row r="19" spans="1:42" x14ac:dyDescent="0.15">
      <c r="A19" s="22">
        <v>70</v>
      </c>
      <c r="B19" s="63">
        <v>8</v>
      </c>
      <c r="C19" s="23">
        <v>7</v>
      </c>
      <c r="D19" s="78">
        <v>81.87608196522558</v>
      </c>
      <c r="E19" s="23">
        <v>28</v>
      </c>
      <c r="F19" s="23">
        <v>1965.0259671654139</v>
      </c>
      <c r="I19" s="27">
        <v>12</v>
      </c>
      <c r="J19" s="27">
        <f>[1]属性成长!$D19</f>
        <v>60</v>
      </c>
      <c r="K19" s="4">
        <v>12</v>
      </c>
      <c r="L19" s="4">
        <f t="shared" si="0"/>
        <v>10</v>
      </c>
      <c r="M19" s="4">
        <v>1</v>
      </c>
      <c r="N19" s="4">
        <v>12</v>
      </c>
      <c r="O19" s="4">
        <v>10</v>
      </c>
      <c r="P19" s="4">
        <v>0</v>
      </c>
      <c r="Q19" s="4">
        <v>1</v>
      </c>
      <c r="R19" s="4">
        <v>1</v>
      </c>
      <c r="S19" s="4">
        <v>0</v>
      </c>
      <c r="T19" s="4">
        <v>1</v>
      </c>
      <c r="U19" s="4">
        <v>0</v>
      </c>
      <c r="V19" s="4">
        <v>0</v>
      </c>
      <c r="W19" s="4">
        <v>1</v>
      </c>
      <c r="X19" s="5">
        <v>0</v>
      </c>
      <c r="Y19" s="5">
        <v>0</v>
      </c>
      <c r="Z19" s="13">
        <f t="shared" si="4"/>
        <v>212.1</v>
      </c>
      <c r="AA19" s="13">
        <f t="shared" si="5"/>
        <v>112.88888888888889</v>
      </c>
      <c r="AB19" s="13">
        <f t="shared" si="6"/>
        <v>12</v>
      </c>
      <c r="AC19" s="13">
        <f t="shared" si="1"/>
        <v>0</v>
      </c>
      <c r="AD19" s="13">
        <f t="shared" si="7"/>
        <v>0</v>
      </c>
      <c r="AE19" s="28">
        <f t="shared" si="8"/>
        <v>336.98888888888888</v>
      </c>
      <c r="AF19" s="79">
        <f>INDEX(宠物缘分!$G$30:$G$34,MATCH(M19,宠物缘分!$B$30:$B$34,0),1)*IF(W19=2,1/4,IF(W19=3,1/2,IF(W19=4,3/4,IF(W19&gt;4,1,0))))/5</f>
        <v>0</v>
      </c>
      <c r="AG19" s="79">
        <f t="shared" si="2"/>
        <v>0</v>
      </c>
      <c r="AH19" s="6">
        <f t="shared" si="9"/>
        <v>0</v>
      </c>
      <c r="AI19" s="6">
        <f t="shared" si="10"/>
        <v>0</v>
      </c>
      <c r="AJ19" s="28">
        <f t="shared" si="11"/>
        <v>336.98888888888888</v>
      </c>
      <c r="AK19" s="28">
        <f>$AJ19/5*[1]战斗预期!C$4</f>
        <v>6739.7777777777774</v>
      </c>
      <c r="AL19" s="28">
        <f>$AJ19/5*[1]战斗预期!D$4</f>
        <v>673.97777777777776</v>
      </c>
      <c r="AM19" s="28">
        <f>$AJ19/5*[1]战斗预期!E$4</f>
        <v>336.98888888888888</v>
      </c>
      <c r="AN19" s="28">
        <f>$AJ19/5*[1]战斗预期!F$4</f>
        <v>269.5911111111111</v>
      </c>
      <c r="AO19" s="28">
        <f>$AJ19/5*[1]战斗预期!G$4</f>
        <v>269.5911111111111</v>
      </c>
      <c r="AP19" s="9">
        <f t="shared" si="12"/>
        <v>336.98888888888888</v>
      </c>
    </row>
    <row r="20" spans="1:42" x14ac:dyDescent="0.15">
      <c r="A20" s="22">
        <v>75</v>
      </c>
      <c r="B20" s="63">
        <v>8.5</v>
      </c>
      <c r="C20" s="23">
        <v>7.5</v>
      </c>
      <c r="D20" s="78">
        <v>89.632645211048967</v>
      </c>
      <c r="E20" s="23">
        <v>30</v>
      </c>
      <c r="F20" s="23">
        <v>2151.1834850651753</v>
      </c>
      <c r="I20" s="27">
        <v>13</v>
      </c>
      <c r="J20" s="27">
        <f>[1]属性成长!$D20</f>
        <v>65</v>
      </c>
      <c r="K20" s="4">
        <v>13</v>
      </c>
      <c r="L20" s="4">
        <f t="shared" si="0"/>
        <v>10</v>
      </c>
      <c r="M20" s="4">
        <v>1</v>
      </c>
      <c r="N20" s="4">
        <v>13</v>
      </c>
      <c r="O20" s="4">
        <v>10</v>
      </c>
      <c r="P20" s="4">
        <v>0</v>
      </c>
      <c r="Q20" s="4">
        <v>1</v>
      </c>
      <c r="R20" s="4">
        <v>1</v>
      </c>
      <c r="S20" s="4">
        <v>0</v>
      </c>
      <c r="T20" s="4">
        <v>1</v>
      </c>
      <c r="U20" s="4">
        <v>0</v>
      </c>
      <c r="V20" s="4">
        <v>0</v>
      </c>
      <c r="W20" s="4">
        <v>1</v>
      </c>
      <c r="X20" s="5">
        <v>0</v>
      </c>
      <c r="Y20" s="5">
        <v>0</v>
      </c>
      <c r="Z20" s="13">
        <f t="shared" si="4"/>
        <v>215.6</v>
      </c>
      <c r="AA20" s="13">
        <f t="shared" si="5"/>
        <v>117.33333333333334</v>
      </c>
      <c r="AB20" s="13">
        <f t="shared" si="6"/>
        <v>12</v>
      </c>
      <c r="AC20" s="13">
        <f t="shared" si="1"/>
        <v>0</v>
      </c>
      <c r="AD20" s="13">
        <f t="shared" si="7"/>
        <v>0</v>
      </c>
      <c r="AE20" s="28">
        <f t="shared" si="8"/>
        <v>344.93333333333334</v>
      </c>
      <c r="AF20" s="79">
        <f>INDEX(宠物缘分!$G$30:$G$34,MATCH(M20,宠物缘分!$B$30:$B$34,0),1)*IF(W20=2,1/4,IF(W20=3,1/2,IF(W20=4,3/4,IF(W20&gt;4,1,0))))/5</f>
        <v>0</v>
      </c>
      <c r="AG20" s="79">
        <f t="shared" si="2"/>
        <v>0</v>
      </c>
      <c r="AH20" s="6">
        <f t="shared" si="9"/>
        <v>0</v>
      </c>
      <c r="AI20" s="6">
        <f t="shared" si="10"/>
        <v>0</v>
      </c>
      <c r="AJ20" s="28">
        <f t="shared" si="11"/>
        <v>344.93333333333334</v>
      </c>
      <c r="AK20" s="28">
        <f>$AJ20/5*[1]战斗预期!C$4</f>
        <v>6898.6666666666661</v>
      </c>
      <c r="AL20" s="28">
        <f>$AJ20/5*[1]战斗预期!D$4</f>
        <v>689.86666666666667</v>
      </c>
      <c r="AM20" s="28">
        <f>$AJ20/5*[1]战斗预期!E$4</f>
        <v>344.93333333333334</v>
      </c>
      <c r="AN20" s="28">
        <f>$AJ20/5*[1]战斗预期!F$4</f>
        <v>275.94666666666666</v>
      </c>
      <c r="AO20" s="28">
        <f>$AJ20/5*[1]战斗预期!G$4</f>
        <v>275.94666666666666</v>
      </c>
      <c r="AP20" s="9">
        <f t="shared" si="12"/>
        <v>344.93333333333334</v>
      </c>
    </row>
    <row r="21" spans="1:42" x14ac:dyDescent="0.15">
      <c r="A21" s="22">
        <v>80</v>
      </c>
      <c r="B21" s="63">
        <v>9</v>
      </c>
      <c r="C21" s="23">
        <v>8</v>
      </c>
      <c r="D21" s="78">
        <v>97.410422988826738</v>
      </c>
      <c r="E21" s="23">
        <v>32</v>
      </c>
      <c r="F21" s="23">
        <v>2337.8501517318418</v>
      </c>
      <c r="I21" s="27">
        <v>14</v>
      </c>
      <c r="J21" s="27">
        <f>[1]属性成长!$D21</f>
        <v>70</v>
      </c>
      <c r="K21" s="4">
        <v>14</v>
      </c>
      <c r="L21" s="4">
        <f t="shared" si="0"/>
        <v>10</v>
      </c>
      <c r="M21" s="4">
        <v>1</v>
      </c>
      <c r="N21" s="4">
        <v>14</v>
      </c>
      <c r="O21" s="4">
        <v>10</v>
      </c>
      <c r="P21" s="4">
        <v>0</v>
      </c>
      <c r="Q21" s="4">
        <v>1</v>
      </c>
      <c r="R21" s="4">
        <v>1</v>
      </c>
      <c r="S21" s="4">
        <v>0</v>
      </c>
      <c r="T21" s="4">
        <v>1</v>
      </c>
      <c r="U21" s="4">
        <v>0</v>
      </c>
      <c r="V21" s="4">
        <v>0</v>
      </c>
      <c r="W21" s="4">
        <v>1</v>
      </c>
      <c r="X21" s="5">
        <v>0</v>
      </c>
      <c r="Y21" s="5">
        <v>0</v>
      </c>
      <c r="Z21" s="13">
        <f t="shared" si="4"/>
        <v>219.1</v>
      </c>
      <c r="AA21" s="13">
        <f t="shared" si="5"/>
        <v>121.77777777777777</v>
      </c>
      <c r="AB21" s="13">
        <f t="shared" si="6"/>
        <v>12</v>
      </c>
      <c r="AC21" s="13">
        <f t="shared" si="1"/>
        <v>0</v>
      </c>
      <c r="AD21" s="13">
        <f t="shared" si="7"/>
        <v>0</v>
      </c>
      <c r="AE21" s="28">
        <f t="shared" si="8"/>
        <v>352.87777777777774</v>
      </c>
      <c r="AF21" s="79">
        <f>INDEX(宠物缘分!$G$30:$G$34,MATCH(M21,宠物缘分!$B$30:$B$34,0),1)*IF(W21=2,1/4,IF(W21=3,1/2,IF(W21=4,3/4,IF(W21&gt;4,1,0))))/5</f>
        <v>0</v>
      </c>
      <c r="AG21" s="79">
        <f t="shared" si="2"/>
        <v>0</v>
      </c>
      <c r="AH21" s="6">
        <f t="shared" si="9"/>
        <v>0</v>
      </c>
      <c r="AI21" s="6">
        <f t="shared" si="10"/>
        <v>0</v>
      </c>
      <c r="AJ21" s="28">
        <f t="shared" si="11"/>
        <v>352.87777777777774</v>
      </c>
      <c r="AK21" s="28">
        <f>$AJ21/5*[1]战斗预期!C$4</f>
        <v>7057.5555555555557</v>
      </c>
      <c r="AL21" s="28">
        <f>$AJ21/5*[1]战斗预期!D$4</f>
        <v>705.75555555555547</v>
      </c>
      <c r="AM21" s="28">
        <f>$AJ21/5*[1]战斗预期!E$4</f>
        <v>352.87777777777774</v>
      </c>
      <c r="AN21" s="28">
        <f>$AJ21/5*[1]战斗预期!F$4</f>
        <v>282.30222222222221</v>
      </c>
      <c r="AO21" s="28">
        <f>$AJ21/5*[1]战斗预期!G$4</f>
        <v>282.30222222222221</v>
      </c>
      <c r="AP21" s="9">
        <f t="shared" si="12"/>
        <v>352.87777777777774</v>
      </c>
    </row>
    <row r="22" spans="1:42" x14ac:dyDescent="0.15">
      <c r="A22" s="22">
        <v>85</v>
      </c>
      <c r="B22" s="63">
        <v>9.5</v>
      </c>
      <c r="C22" s="23">
        <v>8.5</v>
      </c>
      <c r="D22" s="78">
        <v>105.1985849825962</v>
      </c>
      <c r="E22" s="23">
        <v>34</v>
      </c>
      <c r="F22" s="23">
        <v>2524.7660395823086</v>
      </c>
      <c r="I22" s="27">
        <v>15</v>
      </c>
      <c r="J22" s="27">
        <f>[1]属性成长!$D22</f>
        <v>75</v>
      </c>
      <c r="K22" s="4">
        <v>15</v>
      </c>
      <c r="L22" s="4">
        <f t="shared" si="0"/>
        <v>15</v>
      </c>
      <c r="M22" s="4">
        <v>1</v>
      </c>
      <c r="N22" s="4">
        <v>15</v>
      </c>
      <c r="O22" s="4">
        <v>10</v>
      </c>
      <c r="P22" s="4">
        <v>0</v>
      </c>
      <c r="Q22" s="4">
        <v>1</v>
      </c>
      <c r="R22" s="4">
        <v>1</v>
      </c>
      <c r="S22" s="4">
        <v>0</v>
      </c>
      <c r="T22" s="4">
        <v>1</v>
      </c>
      <c r="U22" s="4">
        <v>1</v>
      </c>
      <c r="V22" s="4">
        <v>0</v>
      </c>
      <c r="W22" s="4">
        <v>1</v>
      </c>
      <c r="X22" s="5">
        <v>0</v>
      </c>
      <c r="Y22" s="5">
        <v>0</v>
      </c>
      <c r="Z22" s="13">
        <f t="shared" si="4"/>
        <v>309.40000000000003</v>
      </c>
      <c r="AA22" s="13">
        <f t="shared" si="5"/>
        <v>126.22222222222223</v>
      </c>
      <c r="AB22" s="13">
        <f t="shared" si="6"/>
        <v>12</v>
      </c>
      <c r="AC22" s="13">
        <f t="shared" si="1"/>
        <v>12.444444444444445</v>
      </c>
      <c r="AD22" s="13">
        <f t="shared" si="7"/>
        <v>0</v>
      </c>
      <c r="AE22" s="28">
        <f t="shared" si="8"/>
        <v>460.06666666666672</v>
      </c>
      <c r="AF22" s="79">
        <f>INDEX(宠物缘分!$G$30:$G$34,MATCH(M22,宠物缘分!$B$30:$B$34,0),1)*IF(W22=2,1/4,IF(W22=3,1/2,IF(W22=4,3/4,IF(W22&gt;4,1,0))))/5</f>
        <v>0</v>
      </c>
      <c r="AG22" s="79">
        <f t="shared" si="2"/>
        <v>0</v>
      </c>
      <c r="AH22" s="6">
        <f t="shared" si="9"/>
        <v>0</v>
      </c>
      <c r="AI22" s="6">
        <f t="shared" si="10"/>
        <v>0</v>
      </c>
      <c r="AJ22" s="28">
        <f t="shared" si="11"/>
        <v>460.06666666666672</v>
      </c>
      <c r="AK22" s="28">
        <f>$AJ22/5*[1]战斗预期!C$4</f>
        <v>9201.3333333333358</v>
      </c>
      <c r="AL22" s="28">
        <f>$AJ22/5*[1]战斗预期!D$4</f>
        <v>920.13333333333344</v>
      </c>
      <c r="AM22" s="28">
        <f>$AJ22/5*[1]战斗预期!E$4</f>
        <v>460.06666666666672</v>
      </c>
      <c r="AN22" s="28">
        <f>$AJ22/5*[1]战斗预期!F$4</f>
        <v>368.0533333333334</v>
      </c>
      <c r="AO22" s="28">
        <f>$AJ22/5*[1]战斗预期!G$4</f>
        <v>368.0533333333334</v>
      </c>
      <c r="AP22" s="9">
        <f t="shared" si="12"/>
        <v>460.06666666666672</v>
      </c>
    </row>
    <row r="23" spans="1:42" x14ac:dyDescent="0.15">
      <c r="A23" s="22">
        <v>90</v>
      </c>
      <c r="B23" s="63">
        <v>10</v>
      </c>
      <c r="C23" s="23">
        <v>9</v>
      </c>
      <c r="D23" s="78">
        <v>113.0034630313767</v>
      </c>
      <c r="E23" s="23">
        <v>36</v>
      </c>
      <c r="F23" s="23">
        <v>2712.083112753041</v>
      </c>
      <c r="I23" s="27">
        <v>16</v>
      </c>
      <c r="J23" s="27">
        <f>[1]属性成长!$D23</f>
        <v>80</v>
      </c>
      <c r="K23" s="4">
        <v>16</v>
      </c>
      <c r="L23" s="4">
        <f t="shared" si="0"/>
        <v>15</v>
      </c>
      <c r="M23" s="4">
        <v>1</v>
      </c>
      <c r="N23" s="4">
        <v>16</v>
      </c>
      <c r="O23" s="4">
        <v>10</v>
      </c>
      <c r="P23" s="4">
        <v>0</v>
      </c>
      <c r="Q23" s="4">
        <v>1</v>
      </c>
      <c r="R23" s="4">
        <v>1</v>
      </c>
      <c r="S23" s="4">
        <v>0</v>
      </c>
      <c r="T23" s="4">
        <v>1</v>
      </c>
      <c r="U23" s="4">
        <v>2</v>
      </c>
      <c r="V23" s="4">
        <v>0</v>
      </c>
      <c r="W23" s="4">
        <v>1</v>
      </c>
      <c r="X23" s="5">
        <v>0</v>
      </c>
      <c r="Y23" s="5">
        <v>0</v>
      </c>
      <c r="Z23" s="13">
        <f t="shared" si="4"/>
        <v>312.90000000000003</v>
      </c>
      <c r="AA23" s="13">
        <f t="shared" si="5"/>
        <v>130.66666666666669</v>
      </c>
      <c r="AB23" s="13">
        <f t="shared" si="6"/>
        <v>12</v>
      </c>
      <c r="AC23" s="13">
        <f t="shared" si="1"/>
        <v>24.888888888888889</v>
      </c>
      <c r="AD23" s="13">
        <f t="shared" si="7"/>
        <v>0</v>
      </c>
      <c r="AE23" s="28">
        <f t="shared" si="8"/>
        <v>480.45555555555563</v>
      </c>
      <c r="AF23" s="79">
        <f>INDEX(宠物缘分!$G$30:$G$34,MATCH(M23,宠物缘分!$B$30:$B$34,0),1)*IF(W23=2,1/4,IF(W23=3,1/2,IF(W23=4,3/4,IF(W23&gt;4,1,0))))/5</f>
        <v>0</v>
      </c>
      <c r="AG23" s="79">
        <f t="shared" si="2"/>
        <v>0</v>
      </c>
      <c r="AH23" s="6">
        <f t="shared" si="9"/>
        <v>0</v>
      </c>
      <c r="AI23" s="6">
        <f t="shared" si="10"/>
        <v>0</v>
      </c>
      <c r="AJ23" s="28">
        <f t="shared" si="11"/>
        <v>480.45555555555563</v>
      </c>
      <c r="AK23" s="28">
        <f>$AJ23/5*[1]战斗预期!C$4</f>
        <v>9609.1111111111131</v>
      </c>
      <c r="AL23" s="28">
        <f>$AJ23/5*[1]战斗预期!D$4</f>
        <v>960.91111111111127</v>
      </c>
      <c r="AM23" s="28">
        <f>$AJ23/5*[1]战斗预期!E$4</f>
        <v>480.45555555555563</v>
      </c>
      <c r="AN23" s="28">
        <f>$AJ23/5*[1]战斗预期!F$4</f>
        <v>384.36444444444453</v>
      </c>
      <c r="AO23" s="28">
        <f>$AJ23/5*[1]战斗预期!G$4</f>
        <v>384.36444444444453</v>
      </c>
      <c r="AP23" s="9">
        <f t="shared" si="12"/>
        <v>480.45555555555563</v>
      </c>
    </row>
    <row r="24" spans="1:42" x14ac:dyDescent="0.15">
      <c r="A24" s="22">
        <v>95</v>
      </c>
      <c r="B24" s="63">
        <v>10.5</v>
      </c>
      <c r="C24" s="23">
        <v>9.5</v>
      </c>
      <c r="D24" s="78">
        <v>120.8159630313767</v>
      </c>
      <c r="E24" s="23">
        <v>38</v>
      </c>
      <c r="F24" s="23">
        <v>2899.583112753041</v>
      </c>
      <c r="I24" s="27">
        <v>17</v>
      </c>
      <c r="J24" s="27">
        <f>[1]属性成长!$D24</f>
        <v>85</v>
      </c>
      <c r="K24" s="4">
        <v>17</v>
      </c>
      <c r="L24" s="4">
        <f t="shared" si="0"/>
        <v>15</v>
      </c>
      <c r="M24" s="4">
        <v>1</v>
      </c>
      <c r="N24" s="4">
        <v>17</v>
      </c>
      <c r="O24" s="4">
        <v>10</v>
      </c>
      <c r="P24" s="4">
        <v>0</v>
      </c>
      <c r="Q24" s="4">
        <v>1</v>
      </c>
      <c r="R24" s="4">
        <v>1</v>
      </c>
      <c r="S24" s="4">
        <v>0</v>
      </c>
      <c r="T24" s="4">
        <v>1</v>
      </c>
      <c r="U24" s="4">
        <v>3</v>
      </c>
      <c r="V24" s="4">
        <v>0</v>
      </c>
      <c r="W24" s="4">
        <v>1</v>
      </c>
      <c r="X24" s="5">
        <v>0</v>
      </c>
      <c r="Y24" s="5">
        <v>0</v>
      </c>
      <c r="Z24" s="13">
        <f t="shared" si="4"/>
        <v>316.40000000000003</v>
      </c>
      <c r="AA24" s="13">
        <f t="shared" si="5"/>
        <v>135.11111111111111</v>
      </c>
      <c r="AB24" s="13">
        <f t="shared" si="6"/>
        <v>12</v>
      </c>
      <c r="AC24" s="13">
        <f t="shared" si="1"/>
        <v>37.333333333333336</v>
      </c>
      <c r="AD24" s="13">
        <f t="shared" si="7"/>
        <v>0</v>
      </c>
      <c r="AE24" s="28">
        <f t="shared" si="8"/>
        <v>500.84444444444449</v>
      </c>
      <c r="AF24" s="79">
        <f>INDEX(宠物缘分!$G$30:$G$34,MATCH(M24,宠物缘分!$B$30:$B$34,0),1)*IF(W24=2,1/4,IF(W24=3,1/2,IF(W24=4,3/4,IF(W24&gt;4,1,0))))/5</f>
        <v>0</v>
      </c>
      <c r="AG24" s="79">
        <f t="shared" si="2"/>
        <v>0</v>
      </c>
      <c r="AH24" s="6">
        <f t="shared" si="9"/>
        <v>0</v>
      </c>
      <c r="AI24" s="6">
        <f t="shared" si="10"/>
        <v>0</v>
      </c>
      <c r="AJ24" s="28">
        <f t="shared" si="11"/>
        <v>500.84444444444449</v>
      </c>
      <c r="AK24" s="28">
        <f>$AJ24/5*[1]战斗预期!C$4</f>
        <v>10016.888888888891</v>
      </c>
      <c r="AL24" s="28">
        <f>$AJ24/5*[1]战斗预期!D$4</f>
        <v>1001.688888888889</v>
      </c>
      <c r="AM24" s="28">
        <f>$AJ24/5*[1]战斗预期!E$4</f>
        <v>500.84444444444449</v>
      </c>
      <c r="AN24" s="28">
        <f>$AJ24/5*[1]战斗预期!F$4</f>
        <v>400.6755555555556</v>
      </c>
      <c r="AO24" s="28">
        <f>$AJ24/5*[1]战斗预期!G$4</f>
        <v>400.6755555555556</v>
      </c>
      <c r="AP24" s="9">
        <f t="shared" si="12"/>
        <v>500.84444444444449</v>
      </c>
    </row>
    <row r="25" spans="1:42" x14ac:dyDescent="0.15">
      <c r="A25" s="24">
        <v>100</v>
      </c>
      <c r="B25" s="63">
        <v>11</v>
      </c>
      <c r="C25" s="23">
        <v>10</v>
      </c>
      <c r="D25" s="78">
        <v>128.64204998789845</v>
      </c>
      <c r="E25" s="23">
        <v>40</v>
      </c>
      <c r="F25" s="23">
        <v>3087.4091997095629</v>
      </c>
      <c r="I25" s="27">
        <v>18</v>
      </c>
      <c r="J25" s="27">
        <f>[1]属性成长!$D25</f>
        <v>90</v>
      </c>
      <c r="K25" s="4">
        <v>18</v>
      </c>
      <c r="L25" s="4">
        <f t="shared" si="0"/>
        <v>15</v>
      </c>
      <c r="M25" s="4">
        <v>1</v>
      </c>
      <c r="N25" s="4">
        <v>18</v>
      </c>
      <c r="O25" s="4">
        <v>10</v>
      </c>
      <c r="P25" s="4">
        <v>0</v>
      </c>
      <c r="Q25" s="4">
        <v>1</v>
      </c>
      <c r="R25" s="4">
        <v>1</v>
      </c>
      <c r="S25" s="4">
        <v>0</v>
      </c>
      <c r="T25" s="4">
        <v>1</v>
      </c>
      <c r="U25" s="4">
        <v>4</v>
      </c>
      <c r="V25" s="4">
        <v>0</v>
      </c>
      <c r="W25" s="4">
        <v>1</v>
      </c>
      <c r="X25" s="5">
        <v>0</v>
      </c>
      <c r="Y25" s="5">
        <v>0</v>
      </c>
      <c r="Z25" s="13">
        <f t="shared" si="4"/>
        <v>319.90000000000003</v>
      </c>
      <c r="AA25" s="13">
        <f t="shared" si="5"/>
        <v>139.55555555555554</v>
      </c>
      <c r="AB25" s="13">
        <f t="shared" si="6"/>
        <v>12</v>
      </c>
      <c r="AC25" s="13">
        <f t="shared" si="1"/>
        <v>49.777777777777779</v>
      </c>
      <c r="AD25" s="13">
        <f t="shared" si="7"/>
        <v>0</v>
      </c>
      <c r="AE25" s="28">
        <f t="shared" si="8"/>
        <v>521.23333333333335</v>
      </c>
      <c r="AF25" s="79">
        <f>INDEX(宠物缘分!$G$30:$G$34,MATCH(M25,宠物缘分!$B$30:$B$34,0),1)*IF(W25=2,1/4,IF(W25=3,1/2,IF(W25=4,3/4,IF(W25&gt;4,1,0))))/5</f>
        <v>0</v>
      </c>
      <c r="AG25" s="79">
        <f t="shared" si="2"/>
        <v>0</v>
      </c>
      <c r="AH25" s="6">
        <f t="shared" si="9"/>
        <v>0</v>
      </c>
      <c r="AI25" s="6">
        <f t="shared" si="10"/>
        <v>0</v>
      </c>
      <c r="AJ25" s="28">
        <f t="shared" si="11"/>
        <v>521.23333333333335</v>
      </c>
      <c r="AK25" s="28">
        <f>$AJ25/5*[1]战斗预期!C$4</f>
        <v>10424.666666666668</v>
      </c>
      <c r="AL25" s="28">
        <f>$AJ25/5*[1]战斗预期!D$4</f>
        <v>1042.4666666666667</v>
      </c>
      <c r="AM25" s="28">
        <f>$AJ25/5*[1]战斗预期!E$4</f>
        <v>521.23333333333335</v>
      </c>
      <c r="AN25" s="28">
        <f>$AJ25/5*[1]战斗预期!F$4</f>
        <v>416.98666666666668</v>
      </c>
      <c r="AO25" s="28">
        <f>$AJ25/5*[1]战斗预期!G$4</f>
        <v>416.98666666666668</v>
      </c>
      <c r="AP25" s="9">
        <f t="shared" si="12"/>
        <v>521.23333333333335</v>
      </c>
    </row>
    <row r="26" spans="1:42" x14ac:dyDescent="0.15">
      <c r="I26" s="27">
        <v>19</v>
      </c>
      <c r="J26" s="27">
        <f>[1]属性成长!$D26</f>
        <v>95</v>
      </c>
      <c r="K26" s="4">
        <v>19</v>
      </c>
      <c r="L26" s="4">
        <f t="shared" si="0"/>
        <v>15</v>
      </c>
      <c r="M26" s="4">
        <v>1</v>
      </c>
      <c r="N26" s="4">
        <v>19</v>
      </c>
      <c r="O26" s="4">
        <v>10</v>
      </c>
      <c r="P26" s="4">
        <v>0</v>
      </c>
      <c r="Q26" s="4">
        <v>1</v>
      </c>
      <c r="R26" s="4">
        <v>1</v>
      </c>
      <c r="S26" s="4">
        <v>0</v>
      </c>
      <c r="T26" s="4">
        <v>1</v>
      </c>
      <c r="U26" s="4">
        <v>5</v>
      </c>
      <c r="V26" s="4">
        <v>0</v>
      </c>
      <c r="W26" s="4">
        <v>1</v>
      </c>
      <c r="X26" s="5">
        <v>0</v>
      </c>
      <c r="Y26" s="5">
        <v>0</v>
      </c>
      <c r="Z26" s="13">
        <f t="shared" si="4"/>
        <v>323.40000000000003</v>
      </c>
      <c r="AA26" s="13">
        <f t="shared" si="5"/>
        <v>144</v>
      </c>
      <c r="AB26" s="13">
        <f t="shared" si="6"/>
        <v>12</v>
      </c>
      <c r="AC26" s="13">
        <f t="shared" si="1"/>
        <v>62.222222222222221</v>
      </c>
      <c r="AD26" s="13">
        <f t="shared" si="7"/>
        <v>0</v>
      </c>
      <c r="AE26" s="28">
        <f t="shared" si="8"/>
        <v>541.62222222222226</v>
      </c>
      <c r="AF26" s="79">
        <f>INDEX(宠物缘分!$G$30:$G$34,MATCH(M26,宠物缘分!$B$30:$B$34,0),1)*IF(W26=2,1/4,IF(W26=3,1/2,IF(W26=4,3/4,IF(W26&gt;4,1,0))))/5</f>
        <v>0</v>
      </c>
      <c r="AG26" s="79">
        <f t="shared" si="2"/>
        <v>0</v>
      </c>
      <c r="AH26" s="6">
        <f t="shared" si="9"/>
        <v>0</v>
      </c>
      <c r="AI26" s="6">
        <f t="shared" si="10"/>
        <v>0</v>
      </c>
      <c r="AJ26" s="28">
        <f t="shared" si="11"/>
        <v>541.62222222222226</v>
      </c>
      <c r="AK26" s="28">
        <f>$AJ26/5*[1]战斗预期!C$4</f>
        <v>10832.444444444445</v>
      </c>
      <c r="AL26" s="28">
        <f>$AJ26/5*[1]战斗预期!D$4</f>
        <v>1083.2444444444445</v>
      </c>
      <c r="AM26" s="28">
        <f>$AJ26/5*[1]战斗预期!E$4</f>
        <v>541.62222222222226</v>
      </c>
      <c r="AN26" s="28">
        <f>$AJ26/5*[1]战斗预期!F$4</f>
        <v>433.29777777777781</v>
      </c>
      <c r="AO26" s="28">
        <f>$AJ26/5*[1]战斗预期!G$4</f>
        <v>433.29777777777781</v>
      </c>
      <c r="AP26" s="9">
        <f t="shared" si="12"/>
        <v>541.62222222222226</v>
      </c>
    </row>
    <row r="27" spans="1:42" x14ac:dyDescent="0.15">
      <c r="A27" s="22" t="s">
        <v>87</v>
      </c>
      <c r="B27" s="22" t="s">
        <v>88</v>
      </c>
      <c r="C27" s="3" t="s">
        <v>264</v>
      </c>
      <c r="D27" s="22" t="s">
        <v>89</v>
      </c>
      <c r="E27" s="3" t="s">
        <v>265</v>
      </c>
      <c r="I27" s="27">
        <v>20</v>
      </c>
      <c r="J27" s="27">
        <f>[1]属性成长!$D27</f>
        <v>100</v>
      </c>
      <c r="K27" s="4">
        <v>20</v>
      </c>
      <c r="L27" s="4">
        <f t="shared" si="0"/>
        <v>20</v>
      </c>
      <c r="M27" s="4">
        <v>1</v>
      </c>
      <c r="N27" s="4">
        <v>20</v>
      </c>
      <c r="O27" s="4">
        <v>20</v>
      </c>
      <c r="P27" s="4">
        <v>0</v>
      </c>
      <c r="Q27" s="4">
        <v>1</v>
      </c>
      <c r="R27" s="4">
        <v>1</v>
      </c>
      <c r="S27" s="4">
        <v>0</v>
      </c>
      <c r="T27" s="4">
        <v>1</v>
      </c>
      <c r="U27" s="4">
        <v>6</v>
      </c>
      <c r="V27" s="4">
        <v>0</v>
      </c>
      <c r="W27" s="4">
        <v>2</v>
      </c>
      <c r="X27" s="5">
        <v>0</v>
      </c>
      <c r="Y27" s="5">
        <v>0</v>
      </c>
      <c r="Z27" s="13">
        <f t="shared" si="4"/>
        <v>435.59999999999997</v>
      </c>
      <c r="AA27" s="13">
        <f t="shared" si="5"/>
        <v>286.66666666666669</v>
      </c>
      <c r="AB27" s="13">
        <f t="shared" si="6"/>
        <v>12</v>
      </c>
      <c r="AC27" s="13">
        <f t="shared" si="1"/>
        <v>74.666666666666671</v>
      </c>
      <c r="AD27" s="13">
        <f t="shared" si="7"/>
        <v>0</v>
      </c>
      <c r="AE27" s="28">
        <f t="shared" si="8"/>
        <v>808.93333333333328</v>
      </c>
      <c r="AF27" s="79">
        <f>INDEX(宠物缘分!$G$30:$G$34,MATCH(M27,宠物缘分!$B$30:$B$34,0),1)*IF(W27=2,1/4,IF(W27=3,1/2,IF(W27=4,3/4,IF(W27&gt;4,1,0))))/5</f>
        <v>1.6999999999999998E-2</v>
      </c>
      <c r="AG27" s="79">
        <f t="shared" si="2"/>
        <v>0</v>
      </c>
      <c r="AH27" s="6">
        <f t="shared" si="9"/>
        <v>13.751866666666665</v>
      </c>
      <c r="AI27" s="6">
        <f t="shared" si="10"/>
        <v>0</v>
      </c>
      <c r="AJ27" s="28">
        <f t="shared" si="11"/>
        <v>822.6851999999999</v>
      </c>
      <c r="AK27" s="28">
        <f>$AJ27/5*[1]战斗预期!C$4</f>
        <v>16453.703999999998</v>
      </c>
      <c r="AL27" s="28">
        <f>$AJ27/5*[1]战斗预期!D$4</f>
        <v>1645.3703999999998</v>
      </c>
      <c r="AM27" s="28">
        <f>$AJ27/5*[1]战斗预期!E$4</f>
        <v>822.6851999999999</v>
      </c>
      <c r="AN27" s="28">
        <f>$AJ27/5*[1]战斗预期!F$4</f>
        <v>658.14815999999996</v>
      </c>
      <c r="AO27" s="28">
        <f>$AJ27/5*[1]战斗预期!G$4</f>
        <v>658.14815999999996</v>
      </c>
      <c r="AP27" s="9">
        <f t="shared" si="12"/>
        <v>822.6851999999999</v>
      </c>
    </row>
    <row r="28" spans="1:42" x14ac:dyDescent="0.15">
      <c r="A28" s="22">
        <v>0</v>
      </c>
      <c r="B28" s="22">
        <v>0</v>
      </c>
      <c r="C28" s="77">
        <v>0</v>
      </c>
      <c r="D28" s="23">
        <v>0</v>
      </c>
      <c r="E28" s="3">
        <v>0</v>
      </c>
      <c r="I28" s="27">
        <v>21</v>
      </c>
      <c r="J28" s="27">
        <f>[1]属性成长!$D28</f>
        <v>105</v>
      </c>
      <c r="K28" s="4">
        <v>21</v>
      </c>
      <c r="L28" s="4">
        <f t="shared" si="0"/>
        <v>20</v>
      </c>
      <c r="M28" s="4">
        <v>1</v>
      </c>
      <c r="N28" s="4">
        <v>21</v>
      </c>
      <c r="O28" s="4">
        <v>20</v>
      </c>
      <c r="P28" s="4">
        <v>0</v>
      </c>
      <c r="Q28" s="4">
        <v>1</v>
      </c>
      <c r="R28" s="4">
        <v>1</v>
      </c>
      <c r="S28" s="4">
        <v>0</v>
      </c>
      <c r="T28" s="4">
        <v>1</v>
      </c>
      <c r="U28" s="4">
        <v>7</v>
      </c>
      <c r="V28" s="4">
        <v>0</v>
      </c>
      <c r="W28" s="4">
        <v>2</v>
      </c>
      <c r="X28" s="5">
        <v>0</v>
      </c>
      <c r="Y28" s="5">
        <v>0</v>
      </c>
      <c r="Z28" s="13">
        <f t="shared" si="4"/>
        <v>439.59999999999997</v>
      </c>
      <c r="AA28" s="13">
        <f t="shared" si="5"/>
        <v>293.33333333333337</v>
      </c>
      <c r="AB28" s="13">
        <f t="shared" si="6"/>
        <v>12</v>
      </c>
      <c r="AC28" s="13">
        <f t="shared" si="1"/>
        <v>87.111111111111114</v>
      </c>
      <c r="AD28" s="13">
        <f t="shared" si="7"/>
        <v>0</v>
      </c>
      <c r="AE28" s="28">
        <f t="shared" si="8"/>
        <v>832.04444444444448</v>
      </c>
      <c r="AF28" s="79">
        <f>INDEX(宠物缘分!$G$30:$G$34,MATCH(M28,宠物缘分!$B$30:$B$34,0),1)*IF(W28=2,1/4,IF(W28=3,1/2,IF(W28=4,3/4,IF(W28&gt;4,1,0))))/5</f>
        <v>1.6999999999999998E-2</v>
      </c>
      <c r="AG28" s="79">
        <f t="shared" si="2"/>
        <v>0</v>
      </c>
      <c r="AH28" s="6">
        <f t="shared" si="9"/>
        <v>14.144755555555554</v>
      </c>
      <c r="AI28" s="6">
        <f t="shared" si="10"/>
        <v>0</v>
      </c>
      <c r="AJ28" s="28">
        <f t="shared" si="11"/>
        <v>846.18919999999991</v>
      </c>
      <c r="AK28" s="28">
        <f>$AJ28/5*[1]战斗预期!C$4</f>
        <v>16923.783999999996</v>
      </c>
      <c r="AL28" s="28">
        <f>$AJ28/5*[1]战斗预期!D$4</f>
        <v>1692.3783999999998</v>
      </c>
      <c r="AM28" s="28">
        <f>$AJ28/5*[1]战斗预期!E$4</f>
        <v>846.18919999999991</v>
      </c>
      <c r="AN28" s="28">
        <f>$AJ28/5*[1]战斗预期!F$4</f>
        <v>676.95135999999991</v>
      </c>
      <c r="AO28" s="28">
        <f>$AJ28/5*[1]战斗预期!G$4</f>
        <v>676.95135999999991</v>
      </c>
      <c r="AP28" s="9">
        <f t="shared" si="12"/>
        <v>846.18919999999991</v>
      </c>
    </row>
    <row r="29" spans="1:42" x14ac:dyDescent="0.15">
      <c r="A29" s="22">
        <v>1</v>
      </c>
      <c r="B29" s="22">
        <v>1</v>
      </c>
      <c r="C29" s="77">
        <v>10</v>
      </c>
      <c r="D29" s="23">
        <v>4</v>
      </c>
      <c r="E29" s="3">
        <v>240</v>
      </c>
      <c r="I29" s="27">
        <v>22</v>
      </c>
      <c r="J29" s="27">
        <f>[1]属性成长!$D29</f>
        <v>110</v>
      </c>
      <c r="K29" s="4">
        <v>22</v>
      </c>
      <c r="L29" s="4">
        <f t="shared" si="0"/>
        <v>20</v>
      </c>
      <c r="M29" s="4">
        <v>1</v>
      </c>
      <c r="N29" s="4">
        <v>22</v>
      </c>
      <c r="O29" s="4">
        <v>20</v>
      </c>
      <c r="P29" s="4">
        <v>0</v>
      </c>
      <c r="Q29" s="4">
        <v>1</v>
      </c>
      <c r="R29" s="4">
        <v>1</v>
      </c>
      <c r="S29" s="4">
        <v>0</v>
      </c>
      <c r="T29" s="4">
        <v>1</v>
      </c>
      <c r="U29" s="4">
        <v>8</v>
      </c>
      <c r="V29" s="4">
        <v>0</v>
      </c>
      <c r="W29" s="4">
        <v>2</v>
      </c>
      <c r="X29" s="5">
        <v>0</v>
      </c>
      <c r="Y29" s="5">
        <v>0</v>
      </c>
      <c r="Z29" s="13">
        <f t="shared" si="4"/>
        <v>443.59999999999997</v>
      </c>
      <c r="AA29" s="13">
        <f t="shared" si="5"/>
        <v>300</v>
      </c>
      <c r="AB29" s="13">
        <f t="shared" si="6"/>
        <v>12</v>
      </c>
      <c r="AC29" s="13">
        <f t="shared" si="1"/>
        <v>99.555555555555557</v>
      </c>
      <c r="AD29" s="13">
        <f t="shared" si="7"/>
        <v>0</v>
      </c>
      <c r="AE29" s="28">
        <f t="shared" si="8"/>
        <v>855.15555555555545</v>
      </c>
      <c r="AF29" s="79">
        <f>INDEX(宠物缘分!$G$30:$G$34,MATCH(M29,宠物缘分!$B$30:$B$34,0),1)*IF(W29=2,1/4,IF(W29=3,1/2,IF(W29=4,3/4,IF(W29&gt;4,1,0))))/5</f>
        <v>1.6999999999999998E-2</v>
      </c>
      <c r="AG29" s="79">
        <f t="shared" si="2"/>
        <v>0</v>
      </c>
      <c r="AH29" s="6">
        <f t="shared" si="9"/>
        <v>14.537644444444441</v>
      </c>
      <c r="AI29" s="6">
        <f t="shared" si="10"/>
        <v>0</v>
      </c>
      <c r="AJ29" s="28">
        <f t="shared" si="11"/>
        <v>869.69319999999982</v>
      </c>
      <c r="AK29" s="28">
        <f>$AJ29/5*[1]战斗预期!C$4</f>
        <v>17393.863999999998</v>
      </c>
      <c r="AL29" s="28">
        <f>$AJ29/5*[1]战斗预期!D$4</f>
        <v>1739.3863999999996</v>
      </c>
      <c r="AM29" s="28">
        <f>$AJ29/5*[1]战斗预期!E$4</f>
        <v>869.69319999999982</v>
      </c>
      <c r="AN29" s="28">
        <f>$AJ29/5*[1]战斗预期!F$4</f>
        <v>695.75455999999986</v>
      </c>
      <c r="AO29" s="28">
        <f>$AJ29/5*[1]战斗预期!G$4</f>
        <v>695.75455999999986</v>
      </c>
      <c r="AP29" s="9">
        <f t="shared" si="12"/>
        <v>869.69319999999982</v>
      </c>
    </row>
    <row r="30" spans="1:42" x14ac:dyDescent="0.15">
      <c r="A30" s="22">
        <v>2</v>
      </c>
      <c r="B30" s="22">
        <v>2</v>
      </c>
      <c r="C30" s="77">
        <v>22</v>
      </c>
      <c r="D30" s="23">
        <v>8</v>
      </c>
      <c r="E30" s="3">
        <v>528</v>
      </c>
      <c r="I30" s="27">
        <v>23</v>
      </c>
      <c r="J30" s="27">
        <f>[1]属性成长!$D30</f>
        <v>115</v>
      </c>
      <c r="K30" s="4">
        <v>23</v>
      </c>
      <c r="L30" s="4">
        <f t="shared" si="0"/>
        <v>20</v>
      </c>
      <c r="M30" s="4">
        <v>1</v>
      </c>
      <c r="N30" s="4">
        <v>23</v>
      </c>
      <c r="O30" s="4">
        <v>20</v>
      </c>
      <c r="P30" s="4">
        <v>0</v>
      </c>
      <c r="Q30" s="4">
        <v>1</v>
      </c>
      <c r="R30" s="4">
        <v>1</v>
      </c>
      <c r="S30" s="4">
        <v>0</v>
      </c>
      <c r="T30" s="4">
        <v>1</v>
      </c>
      <c r="U30" s="4">
        <v>9</v>
      </c>
      <c r="V30" s="4">
        <v>0</v>
      </c>
      <c r="W30" s="4">
        <v>2</v>
      </c>
      <c r="X30" s="5">
        <v>0</v>
      </c>
      <c r="Y30" s="5">
        <v>0</v>
      </c>
      <c r="Z30" s="13">
        <f t="shared" si="4"/>
        <v>447.59999999999997</v>
      </c>
      <c r="AA30" s="13">
        <f t="shared" si="5"/>
        <v>306.66666666666669</v>
      </c>
      <c r="AB30" s="13">
        <f t="shared" si="6"/>
        <v>12</v>
      </c>
      <c r="AC30" s="13">
        <f t="shared" si="1"/>
        <v>112</v>
      </c>
      <c r="AD30" s="13">
        <f t="shared" si="7"/>
        <v>0</v>
      </c>
      <c r="AE30" s="28">
        <f t="shared" si="8"/>
        <v>878.26666666666665</v>
      </c>
      <c r="AF30" s="79">
        <f>INDEX(宠物缘分!$G$30:$G$34,MATCH(M30,宠物缘分!$B$30:$B$34,0),1)*IF(W30=2,1/4,IF(W30=3,1/2,IF(W30=4,3/4,IF(W30&gt;4,1,0))))/5</f>
        <v>1.6999999999999998E-2</v>
      </c>
      <c r="AG30" s="79">
        <f t="shared" si="2"/>
        <v>0</v>
      </c>
      <c r="AH30" s="6">
        <f t="shared" si="9"/>
        <v>14.930533333333331</v>
      </c>
      <c r="AI30" s="6">
        <f t="shared" si="10"/>
        <v>0</v>
      </c>
      <c r="AJ30" s="28">
        <f t="shared" si="11"/>
        <v>893.19719999999995</v>
      </c>
      <c r="AK30" s="28">
        <f>$AJ30/5*[1]战斗预期!C$4</f>
        <v>17863.944</v>
      </c>
      <c r="AL30" s="28">
        <f>$AJ30/5*[1]战斗预期!D$4</f>
        <v>1786.3943999999997</v>
      </c>
      <c r="AM30" s="28">
        <f>$AJ30/5*[1]战斗预期!E$4</f>
        <v>893.19719999999984</v>
      </c>
      <c r="AN30" s="28">
        <f>$AJ30/5*[1]战斗预期!F$4</f>
        <v>714.55775999999992</v>
      </c>
      <c r="AO30" s="28">
        <f>$AJ30/5*[1]战斗预期!G$4</f>
        <v>714.55775999999992</v>
      </c>
      <c r="AP30" s="9">
        <f t="shared" si="12"/>
        <v>893.19719999999995</v>
      </c>
    </row>
    <row r="31" spans="1:42" x14ac:dyDescent="0.15">
      <c r="A31" s="22">
        <v>3</v>
      </c>
      <c r="B31" s="22">
        <v>3</v>
      </c>
      <c r="C31" s="77">
        <v>36</v>
      </c>
      <c r="D31" s="23">
        <v>12</v>
      </c>
      <c r="E31" s="3">
        <v>864</v>
      </c>
      <c r="I31" s="27">
        <v>24</v>
      </c>
      <c r="J31" s="27">
        <f>[1]属性成长!$D31</f>
        <v>120</v>
      </c>
      <c r="K31" s="4">
        <v>24</v>
      </c>
      <c r="L31" s="4">
        <f t="shared" si="0"/>
        <v>20</v>
      </c>
      <c r="M31" s="4">
        <v>1</v>
      </c>
      <c r="N31" s="4">
        <v>24</v>
      </c>
      <c r="O31" s="4">
        <v>20</v>
      </c>
      <c r="P31" s="4">
        <v>0</v>
      </c>
      <c r="Q31" s="4">
        <v>1</v>
      </c>
      <c r="R31" s="4">
        <v>1</v>
      </c>
      <c r="S31" s="4">
        <v>0</v>
      </c>
      <c r="T31" s="4">
        <v>1</v>
      </c>
      <c r="U31" s="4">
        <v>10</v>
      </c>
      <c r="V31" s="4">
        <v>0</v>
      </c>
      <c r="W31" s="4">
        <v>2</v>
      </c>
      <c r="X31" s="5">
        <v>0</v>
      </c>
      <c r="Y31" s="5">
        <v>0</v>
      </c>
      <c r="Z31" s="13">
        <f t="shared" si="4"/>
        <v>451.59999999999997</v>
      </c>
      <c r="AA31" s="13">
        <f t="shared" si="5"/>
        <v>313.33333333333337</v>
      </c>
      <c r="AB31" s="13">
        <f t="shared" si="6"/>
        <v>12</v>
      </c>
      <c r="AC31" s="13">
        <f t="shared" si="1"/>
        <v>124.44444444444444</v>
      </c>
      <c r="AD31" s="13">
        <f t="shared" si="7"/>
        <v>0</v>
      </c>
      <c r="AE31" s="28">
        <f t="shared" si="8"/>
        <v>901.37777777777785</v>
      </c>
      <c r="AF31" s="79">
        <f>INDEX(宠物缘分!$G$30:$G$34,MATCH(M31,宠物缘分!$B$30:$B$34,0),1)*IF(W31=2,1/4,IF(W31=3,1/2,IF(W31=4,3/4,IF(W31&gt;4,1,0))))/5</f>
        <v>1.6999999999999998E-2</v>
      </c>
      <c r="AG31" s="79">
        <f t="shared" si="2"/>
        <v>0</v>
      </c>
      <c r="AH31" s="6">
        <f t="shared" si="9"/>
        <v>15.323422222222222</v>
      </c>
      <c r="AI31" s="6">
        <f t="shared" si="10"/>
        <v>0</v>
      </c>
      <c r="AJ31" s="28">
        <f t="shared" si="11"/>
        <v>916.70119999999997</v>
      </c>
      <c r="AK31" s="28">
        <f>$AJ31/5*[1]战斗预期!C$4</f>
        <v>18334.023999999998</v>
      </c>
      <c r="AL31" s="28">
        <f>$AJ31/5*[1]战斗预期!D$4</f>
        <v>1833.4023999999999</v>
      </c>
      <c r="AM31" s="28">
        <f>$AJ31/5*[1]战斗预期!E$4</f>
        <v>916.70119999999997</v>
      </c>
      <c r="AN31" s="28">
        <f>$AJ31/5*[1]战斗预期!F$4</f>
        <v>733.36095999999998</v>
      </c>
      <c r="AO31" s="28">
        <f>$AJ31/5*[1]战斗预期!G$4</f>
        <v>733.36095999999998</v>
      </c>
      <c r="AP31" s="9">
        <f t="shared" si="12"/>
        <v>916.70119999999997</v>
      </c>
    </row>
    <row r="32" spans="1:42" x14ac:dyDescent="0.15">
      <c r="A32" s="22">
        <v>4</v>
      </c>
      <c r="B32" s="22">
        <v>4</v>
      </c>
      <c r="C32" s="77">
        <v>51</v>
      </c>
      <c r="D32" s="23">
        <v>16</v>
      </c>
      <c r="E32" s="3">
        <v>1224</v>
      </c>
      <c r="I32" s="27">
        <v>25</v>
      </c>
      <c r="J32" s="27">
        <f>[1]属性成长!$D32</f>
        <v>125</v>
      </c>
      <c r="K32" s="4">
        <v>25</v>
      </c>
      <c r="L32" s="4">
        <f t="shared" si="0"/>
        <v>25</v>
      </c>
      <c r="M32" s="4">
        <v>1</v>
      </c>
      <c r="N32" s="4">
        <v>25</v>
      </c>
      <c r="O32" s="4">
        <v>20</v>
      </c>
      <c r="P32" s="4">
        <v>1</v>
      </c>
      <c r="Q32" s="4">
        <v>1</v>
      </c>
      <c r="R32" s="4">
        <v>1</v>
      </c>
      <c r="S32" s="4">
        <v>0</v>
      </c>
      <c r="T32" s="4">
        <v>1</v>
      </c>
      <c r="U32" s="4">
        <v>11</v>
      </c>
      <c r="V32" s="4">
        <v>0</v>
      </c>
      <c r="W32" s="4">
        <v>2</v>
      </c>
      <c r="X32" s="5">
        <v>0</v>
      </c>
      <c r="Y32" s="5">
        <v>0</v>
      </c>
      <c r="Z32" s="13">
        <f t="shared" si="4"/>
        <v>616.4</v>
      </c>
      <c r="AA32" s="13">
        <f t="shared" si="5"/>
        <v>533.33333333333337</v>
      </c>
      <c r="AB32" s="13">
        <f t="shared" si="6"/>
        <v>12</v>
      </c>
      <c r="AC32" s="13">
        <f t="shared" si="1"/>
        <v>136.88888888888889</v>
      </c>
      <c r="AD32" s="13">
        <f t="shared" si="7"/>
        <v>0</v>
      </c>
      <c r="AE32" s="28">
        <f t="shared" si="8"/>
        <v>1298.6222222222223</v>
      </c>
      <c r="AF32" s="79">
        <f>INDEX(宠物缘分!$G$30:$G$34,MATCH(M32,宠物缘分!$B$30:$B$34,0),1)*IF(W32=2,1/4,IF(W32=3,1/2,IF(W32=4,3/4,IF(W32&gt;4,1,0))))/5</f>
        <v>1.6999999999999998E-2</v>
      </c>
      <c r="AG32" s="79">
        <f t="shared" si="2"/>
        <v>0</v>
      </c>
      <c r="AH32" s="6">
        <f t="shared" si="9"/>
        <v>22.076577777777775</v>
      </c>
      <c r="AI32" s="6">
        <f t="shared" si="10"/>
        <v>0</v>
      </c>
      <c r="AJ32" s="28">
        <f t="shared" si="11"/>
        <v>1320.6987999999999</v>
      </c>
      <c r="AK32" s="28">
        <f>$AJ32/5*[1]战斗预期!C$4</f>
        <v>26413.975999999995</v>
      </c>
      <c r="AL32" s="28">
        <f>$AJ32/5*[1]战斗预期!D$4</f>
        <v>2641.3975999999998</v>
      </c>
      <c r="AM32" s="28">
        <f>$AJ32/5*[1]战斗预期!E$4</f>
        <v>1320.6987999999999</v>
      </c>
      <c r="AN32" s="28">
        <f>$AJ32/5*[1]战斗预期!F$4</f>
        <v>1056.5590399999999</v>
      </c>
      <c r="AO32" s="28">
        <f>$AJ32/5*[1]战斗预期!G$4</f>
        <v>1056.5590399999999</v>
      </c>
      <c r="AP32" s="9">
        <f t="shared" si="12"/>
        <v>1320.6987999999999</v>
      </c>
    </row>
    <row r="33" spans="1:42" ht="10.5" customHeight="1" x14ac:dyDescent="0.15">
      <c r="A33" s="22">
        <v>5</v>
      </c>
      <c r="B33" s="22">
        <v>5</v>
      </c>
      <c r="C33" s="77">
        <v>66</v>
      </c>
      <c r="D33" s="23">
        <v>20</v>
      </c>
      <c r="E33" s="3">
        <v>1584</v>
      </c>
      <c r="I33" s="27">
        <v>26</v>
      </c>
      <c r="J33" s="27">
        <f>[1]属性成长!$D33</f>
        <v>130</v>
      </c>
      <c r="K33" s="4">
        <v>26</v>
      </c>
      <c r="L33" s="4">
        <f t="shared" si="0"/>
        <v>25</v>
      </c>
      <c r="M33" s="4">
        <v>1</v>
      </c>
      <c r="N33" s="4">
        <v>26</v>
      </c>
      <c r="O33" s="4">
        <v>20</v>
      </c>
      <c r="P33" s="4">
        <v>1</v>
      </c>
      <c r="Q33" s="4">
        <v>1</v>
      </c>
      <c r="R33" s="4">
        <v>1</v>
      </c>
      <c r="S33" s="4">
        <v>0</v>
      </c>
      <c r="T33" s="4">
        <v>1</v>
      </c>
      <c r="U33" s="4">
        <v>12</v>
      </c>
      <c r="V33" s="4">
        <v>0</v>
      </c>
      <c r="W33" s="4">
        <v>2</v>
      </c>
      <c r="X33" s="5">
        <v>0</v>
      </c>
      <c r="Y33" s="5">
        <v>0</v>
      </c>
      <c r="Z33" s="13">
        <f t="shared" si="4"/>
        <v>620.9</v>
      </c>
      <c r="AA33" s="13">
        <f t="shared" si="5"/>
        <v>542.22222222222217</v>
      </c>
      <c r="AB33" s="13">
        <f t="shared" si="6"/>
        <v>12</v>
      </c>
      <c r="AC33" s="13">
        <f t="shared" si="1"/>
        <v>149.33333333333334</v>
      </c>
      <c r="AD33" s="13">
        <f t="shared" si="7"/>
        <v>0</v>
      </c>
      <c r="AE33" s="28">
        <f t="shared" si="8"/>
        <v>1324.4555555555555</v>
      </c>
      <c r="AF33" s="79">
        <f>INDEX(宠物缘分!$G$30:$G$34,MATCH(M33,宠物缘分!$B$30:$B$34,0),1)*IF(W33=2,1/4,IF(W33=3,1/2,IF(W33=4,3/4,IF(W33&gt;4,1,0))))/5</f>
        <v>1.6999999999999998E-2</v>
      </c>
      <c r="AG33" s="79">
        <f t="shared" si="2"/>
        <v>0</v>
      </c>
      <c r="AH33" s="6">
        <f t="shared" si="9"/>
        <v>22.51574444444444</v>
      </c>
      <c r="AI33" s="6">
        <f t="shared" si="10"/>
        <v>0</v>
      </c>
      <c r="AJ33" s="28">
        <f t="shared" si="11"/>
        <v>1346.9712999999999</v>
      </c>
      <c r="AK33" s="28">
        <f>$AJ33/5*[1]战斗预期!C$4</f>
        <v>26939.425999999996</v>
      </c>
      <c r="AL33" s="28">
        <f>$AJ33/5*[1]战斗预期!D$4</f>
        <v>2693.9425999999999</v>
      </c>
      <c r="AM33" s="28">
        <f>$AJ33/5*[1]战斗预期!E$4</f>
        <v>1346.9712999999999</v>
      </c>
      <c r="AN33" s="28">
        <f>$AJ33/5*[1]战斗预期!F$4</f>
        <v>1077.5770399999999</v>
      </c>
      <c r="AO33" s="28">
        <f>$AJ33/5*[1]战斗预期!G$4</f>
        <v>1077.5770399999999</v>
      </c>
      <c r="AP33" s="9">
        <f t="shared" si="12"/>
        <v>1346.9712999999999</v>
      </c>
    </row>
    <row r="34" spans="1:42" x14ac:dyDescent="0.15">
      <c r="A34" s="22">
        <v>6</v>
      </c>
      <c r="B34" s="22">
        <v>6</v>
      </c>
      <c r="C34" s="77">
        <v>81</v>
      </c>
      <c r="D34" s="23">
        <v>24</v>
      </c>
      <c r="E34" s="3">
        <v>1944</v>
      </c>
      <c r="I34" s="27">
        <v>27</v>
      </c>
      <c r="J34" s="27">
        <f>[1]属性成长!$D34</f>
        <v>135</v>
      </c>
      <c r="K34" s="4">
        <v>27</v>
      </c>
      <c r="L34" s="4">
        <f t="shared" si="0"/>
        <v>25</v>
      </c>
      <c r="M34" s="4">
        <v>1</v>
      </c>
      <c r="N34" s="4">
        <v>27</v>
      </c>
      <c r="O34" s="4">
        <v>20</v>
      </c>
      <c r="P34" s="4">
        <v>1</v>
      </c>
      <c r="Q34" s="4">
        <v>1</v>
      </c>
      <c r="R34" s="4">
        <v>1</v>
      </c>
      <c r="S34" s="4">
        <v>0</v>
      </c>
      <c r="T34" s="4">
        <v>1</v>
      </c>
      <c r="U34" s="4">
        <v>13</v>
      </c>
      <c r="V34" s="4">
        <v>0</v>
      </c>
      <c r="W34" s="4">
        <v>2</v>
      </c>
      <c r="X34" s="5">
        <v>0</v>
      </c>
      <c r="Y34" s="5">
        <v>0</v>
      </c>
      <c r="Z34" s="13">
        <f t="shared" si="4"/>
        <v>625.4</v>
      </c>
      <c r="AA34" s="13">
        <f t="shared" si="5"/>
        <v>551.11111111111109</v>
      </c>
      <c r="AB34" s="13">
        <f t="shared" si="6"/>
        <v>12</v>
      </c>
      <c r="AC34" s="13">
        <f t="shared" si="1"/>
        <v>161.77777777777777</v>
      </c>
      <c r="AD34" s="13">
        <f t="shared" si="7"/>
        <v>0</v>
      </c>
      <c r="AE34" s="28">
        <f t="shared" si="8"/>
        <v>1350.2888888888888</v>
      </c>
      <c r="AF34" s="79">
        <f>INDEX(宠物缘分!$G$30:$G$34,MATCH(M34,宠物缘分!$B$30:$B$34,0),1)*IF(W34=2,1/4,IF(W34=3,1/2,IF(W34=4,3/4,IF(W34&gt;4,1,0))))/5</f>
        <v>1.6999999999999998E-2</v>
      </c>
      <c r="AG34" s="79">
        <f t="shared" si="2"/>
        <v>0</v>
      </c>
      <c r="AH34" s="6">
        <f t="shared" si="9"/>
        <v>22.954911111111105</v>
      </c>
      <c r="AI34" s="6">
        <f t="shared" si="10"/>
        <v>0</v>
      </c>
      <c r="AJ34" s="28">
        <f t="shared" si="11"/>
        <v>1373.2437999999997</v>
      </c>
      <c r="AK34" s="28">
        <f>$AJ34/5*[1]战斗预期!C$4</f>
        <v>27464.875999999993</v>
      </c>
      <c r="AL34" s="28">
        <f>$AJ34/5*[1]战斗预期!D$4</f>
        <v>2746.4875999999995</v>
      </c>
      <c r="AM34" s="28">
        <f>$AJ34/5*[1]战斗预期!E$4</f>
        <v>1373.2437999999997</v>
      </c>
      <c r="AN34" s="28">
        <f>$AJ34/5*[1]战斗预期!F$4</f>
        <v>1098.5950399999997</v>
      </c>
      <c r="AO34" s="28">
        <f>$AJ34/5*[1]战斗预期!G$4</f>
        <v>1098.5950399999997</v>
      </c>
      <c r="AP34" s="9">
        <f t="shared" si="12"/>
        <v>1373.2437999999997</v>
      </c>
    </row>
    <row r="35" spans="1:42" x14ac:dyDescent="0.15">
      <c r="I35" s="27">
        <v>28</v>
      </c>
      <c r="J35" s="27">
        <f>[1]属性成长!$D35</f>
        <v>140</v>
      </c>
      <c r="K35" s="4">
        <v>28</v>
      </c>
      <c r="L35" s="4">
        <f t="shared" si="0"/>
        <v>25</v>
      </c>
      <c r="M35" s="4">
        <v>1</v>
      </c>
      <c r="N35" s="4">
        <v>28</v>
      </c>
      <c r="O35" s="4">
        <v>20</v>
      </c>
      <c r="P35" s="4">
        <v>1</v>
      </c>
      <c r="Q35" s="4">
        <v>1</v>
      </c>
      <c r="R35" s="4">
        <v>1</v>
      </c>
      <c r="S35" s="4">
        <v>0</v>
      </c>
      <c r="T35" s="4">
        <v>1</v>
      </c>
      <c r="U35" s="4">
        <v>14</v>
      </c>
      <c r="V35" s="4">
        <v>0</v>
      </c>
      <c r="W35" s="4">
        <v>2</v>
      </c>
      <c r="X35" s="5">
        <v>0</v>
      </c>
      <c r="Y35" s="5">
        <v>0</v>
      </c>
      <c r="Z35" s="13">
        <f t="shared" si="4"/>
        <v>629.9</v>
      </c>
      <c r="AA35" s="13">
        <f t="shared" si="5"/>
        <v>560</v>
      </c>
      <c r="AB35" s="13">
        <f t="shared" si="6"/>
        <v>12</v>
      </c>
      <c r="AC35" s="13">
        <f t="shared" si="1"/>
        <v>174.22222222222223</v>
      </c>
      <c r="AD35" s="13">
        <f t="shared" si="7"/>
        <v>0</v>
      </c>
      <c r="AE35" s="28">
        <f t="shared" si="8"/>
        <v>1376.1222222222223</v>
      </c>
      <c r="AF35" s="79">
        <f>INDEX(宠物缘分!$G$30:$G$34,MATCH(M35,宠物缘分!$B$30:$B$34,0),1)*IF(W35=2,1/4,IF(W35=3,1/2,IF(W35=4,3/4,IF(W35&gt;4,1,0))))/5</f>
        <v>1.6999999999999998E-2</v>
      </c>
      <c r="AG35" s="79">
        <f t="shared" si="2"/>
        <v>0</v>
      </c>
      <c r="AH35" s="6">
        <f t="shared" si="9"/>
        <v>23.394077777777774</v>
      </c>
      <c r="AI35" s="6">
        <f t="shared" si="10"/>
        <v>0</v>
      </c>
      <c r="AJ35" s="28">
        <f t="shared" si="11"/>
        <v>1399.5163</v>
      </c>
      <c r="AK35" s="28">
        <f>$AJ35/5*[1]战斗预期!C$4</f>
        <v>27990.325999999997</v>
      </c>
      <c r="AL35" s="28">
        <f>$AJ35/5*[1]战斗预期!D$4</f>
        <v>2799.0326</v>
      </c>
      <c r="AM35" s="28">
        <f>$AJ35/5*[1]战斗预期!E$4</f>
        <v>1399.5163</v>
      </c>
      <c r="AN35" s="28">
        <f>$AJ35/5*[1]战斗预期!F$4</f>
        <v>1119.61304</v>
      </c>
      <c r="AO35" s="28">
        <f>$AJ35/5*[1]战斗预期!G$4</f>
        <v>1119.61304</v>
      </c>
      <c r="AP35" s="9">
        <f t="shared" si="12"/>
        <v>1399.5163</v>
      </c>
    </row>
    <row r="36" spans="1:42" x14ac:dyDescent="0.15">
      <c r="A36" s="25" t="s">
        <v>90</v>
      </c>
      <c r="B36" s="25" t="s">
        <v>248</v>
      </c>
      <c r="C36" s="25" t="s">
        <v>91</v>
      </c>
      <c r="I36" s="27">
        <v>29</v>
      </c>
      <c r="J36" s="27">
        <f>[1]属性成长!$D36</f>
        <v>145</v>
      </c>
      <c r="K36" s="4">
        <v>29</v>
      </c>
      <c r="L36" s="4">
        <f t="shared" si="0"/>
        <v>25</v>
      </c>
      <c r="M36" s="4">
        <v>1</v>
      </c>
      <c r="N36" s="4">
        <v>29</v>
      </c>
      <c r="O36" s="4">
        <v>20</v>
      </c>
      <c r="P36" s="4">
        <v>1</v>
      </c>
      <c r="Q36" s="4">
        <v>1</v>
      </c>
      <c r="R36" s="4">
        <v>1</v>
      </c>
      <c r="S36" s="4">
        <v>0</v>
      </c>
      <c r="T36" s="4">
        <v>1</v>
      </c>
      <c r="U36" s="4">
        <v>15</v>
      </c>
      <c r="V36" s="4">
        <v>0</v>
      </c>
      <c r="W36" s="4">
        <v>2</v>
      </c>
      <c r="X36" s="5">
        <v>0</v>
      </c>
      <c r="Y36" s="5">
        <v>0</v>
      </c>
      <c r="Z36" s="13">
        <f t="shared" si="4"/>
        <v>634.4</v>
      </c>
      <c r="AA36" s="13">
        <f t="shared" si="5"/>
        <v>568.88888888888891</v>
      </c>
      <c r="AB36" s="13">
        <f t="shared" si="6"/>
        <v>12</v>
      </c>
      <c r="AC36" s="13">
        <f t="shared" si="1"/>
        <v>186.66666666666666</v>
      </c>
      <c r="AD36" s="13">
        <f t="shared" si="7"/>
        <v>0</v>
      </c>
      <c r="AE36" s="28">
        <f t="shared" si="8"/>
        <v>1401.9555555555555</v>
      </c>
      <c r="AF36" s="79">
        <f>INDEX(宠物缘分!$G$30:$G$34,MATCH(M36,宠物缘分!$B$30:$B$34,0),1)*IF(W36=2,1/4,IF(W36=3,1/2,IF(W36=4,3/4,IF(W36&gt;4,1,0))))/5</f>
        <v>1.6999999999999998E-2</v>
      </c>
      <c r="AG36" s="79">
        <f t="shared" si="2"/>
        <v>0</v>
      </c>
      <c r="AH36" s="6">
        <f t="shared" si="9"/>
        <v>23.833244444444439</v>
      </c>
      <c r="AI36" s="6">
        <f t="shared" si="10"/>
        <v>0</v>
      </c>
      <c r="AJ36" s="28">
        <f t="shared" si="11"/>
        <v>1425.7887999999998</v>
      </c>
      <c r="AK36" s="28">
        <f>$AJ36/5*[1]战斗预期!C$4</f>
        <v>28515.775999999994</v>
      </c>
      <c r="AL36" s="28">
        <f>$AJ36/5*[1]战斗预期!D$4</f>
        <v>2851.5775999999996</v>
      </c>
      <c r="AM36" s="28">
        <f>$AJ36/5*[1]战斗预期!E$4</f>
        <v>1425.7887999999998</v>
      </c>
      <c r="AN36" s="28">
        <f>$AJ36/5*[1]战斗预期!F$4</f>
        <v>1140.6310399999998</v>
      </c>
      <c r="AO36" s="28">
        <f>$AJ36/5*[1]战斗预期!G$4</f>
        <v>1140.6310399999998</v>
      </c>
      <c r="AP36" s="9">
        <f t="shared" si="12"/>
        <v>1425.7887999999998</v>
      </c>
    </row>
    <row r="37" spans="1:42" x14ac:dyDescent="0.15">
      <c r="A37" s="3">
        <v>1</v>
      </c>
      <c r="B37" s="3">
        <v>1</v>
      </c>
      <c r="C37" s="13">
        <v>12.444444444444445</v>
      </c>
      <c r="I37" s="27">
        <v>30</v>
      </c>
      <c r="J37" s="27">
        <f>[1]属性成长!$D37</f>
        <v>150</v>
      </c>
      <c r="K37" s="4">
        <v>30</v>
      </c>
      <c r="L37" s="4">
        <f t="shared" si="0"/>
        <v>30</v>
      </c>
      <c r="M37" s="4">
        <v>1</v>
      </c>
      <c r="N37" s="4">
        <v>30</v>
      </c>
      <c r="O37" s="4">
        <v>30</v>
      </c>
      <c r="P37" s="4">
        <v>1</v>
      </c>
      <c r="Q37" s="4">
        <v>1</v>
      </c>
      <c r="R37" s="4">
        <v>1</v>
      </c>
      <c r="S37" s="4">
        <v>0</v>
      </c>
      <c r="T37" s="4">
        <v>2</v>
      </c>
      <c r="U37" s="4">
        <v>16</v>
      </c>
      <c r="V37" s="4">
        <v>0</v>
      </c>
      <c r="W37" s="4">
        <v>3</v>
      </c>
      <c r="X37" s="5">
        <v>0</v>
      </c>
      <c r="Y37" s="5">
        <v>0</v>
      </c>
      <c r="Z37" s="13">
        <f t="shared" si="4"/>
        <v>858</v>
      </c>
      <c r="AA37" s="13">
        <f t="shared" si="5"/>
        <v>834.22222222222217</v>
      </c>
      <c r="AB37" s="13">
        <f t="shared" si="6"/>
        <v>12</v>
      </c>
      <c r="AC37" s="13">
        <f t="shared" si="1"/>
        <v>358.40000000000003</v>
      </c>
      <c r="AD37" s="13">
        <f t="shared" si="7"/>
        <v>0</v>
      </c>
      <c r="AE37" s="28">
        <f t="shared" si="8"/>
        <v>2062.6222222222223</v>
      </c>
      <c r="AF37" s="79">
        <f>INDEX(宠物缘分!$G$30:$G$34,MATCH(M37,宠物缘分!$B$30:$B$34,0),1)*IF(W37=2,1/4,IF(W37=3,1/2,IF(W37=4,3/4,IF(W37&gt;4,1,0))))/5</f>
        <v>3.3999999999999996E-2</v>
      </c>
      <c r="AG37" s="79">
        <f t="shared" si="2"/>
        <v>0</v>
      </c>
      <c r="AH37" s="6">
        <f t="shared" si="9"/>
        <v>70.129155555555542</v>
      </c>
      <c r="AI37" s="6">
        <f t="shared" si="10"/>
        <v>0</v>
      </c>
      <c r="AJ37" s="28">
        <f t="shared" si="11"/>
        <v>2132.7513777777781</v>
      </c>
      <c r="AK37" s="28">
        <f>$AJ37/5*[1]战斗预期!C$4</f>
        <v>42655.027555555564</v>
      </c>
      <c r="AL37" s="28">
        <f>$AJ37/5*[1]战斗预期!D$4</f>
        <v>4265.5027555555562</v>
      </c>
      <c r="AM37" s="28">
        <f>$AJ37/5*[1]战斗预期!E$4</f>
        <v>2132.7513777777781</v>
      </c>
      <c r="AN37" s="28">
        <f>$AJ37/5*[1]战斗预期!F$4</f>
        <v>1706.2011022222225</v>
      </c>
      <c r="AO37" s="28">
        <f>$AJ37/5*[1]战斗预期!G$4</f>
        <v>1706.2011022222225</v>
      </c>
      <c r="AP37" s="9">
        <f t="shared" si="12"/>
        <v>2132.7513777777781</v>
      </c>
    </row>
    <row r="38" spans="1:42" x14ac:dyDescent="0.15">
      <c r="A38" s="3">
        <v>2</v>
      </c>
      <c r="B38" s="3">
        <v>1.8</v>
      </c>
      <c r="C38" s="13">
        <v>22.400000000000002</v>
      </c>
      <c r="I38" s="27">
        <v>31</v>
      </c>
      <c r="J38" s="27">
        <f>[1]属性成长!$D38</f>
        <v>155</v>
      </c>
      <c r="K38" s="4">
        <v>31</v>
      </c>
      <c r="L38" s="4">
        <f t="shared" si="0"/>
        <v>30</v>
      </c>
      <c r="M38" s="4">
        <v>1</v>
      </c>
      <c r="N38" s="4">
        <v>31</v>
      </c>
      <c r="O38" s="4">
        <v>30</v>
      </c>
      <c r="P38" s="4">
        <v>1</v>
      </c>
      <c r="Q38" s="4">
        <v>1</v>
      </c>
      <c r="R38" s="4">
        <v>1</v>
      </c>
      <c r="S38" s="4">
        <v>0</v>
      </c>
      <c r="T38" s="4">
        <v>2</v>
      </c>
      <c r="U38" s="4">
        <v>17</v>
      </c>
      <c r="V38" s="4">
        <v>0</v>
      </c>
      <c r="W38" s="4">
        <v>3</v>
      </c>
      <c r="X38" s="5">
        <v>0</v>
      </c>
      <c r="Y38" s="5">
        <v>0</v>
      </c>
      <c r="Z38" s="13">
        <f t="shared" si="4"/>
        <v>863</v>
      </c>
      <c r="AA38" s="13">
        <f t="shared" si="5"/>
        <v>845.33333333333337</v>
      </c>
      <c r="AB38" s="13">
        <f t="shared" si="6"/>
        <v>12</v>
      </c>
      <c r="AC38" s="13">
        <f t="shared" si="1"/>
        <v>380.8</v>
      </c>
      <c r="AD38" s="13">
        <f t="shared" si="7"/>
        <v>0</v>
      </c>
      <c r="AE38" s="28">
        <f t="shared" si="8"/>
        <v>2101.1333333333337</v>
      </c>
      <c r="AF38" s="79">
        <f>INDEX(宠物缘分!$G$30:$G$34,MATCH(M38,宠物缘分!$B$30:$B$34,0),1)*IF(W38=2,1/4,IF(W38=3,1/2,IF(W38=4,3/4,IF(W38&gt;4,1,0))))/5</f>
        <v>3.3999999999999996E-2</v>
      </c>
      <c r="AG38" s="79">
        <f t="shared" si="2"/>
        <v>0</v>
      </c>
      <c r="AH38" s="6">
        <f t="shared" si="9"/>
        <v>71.438533333333339</v>
      </c>
      <c r="AI38" s="6">
        <f t="shared" si="10"/>
        <v>0</v>
      </c>
      <c r="AJ38" s="28">
        <f t="shared" si="11"/>
        <v>2172.5718666666671</v>
      </c>
      <c r="AK38" s="28">
        <f>$AJ38/5*[1]战斗预期!C$4</f>
        <v>43451.437333333342</v>
      </c>
      <c r="AL38" s="28">
        <f>$AJ38/5*[1]战斗预期!D$4</f>
        <v>4345.1437333333342</v>
      </c>
      <c r="AM38" s="28">
        <f>$AJ38/5*[1]战斗预期!E$4</f>
        <v>2172.5718666666671</v>
      </c>
      <c r="AN38" s="28">
        <f>$AJ38/5*[1]战斗预期!F$4</f>
        <v>1738.0574933333337</v>
      </c>
      <c r="AO38" s="28">
        <f>$AJ38/5*[1]战斗预期!G$4</f>
        <v>1738.0574933333337</v>
      </c>
      <c r="AP38" s="9">
        <f t="shared" si="12"/>
        <v>2172.5718666666671</v>
      </c>
    </row>
    <row r="39" spans="1:42" x14ac:dyDescent="0.15">
      <c r="A39" s="3">
        <v>3</v>
      </c>
      <c r="B39" s="3">
        <v>3.4</v>
      </c>
      <c r="C39" s="13">
        <v>42.31111111111111</v>
      </c>
      <c r="I39" s="27">
        <v>32</v>
      </c>
      <c r="J39" s="27">
        <f>[1]属性成长!$D39</f>
        <v>160</v>
      </c>
      <c r="K39" s="4">
        <v>32</v>
      </c>
      <c r="L39" s="4">
        <f t="shared" si="0"/>
        <v>30</v>
      </c>
      <c r="M39" s="4">
        <v>1</v>
      </c>
      <c r="N39" s="4">
        <v>32</v>
      </c>
      <c r="O39" s="4">
        <v>30</v>
      </c>
      <c r="P39" s="4">
        <v>1</v>
      </c>
      <c r="Q39" s="4">
        <v>1</v>
      </c>
      <c r="R39" s="4">
        <v>1</v>
      </c>
      <c r="S39" s="4">
        <v>0</v>
      </c>
      <c r="T39" s="4">
        <v>2</v>
      </c>
      <c r="U39" s="4">
        <v>18</v>
      </c>
      <c r="V39" s="4">
        <v>0</v>
      </c>
      <c r="W39" s="4">
        <v>3</v>
      </c>
      <c r="X39" s="5">
        <v>0</v>
      </c>
      <c r="Y39" s="5">
        <v>0</v>
      </c>
      <c r="Z39" s="13">
        <f t="shared" si="4"/>
        <v>868</v>
      </c>
      <c r="AA39" s="13">
        <f t="shared" si="5"/>
        <v>856.44444444444457</v>
      </c>
      <c r="AB39" s="13">
        <f t="shared" si="6"/>
        <v>12</v>
      </c>
      <c r="AC39" s="13">
        <f t="shared" si="1"/>
        <v>403.20000000000005</v>
      </c>
      <c r="AD39" s="13">
        <f t="shared" si="7"/>
        <v>0</v>
      </c>
      <c r="AE39" s="28">
        <f t="shared" si="8"/>
        <v>2139.6444444444446</v>
      </c>
      <c r="AF39" s="79">
        <f>INDEX(宠物缘分!$G$30:$G$34,MATCH(M39,宠物缘分!$B$30:$B$34,0),1)*IF(W39=2,1/4,IF(W39=3,1/2,IF(W39=4,3/4,IF(W39&gt;4,1,0))))/5</f>
        <v>3.3999999999999996E-2</v>
      </c>
      <c r="AG39" s="79">
        <f t="shared" si="2"/>
        <v>0</v>
      </c>
      <c r="AH39" s="6">
        <f t="shared" si="9"/>
        <v>72.747911111111108</v>
      </c>
      <c r="AI39" s="6">
        <f t="shared" si="10"/>
        <v>0</v>
      </c>
      <c r="AJ39" s="28">
        <f t="shared" si="11"/>
        <v>2212.3923555555557</v>
      </c>
      <c r="AK39" s="28">
        <f>$AJ39/5*[1]战斗预期!C$4</f>
        <v>44247.847111111114</v>
      </c>
      <c r="AL39" s="28">
        <f>$AJ39/5*[1]战斗预期!D$4</f>
        <v>4424.7847111111114</v>
      </c>
      <c r="AM39" s="28">
        <f>$AJ39/5*[1]战斗预期!E$4</f>
        <v>2212.3923555555557</v>
      </c>
      <c r="AN39" s="28">
        <f>$AJ39/5*[1]战斗预期!F$4</f>
        <v>1769.9138844444446</v>
      </c>
      <c r="AO39" s="28">
        <f>$AJ39/5*[1]战斗预期!G$4</f>
        <v>1769.9138844444446</v>
      </c>
      <c r="AP39" s="9">
        <f t="shared" si="12"/>
        <v>2212.3923555555557</v>
      </c>
    </row>
    <row r="40" spans="1:42" x14ac:dyDescent="0.15">
      <c r="A40" s="3">
        <v>4</v>
      </c>
      <c r="B40" s="3">
        <v>5.5</v>
      </c>
      <c r="C40" s="13">
        <v>68.444444444444443</v>
      </c>
      <c r="I40" s="27">
        <v>33</v>
      </c>
      <c r="J40" s="27">
        <f>[1]属性成长!$D40</f>
        <v>165</v>
      </c>
      <c r="K40" s="4">
        <v>33</v>
      </c>
      <c r="L40" s="4">
        <f t="shared" ref="L40:L71" si="16">INDEX($A$49:$A$69,MATCH(K40,$A$49:$A$69,1),1)</f>
        <v>30</v>
      </c>
      <c r="M40" s="4">
        <v>1</v>
      </c>
      <c r="N40" s="4">
        <v>33</v>
      </c>
      <c r="O40" s="4">
        <v>30</v>
      </c>
      <c r="P40" s="4">
        <v>1</v>
      </c>
      <c r="Q40" s="4">
        <v>1</v>
      </c>
      <c r="R40" s="4">
        <v>1</v>
      </c>
      <c r="S40" s="4">
        <v>0</v>
      </c>
      <c r="T40" s="4">
        <v>2</v>
      </c>
      <c r="U40" s="4">
        <v>19</v>
      </c>
      <c r="V40" s="4">
        <v>0</v>
      </c>
      <c r="W40" s="4">
        <v>3</v>
      </c>
      <c r="X40" s="5">
        <v>0</v>
      </c>
      <c r="Y40" s="5">
        <v>0</v>
      </c>
      <c r="Z40" s="13">
        <f t="shared" si="4"/>
        <v>873</v>
      </c>
      <c r="AA40" s="13">
        <f t="shared" si="5"/>
        <v>867.55555555555554</v>
      </c>
      <c r="AB40" s="13">
        <f t="shared" si="6"/>
        <v>12</v>
      </c>
      <c r="AC40" s="13">
        <f t="shared" ref="AC40:AC71" si="17">VLOOKUP(T40,$A$37:$C$46,3,FALSE)*U40</f>
        <v>425.6</v>
      </c>
      <c r="AD40" s="13">
        <f t="shared" si="7"/>
        <v>0</v>
      </c>
      <c r="AE40" s="28">
        <f t="shared" si="8"/>
        <v>2178.1555555555556</v>
      </c>
      <c r="AF40" s="79">
        <f>INDEX(宠物缘分!$G$30:$G$34,MATCH(M40,宠物缘分!$B$30:$B$34,0),1)*IF(W40=2,1/4,IF(W40=3,1/2,IF(W40=4,3/4,IF(W40&gt;4,1,0))))/5</f>
        <v>3.3999999999999996E-2</v>
      </c>
      <c r="AG40" s="79">
        <f t="shared" ref="AG40:AG71" si="18">SUM(X40:Y40)</f>
        <v>0</v>
      </c>
      <c r="AH40" s="6">
        <f t="shared" si="9"/>
        <v>74.057288888888877</v>
      </c>
      <c r="AI40" s="6">
        <f t="shared" si="10"/>
        <v>0</v>
      </c>
      <c r="AJ40" s="28">
        <f t="shared" si="11"/>
        <v>2252.2128444444447</v>
      </c>
      <c r="AK40" s="28">
        <f>$AJ40/5*[1]战斗预期!C$4</f>
        <v>45044.256888888893</v>
      </c>
      <c r="AL40" s="28">
        <f>$AJ40/5*[1]战斗预期!D$4</f>
        <v>4504.4256888888895</v>
      </c>
      <c r="AM40" s="28">
        <f>$AJ40/5*[1]战斗预期!E$4</f>
        <v>2252.2128444444447</v>
      </c>
      <c r="AN40" s="28">
        <f>$AJ40/5*[1]战斗预期!F$4</f>
        <v>1801.7702755555558</v>
      </c>
      <c r="AO40" s="28">
        <f>$AJ40/5*[1]战斗预期!G$4</f>
        <v>1801.7702755555558</v>
      </c>
      <c r="AP40" s="9">
        <f t="shared" si="12"/>
        <v>2252.2128444444447</v>
      </c>
    </row>
    <row r="41" spans="1:42" x14ac:dyDescent="0.15">
      <c r="A41" s="3">
        <v>5</v>
      </c>
      <c r="B41" s="3">
        <v>8.3000000000000007</v>
      </c>
      <c r="C41" s="13">
        <v>103.28888888888891</v>
      </c>
      <c r="I41" s="27">
        <v>34</v>
      </c>
      <c r="J41" s="27">
        <f>[1]属性成长!$D41</f>
        <v>170</v>
      </c>
      <c r="K41" s="4">
        <v>34</v>
      </c>
      <c r="L41" s="4">
        <f t="shared" si="16"/>
        <v>30</v>
      </c>
      <c r="M41" s="4">
        <v>1</v>
      </c>
      <c r="N41" s="4">
        <v>34</v>
      </c>
      <c r="O41" s="4">
        <v>30</v>
      </c>
      <c r="P41" s="4">
        <v>1</v>
      </c>
      <c r="Q41" s="4">
        <v>1</v>
      </c>
      <c r="R41" s="4">
        <v>1</v>
      </c>
      <c r="S41" s="4">
        <v>0</v>
      </c>
      <c r="T41" s="4">
        <v>2</v>
      </c>
      <c r="U41" s="4">
        <v>20</v>
      </c>
      <c r="V41" s="4">
        <v>0</v>
      </c>
      <c r="W41" s="4">
        <v>3</v>
      </c>
      <c r="X41" s="5">
        <v>0</v>
      </c>
      <c r="Y41" s="5">
        <v>0</v>
      </c>
      <c r="Z41" s="13">
        <f t="shared" si="4"/>
        <v>878</v>
      </c>
      <c r="AA41" s="13">
        <f t="shared" si="5"/>
        <v>878.66666666666674</v>
      </c>
      <c r="AB41" s="13">
        <f t="shared" si="6"/>
        <v>12</v>
      </c>
      <c r="AC41" s="13">
        <f t="shared" si="17"/>
        <v>448.00000000000006</v>
      </c>
      <c r="AD41" s="13">
        <f t="shared" si="7"/>
        <v>0</v>
      </c>
      <c r="AE41" s="28">
        <f t="shared" si="8"/>
        <v>2216.666666666667</v>
      </c>
      <c r="AF41" s="79">
        <f>INDEX(宠物缘分!$G$30:$G$34,MATCH(M41,宠物缘分!$B$30:$B$34,0),1)*IF(W41=2,1/4,IF(W41=3,1/2,IF(W41=4,3/4,IF(W41&gt;4,1,0))))/5</f>
        <v>3.3999999999999996E-2</v>
      </c>
      <c r="AG41" s="79">
        <f t="shared" si="18"/>
        <v>0</v>
      </c>
      <c r="AH41" s="6">
        <f t="shared" si="9"/>
        <v>75.36666666666666</v>
      </c>
      <c r="AI41" s="6">
        <f t="shared" si="10"/>
        <v>0</v>
      </c>
      <c r="AJ41" s="28">
        <f t="shared" si="11"/>
        <v>2292.0333333333338</v>
      </c>
      <c r="AK41" s="28">
        <f>$AJ41/5*[1]战斗预期!C$4</f>
        <v>45840.666666666672</v>
      </c>
      <c r="AL41" s="28">
        <f>$AJ41/5*[1]战斗预期!D$4</f>
        <v>4584.0666666666675</v>
      </c>
      <c r="AM41" s="28">
        <f>$AJ41/5*[1]战斗预期!E$4</f>
        <v>2292.0333333333338</v>
      </c>
      <c r="AN41" s="28">
        <f>$AJ41/5*[1]战斗预期!F$4</f>
        <v>1833.626666666667</v>
      </c>
      <c r="AO41" s="28">
        <f>$AJ41/5*[1]战斗预期!G$4</f>
        <v>1833.626666666667</v>
      </c>
      <c r="AP41" s="9">
        <f t="shared" si="12"/>
        <v>2292.0333333333338</v>
      </c>
    </row>
    <row r="42" spans="1:42" x14ac:dyDescent="0.15">
      <c r="A42" s="3">
        <v>6</v>
      </c>
      <c r="B42" s="3">
        <v>12.5</v>
      </c>
      <c r="C42" s="13">
        <v>155.55555555555557</v>
      </c>
      <c r="I42" s="27">
        <v>35</v>
      </c>
      <c r="J42" s="27">
        <f>[1]属性成长!$D42</f>
        <v>175</v>
      </c>
      <c r="K42" s="4">
        <v>35</v>
      </c>
      <c r="L42" s="4">
        <f t="shared" si="16"/>
        <v>35</v>
      </c>
      <c r="M42" s="4">
        <v>2</v>
      </c>
      <c r="N42" s="4">
        <v>35</v>
      </c>
      <c r="O42" s="4">
        <v>35</v>
      </c>
      <c r="P42" s="4">
        <v>2</v>
      </c>
      <c r="Q42" s="4">
        <v>1</v>
      </c>
      <c r="R42" s="4">
        <v>1</v>
      </c>
      <c r="S42" s="4">
        <v>0</v>
      </c>
      <c r="T42" s="4">
        <v>2</v>
      </c>
      <c r="U42" s="4">
        <v>21</v>
      </c>
      <c r="V42" s="4">
        <v>0</v>
      </c>
      <c r="W42" s="4">
        <v>4</v>
      </c>
      <c r="X42" s="5">
        <f t="shared" ref="X42:X72" si="19">$H$2</f>
        <v>0.25</v>
      </c>
      <c r="Y42" s="5">
        <v>0</v>
      </c>
      <c r="Z42" s="13">
        <f t="shared" si="4"/>
        <v>1473.6296296296296</v>
      </c>
      <c r="AA42" s="13">
        <f t="shared" si="5"/>
        <v>1313.4543063773833</v>
      </c>
      <c r="AB42" s="13">
        <f t="shared" si="6"/>
        <v>12</v>
      </c>
      <c r="AC42" s="13">
        <f t="shared" si="17"/>
        <v>470.40000000000003</v>
      </c>
      <c r="AD42" s="13">
        <f t="shared" si="7"/>
        <v>0</v>
      </c>
      <c r="AE42" s="28">
        <f t="shared" si="8"/>
        <v>3269.4839360070132</v>
      </c>
      <c r="AF42" s="79">
        <f>INDEX(宠物缘分!$G$30:$G$34,MATCH(M42,宠物缘分!$B$30:$B$34,0),1)*IF(W42=2,1/4,IF(W42=3,1/2,IF(W42=4,3/4,IF(W42&gt;4,1,0))))/5</f>
        <v>7.1999999999999995E-2</v>
      </c>
      <c r="AG42" s="79">
        <f t="shared" si="18"/>
        <v>0.25</v>
      </c>
      <c r="AH42" s="6">
        <f t="shared" si="9"/>
        <v>235.40284339250493</v>
      </c>
      <c r="AI42" s="6">
        <f t="shared" si="10"/>
        <v>817.3709840017533</v>
      </c>
      <c r="AJ42" s="28">
        <f t="shared" si="11"/>
        <v>4381.1084742493977</v>
      </c>
      <c r="AK42" s="28">
        <f>$AJ42/5*[1]战斗预期!C$4</f>
        <v>87622.169484987957</v>
      </c>
      <c r="AL42" s="28">
        <f>$AJ42/5*[1]战斗预期!D$4</f>
        <v>8762.2169484987953</v>
      </c>
      <c r="AM42" s="28">
        <f>$AJ42/5*[1]战斗预期!E$4</f>
        <v>4381.1084742493977</v>
      </c>
      <c r="AN42" s="28">
        <f>$AJ42/5*[1]战斗预期!F$4</f>
        <v>3504.8867793995182</v>
      </c>
      <c r="AO42" s="28">
        <f>$AJ42/5*[1]战斗预期!G$4</f>
        <v>3504.8867793995182</v>
      </c>
      <c r="AP42" s="9">
        <f t="shared" si="12"/>
        <v>4381.1084742493977</v>
      </c>
    </row>
    <row r="43" spans="1:42" x14ac:dyDescent="0.15">
      <c r="A43" s="3">
        <v>7</v>
      </c>
      <c r="B43" s="3">
        <v>18</v>
      </c>
      <c r="C43" s="13">
        <v>224</v>
      </c>
      <c r="I43" s="27">
        <v>36</v>
      </c>
      <c r="J43" s="27">
        <f>[1]属性成长!$D43</f>
        <v>180</v>
      </c>
      <c r="K43" s="4">
        <v>36</v>
      </c>
      <c r="L43" s="4">
        <f t="shared" si="16"/>
        <v>35</v>
      </c>
      <c r="M43" s="4">
        <v>2</v>
      </c>
      <c r="N43" s="4">
        <v>36</v>
      </c>
      <c r="O43" s="4">
        <v>35</v>
      </c>
      <c r="P43" s="4">
        <v>2</v>
      </c>
      <c r="Q43" s="4">
        <v>1</v>
      </c>
      <c r="R43" s="4">
        <v>1</v>
      </c>
      <c r="S43" s="4">
        <v>0</v>
      </c>
      <c r="T43" s="4">
        <v>2</v>
      </c>
      <c r="U43" s="4">
        <v>22</v>
      </c>
      <c r="V43" s="4">
        <v>0</v>
      </c>
      <c r="W43" s="4">
        <v>4</v>
      </c>
      <c r="X43" s="5">
        <f t="shared" si="19"/>
        <v>0.25</v>
      </c>
      <c r="Y43" s="5">
        <v>0</v>
      </c>
      <c r="Z43" s="13">
        <f t="shared" si="4"/>
        <v>1480.1296296296296</v>
      </c>
      <c r="AA43" s="13">
        <f t="shared" si="5"/>
        <v>1327.8987508218279</v>
      </c>
      <c r="AB43" s="13">
        <f t="shared" si="6"/>
        <v>12</v>
      </c>
      <c r="AC43" s="13">
        <f t="shared" si="17"/>
        <v>492.80000000000007</v>
      </c>
      <c r="AD43" s="13">
        <f t="shared" si="7"/>
        <v>0</v>
      </c>
      <c r="AE43" s="28">
        <f t="shared" si="8"/>
        <v>3312.8283804514576</v>
      </c>
      <c r="AF43" s="79">
        <f>INDEX(宠物缘分!$G$30:$G$34,MATCH(M43,宠物缘分!$B$30:$B$34,0),1)*IF(W43=2,1/4,IF(W43=3,1/2,IF(W43=4,3/4,IF(W43&gt;4,1,0))))/5</f>
        <v>7.1999999999999995E-2</v>
      </c>
      <c r="AG43" s="79">
        <f t="shared" si="18"/>
        <v>0.25</v>
      </c>
      <c r="AH43" s="6">
        <f t="shared" si="9"/>
        <v>238.52364339250494</v>
      </c>
      <c r="AI43" s="6">
        <f t="shared" si="10"/>
        <v>828.20709511286441</v>
      </c>
      <c r="AJ43" s="28">
        <f t="shared" si="11"/>
        <v>4439.1900298049532</v>
      </c>
      <c r="AK43" s="28">
        <f>$AJ43/5*[1]战斗预期!C$4</f>
        <v>88783.800596099056</v>
      </c>
      <c r="AL43" s="28">
        <f>$AJ43/5*[1]战斗预期!D$4</f>
        <v>8878.3800596099063</v>
      </c>
      <c r="AM43" s="28">
        <f>$AJ43/5*[1]战斗预期!E$4</f>
        <v>4439.1900298049532</v>
      </c>
      <c r="AN43" s="28">
        <f>$AJ43/5*[1]战斗预期!F$4</f>
        <v>3551.3520238439623</v>
      </c>
      <c r="AO43" s="28">
        <f>$AJ43/5*[1]战斗预期!G$4</f>
        <v>3551.3520238439623</v>
      </c>
      <c r="AP43" s="9">
        <f t="shared" si="12"/>
        <v>4439.1900298049532</v>
      </c>
    </row>
    <row r="44" spans="1:42" x14ac:dyDescent="0.15">
      <c r="A44" s="3">
        <v>8</v>
      </c>
      <c r="B44" s="3">
        <v>25</v>
      </c>
      <c r="C44" s="13">
        <v>311.11111111111114</v>
      </c>
      <c r="I44" s="27">
        <v>37</v>
      </c>
      <c r="J44" s="27">
        <f>[1]属性成长!$D44</f>
        <v>185</v>
      </c>
      <c r="K44" s="4">
        <v>37</v>
      </c>
      <c r="L44" s="4">
        <f t="shared" si="16"/>
        <v>35</v>
      </c>
      <c r="M44" s="4">
        <v>2</v>
      </c>
      <c r="N44" s="4">
        <v>37</v>
      </c>
      <c r="O44" s="4">
        <v>35</v>
      </c>
      <c r="P44" s="4">
        <v>2</v>
      </c>
      <c r="Q44" s="4">
        <v>1</v>
      </c>
      <c r="R44" s="4">
        <v>1</v>
      </c>
      <c r="S44" s="4">
        <v>0</v>
      </c>
      <c r="T44" s="4">
        <v>2</v>
      </c>
      <c r="U44" s="4">
        <v>23</v>
      </c>
      <c r="V44" s="4">
        <v>0</v>
      </c>
      <c r="W44" s="4">
        <v>4</v>
      </c>
      <c r="X44" s="5">
        <f t="shared" si="19"/>
        <v>0.25</v>
      </c>
      <c r="Y44" s="5">
        <v>0</v>
      </c>
      <c r="Z44" s="13">
        <f t="shared" si="4"/>
        <v>1486.6296296296296</v>
      </c>
      <c r="AA44" s="13">
        <f t="shared" si="5"/>
        <v>1342.3431952662722</v>
      </c>
      <c r="AB44" s="13">
        <f t="shared" si="6"/>
        <v>12</v>
      </c>
      <c r="AC44" s="13">
        <f t="shared" si="17"/>
        <v>515.20000000000005</v>
      </c>
      <c r="AD44" s="13">
        <f t="shared" si="7"/>
        <v>0</v>
      </c>
      <c r="AE44" s="28">
        <f t="shared" si="8"/>
        <v>3356.1728248959016</v>
      </c>
      <c r="AF44" s="79">
        <f>INDEX(宠物缘分!$G$30:$G$34,MATCH(M44,宠物缘分!$B$30:$B$34,0),1)*IF(W44=2,1/4,IF(W44=3,1/2,IF(W44=4,3/4,IF(W44&gt;4,1,0))))/5</f>
        <v>7.1999999999999995E-2</v>
      </c>
      <c r="AG44" s="79">
        <f t="shared" si="18"/>
        <v>0.25</v>
      </c>
      <c r="AH44" s="6">
        <f t="shared" si="9"/>
        <v>241.64444339250491</v>
      </c>
      <c r="AI44" s="6">
        <f t="shared" si="10"/>
        <v>839.0432062239754</v>
      </c>
      <c r="AJ44" s="28">
        <f t="shared" si="11"/>
        <v>4497.2715853605087</v>
      </c>
      <c r="AK44" s="28">
        <f>$AJ44/5*[1]战斗预期!C$4</f>
        <v>89945.431707210169</v>
      </c>
      <c r="AL44" s="28">
        <f>$AJ44/5*[1]战斗预期!D$4</f>
        <v>8994.5431707210173</v>
      </c>
      <c r="AM44" s="28">
        <f>$AJ44/5*[1]战斗预期!E$4</f>
        <v>4497.2715853605087</v>
      </c>
      <c r="AN44" s="28">
        <f>$AJ44/5*[1]战斗预期!F$4</f>
        <v>3597.8172682884069</v>
      </c>
      <c r="AO44" s="28">
        <f>$AJ44/5*[1]战斗预期!G$4</f>
        <v>3597.8172682884069</v>
      </c>
      <c r="AP44" s="9">
        <f t="shared" si="12"/>
        <v>4497.2715853605087</v>
      </c>
    </row>
    <row r="45" spans="1:42" x14ac:dyDescent="0.15">
      <c r="A45" s="3">
        <v>9</v>
      </c>
      <c r="B45" s="3">
        <v>34</v>
      </c>
      <c r="C45" s="13">
        <v>423.11111111111114</v>
      </c>
      <c r="I45" s="27">
        <v>38</v>
      </c>
      <c r="J45" s="27">
        <f>[1]属性成长!$D45</f>
        <v>190</v>
      </c>
      <c r="K45" s="4">
        <v>38</v>
      </c>
      <c r="L45" s="4">
        <f t="shared" si="16"/>
        <v>35</v>
      </c>
      <c r="M45" s="4">
        <v>2</v>
      </c>
      <c r="N45" s="4">
        <v>38</v>
      </c>
      <c r="O45" s="4">
        <v>35</v>
      </c>
      <c r="P45" s="4">
        <v>2</v>
      </c>
      <c r="Q45" s="4">
        <v>1</v>
      </c>
      <c r="R45" s="4">
        <v>1</v>
      </c>
      <c r="S45" s="4">
        <v>0</v>
      </c>
      <c r="T45" s="4">
        <v>2</v>
      </c>
      <c r="U45" s="4">
        <v>24</v>
      </c>
      <c r="V45" s="4">
        <v>0</v>
      </c>
      <c r="W45" s="4">
        <v>4</v>
      </c>
      <c r="X45" s="5">
        <f t="shared" si="19"/>
        <v>0.25</v>
      </c>
      <c r="Y45" s="5">
        <v>0</v>
      </c>
      <c r="Z45" s="13">
        <f t="shared" si="4"/>
        <v>1493.1296296296296</v>
      </c>
      <c r="AA45" s="13">
        <f t="shared" si="5"/>
        <v>1356.7876397107166</v>
      </c>
      <c r="AB45" s="13">
        <f t="shared" si="6"/>
        <v>12</v>
      </c>
      <c r="AC45" s="13">
        <f t="shared" si="17"/>
        <v>537.6</v>
      </c>
      <c r="AD45" s="13">
        <f t="shared" si="7"/>
        <v>0</v>
      </c>
      <c r="AE45" s="28">
        <f t="shared" si="8"/>
        <v>3399.517269340346</v>
      </c>
      <c r="AF45" s="79">
        <f>INDEX(宠物缘分!$G$30:$G$34,MATCH(M45,宠物缘分!$B$30:$B$34,0),1)*IF(W45=2,1/4,IF(W45=3,1/2,IF(W45=4,3/4,IF(W45&gt;4,1,0))))/5</f>
        <v>7.1999999999999995E-2</v>
      </c>
      <c r="AG45" s="79">
        <f t="shared" si="18"/>
        <v>0.25</v>
      </c>
      <c r="AH45" s="6">
        <f t="shared" si="9"/>
        <v>244.76524339250489</v>
      </c>
      <c r="AI45" s="6">
        <f t="shared" si="10"/>
        <v>849.87931733508651</v>
      </c>
      <c r="AJ45" s="28">
        <f t="shared" si="11"/>
        <v>4555.3531409160641</v>
      </c>
      <c r="AK45" s="28">
        <f>$AJ45/5*[1]战斗预期!C$4</f>
        <v>91107.062818321283</v>
      </c>
      <c r="AL45" s="28">
        <f>$AJ45/5*[1]战斗预期!D$4</f>
        <v>9110.7062818321283</v>
      </c>
      <c r="AM45" s="28">
        <f>$AJ45/5*[1]战斗预期!E$4</f>
        <v>4555.3531409160641</v>
      </c>
      <c r="AN45" s="28">
        <f>$AJ45/5*[1]战斗预期!F$4</f>
        <v>3644.2825127328515</v>
      </c>
      <c r="AO45" s="28">
        <f>$AJ45/5*[1]战斗预期!G$4</f>
        <v>3644.2825127328515</v>
      </c>
      <c r="AP45" s="9">
        <f t="shared" si="12"/>
        <v>4555.3531409160641</v>
      </c>
    </row>
    <row r="46" spans="1:42" x14ac:dyDescent="0.15">
      <c r="A46" s="3">
        <v>10</v>
      </c>
      <c r="B46" s="3">
        <v>45</v>
      </c>
      <c r="C46" s="13">
        <v>560</v>
      </c>
      <c r="I46" s="27">
        <v>39</v>
      </c>
      <c r="J46" s="27">
        <f>[1]属性成长!$D46</f>
        <v>195</v>
      </c>
      <c r="K46" s="4">
        <v>39</v>
      </c>
      <c r="L46" s="4">
        <f t="shared" si="16"/>
        <v>35</v>
      </c>
      <c r="M46" s="4">
        <v>2</v>
      </c>
      <c r="N46" s="4">
        <v>39</v>
      </c>
      <c r="O46" s="4">
        <v>35</v>
      </c>
      <c r="P46" s="4">
        <v>2</v>
      </c>
      <c r="Q46" s="4">
        <v>1</v>
      </c>
      <c r="R46" s="4">
        <v>1</v>
      </c>
      <c r="S46" s="4">
        <v>0</v>
      </c>
      <c r="T46" s="4">
        <v>2</v>
      </c>
      <c r="U46" s="4">
        <v>25</v>
      </c>
      <c r="V46" s="4">
        <v>0</v>
      </c>
      <c r="W46" s="4">
        <v>4</v>
      </c>
      <c r="X46" s="5">
        <f t="shared" si="19"/>
        <v>0.25</v>
      </c>
      <c r="Y46" s="5">
        <v>0</v>
      </c>
      <c r="Z46" s="13">
        <f t="shared" si="4"/>
        <v>1499.6296296296296</v>
      </c>
      <c r="AA46" s="13">
        <f t="shared" si="5"/>
        <v>1371.2320841551611</v>
      </c>
      <c r="AB46" s="13">
        <f t="shared" si="6"/>
        <v>12</v>
      </c>
      <c r="AC46" s="13">
        <f t="shared" si="17"/>
        <v>560</v>
      </c>
      <c r="AD46" s="13">
        <f t="shared" si="7"/>
        <v>0</v>
      </c>
      <c r="AE46" s="28">
        <f t="shared" si="8"/>
        <v>3442.8617137847905</v>
      </c>
      <c r="AF46" s="79">
        <f>INDEX(宠物缘分!$G$30:$G$34,MATCH(M46,宠物缘分!$B$30:$B$34,0),1)*IF(W46=2,1/4,IF(W46=3,1/2,IF(W46=4,3/4,IF(W46&gt;4,1,0))))/5</f>
        <v>7.1999999999999995E-2</v>
      </c>
      <c r="AG46" s="79">
        <f t="shared" si="18"/>
        <v>0.25</v>
      </c>
      <c r="AH46" s="6">
        <f t="shared" si="9"/>
        <v>247.88604339250489</v>
      </c>
      <c r="AI46" s="6">
        <f t="shared" si="10"/>
        <v>860.71542844619762</v>
      </c>
      <c r="AJ46" s="28">
        <f t="shared" si="11"/>
        <v>4613.4346964716196</v>
      </c>
      <c r="AK46" s="28">
        <f>$AJ46/5*[1]战斗预期!C$4</f>
        <v>92268.693929432397</v>
      </c>
      <c r="AL46" s="28">
        <f>$AJ46/5*[1]战斗预期!D$4</f>
        <v>9226.8693929432393</v>
      </c>
      <c r="AM46" s="28">
        <f>$AJ46/5*[1]战斗预期!E$4</f>
        <v>4613.4346964716196</v>
      </c>
      <c r="AN46" s="28">
        <f>$AJ46/5*[1]战斗预期!F$4</f>
        <v>3690.7477571772956</v>
      </c>
      <c r="AO46" s="28">
        <f>$AJ46/5*[1]战斗预期!G$4</f>
        <v>3690.7477571772956</v>
      </c>
      <c r="AP46" s="9">
        <f t="shared" si="12"/>
        <v>4613.4346964716196</v>
      </c>
    </row>
    <row r="47" spans="1:42" x14ac:dyDescent="0.15">
      <c r="I47" s="27">
        <v>40</v>
      </c>
      <c r="J47" s="27">
        <f>[1]属性成长!$D47</f>
        <v>200</v>
      </c>
      <c r="K47" s="4">
        <v>40</v>
      </c>
      <c r="L47" s="4">
        <f t="shared" si="16"/>
        <v>40</v>
      </c>
      <c r="M47" s="4">
        <v>2</v>
      </c>
      <c r="N47" s="4">
        <v>40</v>
      </c>
      <c r="O47" s="4">
        <v>40</v>
      </c>
      <c r="P47" s="4">
        <v>2</v>
      </c>
      <c r="Q47" s="4">
        <v>1</v>
      </c>
      <c r="R47" s="4">
        <v>1</v>
      </c>
      <c r="S47" s="4">
        <v>0</v>
      </c>
      <c r="T47" s="4">
        <v>2</v>
      </c>
      <c r="U47" s="4">
        <v>26</v>
      </c>
      <c r="V47" s="4">
        <v>0</v>
      </c>
      <c r="W47" s="4">
        <f>W42+1</f>
        <v>5</v>
      </c>
      <c r="X47" s="5">
        <f t="shared" si="19"/>
        <v>0.25</v>
      </c>
      <c r="Y47" s="5">
        <v>0</v>
      </c>
      <c r="Z47" s="13">
        <f t="shared" si="4"/>
        <v>1758.1296296296296</v>
      </c>
      <c r="AA47" s="13">
        <f t="shared" si="5"/>
        <v>1549.009861932939</v>
      </c>
      <c r="AB47" s="13">
        <f t="shared" si="6"/>
        <v>12</v>
      </c>
      <c r="AC47" s="13">
        <f t="shared" si="17"/>
        <v>582.40000000000009</v>
      </c>
      <c r="AD47" s="13">
        <f t="shared" si="7"/>
        <v>0</v>
      </c>
      <c r="AE47" s="28">
        <f t="shared" si="8"/>
        <v>3901.5394915625689</v>
      </c>
      <c r="AF47" s="79">
        <f>INDEX(宠物缘分!$G$30:$G$34,MATCH(M47,宠物缘分!$B$30:$B$34,0),1)*IF(W47=2,1/4,IF(W47=3,1/2,IF(W47=4,3/4,IF(W47&gt;4,1,0))))/5</f>
        <v>9.6000000000000002E-2</v>
      </c>
      <c r="AG47" s="79">
        <f t="shared" si="18"/>
        <v>0.25</v>
      </c>
      <c r="AH47" s="6">
        <f t="shared" si="9"/>
        <v>374.54779119000659</v>
      </c>
      <c r="AI47" s="6">
        <f t="shared" si="10"/>
        <v>975.38487289064221</v>
      </c>
      <c r="AJ47" s="28">
        <f t="shared" si="11"/>
        <v>5345.1091034407191</v>
      </c>
      <c r="AK47" s="28">
        <f>$AJ47/5*[1]战斗预期!C$4</f>
        <v>106902.18206881439</v>
      </c>
      <c r="AL47" s="28">
        <f>$AJ47/5*[1]战斗预期!D$4</f>
        <v>10690.218206881438</v>
      </c>
      <c r="AM47" s="28">
        <f>$AJ47/5*[1]战斗预期!E$4</f>
        <v>5345.1091034407191</v>
      </c>
      <c r="AN47" s="28">
        <f>$AJ47/5*[1]战斗预期!F$4</f>
        <v>4276.0872827525754</v>
      </c>
      <c r="AO47" s="28">
        <f>$AJ47/5*[1]战斗预期!G$4</f>
        <v>4276.0872827525754</v>
      </c>
      <c r="AP47" s="9">
        <f t="shared" si="12"/>
        <v>5345.1091034407191</v>
      </c>
    </row>
    <row r="48" spans="1:42" x14ac:dyDescent="0.15">
      <c r="A48" s="3" t="s">
        <v>136</v>
      </c>
      <c r="B48" s="3" t="s">
        <v>137</v>
      </c>
      <c r="C48" s="3" t="s">
        <v>249</v>
      </c>
      <c r="D48" s="3" t="s">
        <v>251</v>
      </c>
      <c r="E48" s="3" t="s">
        <v>253</v>
      </c>
      <c r="F48" s="3" t="s">
        <v>255</v>
      </c>
      <c r="I48" s="27">
        <v>41</v>
      </c>
      <c r="J48" s="27">
        <f>[1]属性成长!$D48</f>
        <v>205</v>
      </c>
      <c r="K48" s="4">
        <v>41</v>
      </c>
      <c r="L48" s="4">
        <f t="shared" si="16"/>
        <v>40</v>
      </c>
      <c r="M48" s="4">
        <v>2</v>
      </c>
      <c r="N48" s="4">
        <v>41</v>
      </c>
      <c r="O48" s="4">
        <v>40</v>
      </c>
      <c r="P48" s="4">
        <v>2</v>
      </c>
      <c r="Q48" s="4">
        <v>1</v>
      </c>
      <c r="R48" s="4">
        <v>1</v>
      </c>
      <c r="S48" s="4">
        <v>0</v>
      </c>
      <c r="T48" s="4">
        <v>2</v>
      </c>
      <c r="U48" s="4">
        <v>27</v>
      </c>
      <c r="V48" s="4">
        <v>0</v>
      </c>
      <c r="W48" s="4">
        <f t="shared" ref="W48:W56" si="20">W43+1</f>
        <v>5</v>
      </c>
      <c r="X48" s="5">
        <f t="shared" si="19"/>
        <v>0.25</v>
      </c>
      <c r="Y48" s="5">
        <v>0</v>
      </c>
      <c r="Z48" s="13">
        <f t="shared" si="4"/>
        <v>1765.1296296296296</v>
      </c>
      <c r="AA48" s="13">
        <f t="shared" si="5"/>
        <v>1564.5654174884944</v>
      </c>
      <c r="AB48" s="13">
        <f t="shared" si="6"/>
        <v>12</v>
      </c>
      <c r="AC48" s="13">
        <f t="shared" si="17"/>
        <v>604.80000000000007</v>
      </c>
      <c r="AD48" s="13">
        <f t="shared" si="7"/>
        <v>0</v>
      </c>
      <c r="AE48" s="28">
        <f t="shared" si="8"/>
        <v>3946.4950471181241</v>
      </c>
      <c r="AF48" s="79">
        <f>INDEX(宠物缘分!$G$30:$G$34,MATCH(M48,宠物缘分!$B$30:$B$34,0),1)*IF(W48=2,1/4,IF(W48=3,1/2,IF(W48=4,3/4,IF(W48&gt;4,1,0))))/5</f>
        <v>9.6000000000000002E-2</v>
      </c>
      <c r="AG48" s="79">
        <f t="shared" si="18"/>
        <v>0.25</v>
      </c>
      <c r="AH48" s="6">
        <f t="shared" si="9"/>
        <v>378.86352452333995</v>
      </c>
      <c r="AI48" s="6">
        <f t="shared" si="10"/>
        <v>986.62376177953104</v>
      </c>
      <c r="AJ48" s="28">
        <f t="shared" si="11"/>
        <v>5406.6982145518305</v>
      </c>
      <c r="AK48" s="28">
        <f>$AJ48/5*[1]战斗预期!C$4</f>
        <v>108133.96429103661</v>
      </c>
      <c r="AL48" s="28">
        <f>$AJ48/5*[1]战斗预期!D$4</f>
        <v>10813.396429103661</v>
      </c>
      <c r="AM48" s="28">
        <f>$AJ48/5*[1]战斗预期!E$4</f>
        <v>5406.6982145518305</v>
      </c>
      <c r="AN48" s="28">
        <f>$AJ48/5*[1]战斗预期!F$4</f>
        <v>4325.3585716414646</v>
      </c>
      <c r="AO48" s="28">
        <f>$AJ48/5*[1]战斗预期!G$4</f>
        <v>4325.3585716414646</v>
      </c>
      <c r="AP48" s="9">
        <f t="shared" si="12"/>
        <v>5406.6982145518305</v>
      </c>
    </row>
    <row r="49" spans="1:42" x14ac:dyDescent="0.15">
      <c r="A49" s="3">
        <v>1</v>
      </c>
      <c r="B49" s="8">
        <f>宠物成长!G5</f>
        <v>1.75</v>
      </c>
      <c r="C49" s="8">
        <f>宠物成长!H5</f>
        <v>0.75</v>
      </c>
      <c r="D49" s="8">
        <f>宠物成长!I5</f>
        <v>0</v>
      </c>
      <c r="E49" s="8">
        <f>宠物成长!J5</f>
        <v>1.5</v>
      </c>
      <c r="F49" s="8">
        <f>宠物成长!K5</f>
        <v>0</v>
      </c>
      <c r="I49" s="27">
        <v>42</v>
      </c>
      <c r="J49" s="27">
        <f>[1]属性成长!$D49</f>
        <v>210</v>
      </c>
      <c r="K49" s="4">
        <v>42</v>
      </c>
      <c r="L49" s="4">
        <f t="shared" si="16"/>
        <v>40</v>
      </c>
      <c r="M49" s="4">
        <v>2</v>
      </c>
      <c r="N49" s="4">
        <v>42</v>
      </c>
      <c r="O49" s="4">
        <v>40</v>
      </c>
      <c r="P49" s="4">
        <v>2</v>
      </c>
      <c r="Q49" s="4">
        <v>1</v>
      </c>
      <c r="R49" s="4">
        <v>1</v>
      </c>
      <c r="S49" s="4">
        <v>0</v>
      </c>
      <c r="T49" s="4">
        <v>2</v>
      </c>
      <c r="U49" s="4">
        <v>28</v>
      </c>
      <c r="V49" s="4">
        <v>0</v>
      </c>
      <c r="W49" s="4">
        <f t="shared" si="20"/>
        <v>5</v>
      </c>
      <c r="X49" s="5">
        <f t="shared" si="19"/>
        <v>0.25</v>
      </c>
      <c r="Y49" s="5">
        <v>0</v>
      </c>
      <c r="Z49" s="13">
        <f t="shared" si="4"/>
        <v>1772.1296296296296</v>
      </c>
      <c r="AA49" s="13">
        <f t="shared" si="5"/>
        <v>1580.1209730440501</v>
      </c>
      <c r="AB49" s="13">
        <f t="shared" si="6"/>
        <v>12</v>
      </c>
      <c r="AC49" s="13">
        <f t="shared" si="17"/>
        <v>627.20000000000005</v>
      </c>
      <c r="AD49" s="13">
        <f t="shared" si="7"/>
        <v>0</v>
      </c>
      <c r="AE49" s="28">
        <f t="shared" si="8"/>
        <v>3991.4506026736799</v>
      </c>
      <c r="AF49" s="79">
        <f>INDEX(宠物缘分!$G$30:$G$34,MATCH(M49,宠物缘分!$B$30:$B$34,0),1)*IF(W49=2,1/4,IF(W49=3,1/2,IF(W49=4,3/4,IF(W49&gt;4,1,0))))/5</f>
        <v>9.6000000000000002E-2</v>
      </c>
      <c r="AG49" s="79">
        <f t="shared" si="18"/>
        <v>0.25</v>
      </c>
      <c r="AH49" s="6">
        <f t="shared" si="9"/>
        <v>383.1792578566733</v>
      </c>
      <c r="AI49" s="6">
        <f t="shared" si="10"/>
        <v>997.86265066841997</v>
      </c>
      <c r="AJ49" s="28">
        <f t="shared" si="11"/>
        <v>5468.2873256629418</v>
      </c>
      <c r="AK49" s="28">
        <f>$AJ49/5*[1]战斗预期!C$4</f>
        <v>109365.74651325884</v>
      </c>
      <c r="AL49" s="28">
        <f>$AJ49/5*[1]战斗预期!D$4</f>
        <v>10936.574651325884</v>
      </c>
      <c r="AM49" s="28">
        <f>$AJ49/5*[1]战斗预期!E$4</f>
        <v>5468.2873256629418</v>
      </c>
      <c r="AN49" s="28">
        <f>$AJ49/5*[1]战斗预期!F$4</f>
        <v>4374.6298605303537</v>
      </c>
      <c r="AO49" s="28">
        <f>$AJ49/5*[1]战斗预期!G$4</f>
        <v>4374.6298605303537</v>
      </c>
      <c r="AP49" s="9">
        <f t="shared" si="12"/>
        <v>5468.2873256629418</v>
      </c>
    </row>
    <row r="50" spans="1:42" x14ac:dyDescent="0.15">
      <c r="A50" s="3">
        <v>5</v>
      </c>
      <c r="B50" s="8">
        <f>宠物成长!G6</f>
        <v>1.75</v>
      </c>
      <c r="C50" s="8">
        <f>宠物成长!H6</f>
        <v>0.75</v>
      </c>
      <c r="D50" s="8">
        <f>宠物成长!I6</f>
        <v>0.75</v>
      </c>
      <c r="E50" s="8">
        <f>宠物成长!J6</f>
        <v>1.5</v>
      </c>
      <c r="F50" s="8">
        <f>宠物成长!K6</f>
        <v>45</v>
      </c>
      <c r="I50" s="27">
        <v>43</v>
      </c>
      <c r="J50" s="27">
        <f>[1]属性成长!$D50</f>
        <v>215</v>
      </c>
      <c r="K50" s="4">
        <v>43</v>
      </c>
      <c r="L50" s="4">
        <f t="shared" si="16"/>
        <v>40</v>
      </c>
      <c r="M50" s="4">
        <v>2</v>
      </c>
      <c r="N50" s="4">
        <v>43</v>
      </c>
      <c r="O50" s="4">
        <v>40</v>
      </c>
      <c r="P50" s="4">
        <v>2</v>
      </c>
      <c r="Q50" s="4">
        <v>1</v>
      </c>
      <c r="R50" s="4">
        <v>1</v>
      </c>
      <c r="S50" s="4">
        <v>0</v>
      </c>
      <c r="T50" s="4">
        <v>2</v>
      </c>
      <c r="U50" s="4">
        <v>28</v>
      </c>
      <c r="V50" s="4">
        <v>0</v>
      </c>
      <c r="W50" s="4">
        <f t="shared" si="20"/>
        <v>5</v>
      </c>
      <c r="X50" s="5">
        <f t="shared" si="19"/>
        <v>0.25</v>
      </c>
      <c r="Y50" s="5">
        <v>0</v>
      </c>
      <c r="Z50" s="13">
        <f t="shared" si="4"/>
        <v>1779.1296296296296</v>
      </c>
      <c r="AA50" s="13">
        <f t="shared" si="5"/>
        <v>1595.6765285996057</v>
      </c>
      <c r="AB50" s="13">
        <f t="shared" si="6"/>
        <v>12</v>
      </c>
      <c r="AC50" s="13">
        <f t="shared" si="17"/>
        <v>627.20000000000005</v>
      </c>
      <c r="AD50" s="13">
        <f t="shared" si="7"/>
        <v>0</v>
      </c>
      <c r="AE50" s="28">
        <f t="shared" si="8"/>
        <v>4014.0061582292356</v>
      </c>
      <c r="AF50" s="79">
        <f>INDEX(宠物缘分!$G$30:$G$34,MATCH(M50,宠物缘分!$B$30:$B$34,0),1)*IF(W50=2,1/4,IF(W50=3,1/2,IF(W50=4,3/4,IF(W50&gt;4,1,0))))/5</f>
        <v>9.6000000000000002E-2</v>
      </c>
      <c r="AG50" s="79">
        <f t="shared" si="18"/>
        <v>0.25</v>
      </c>
      <c r="AH50" s="6">
        <f t="shared" si="9"/>
        <v>385.34459119000661</v>
      </c>
      <c r="AI50" s="6">
        <f t="shared" si="10"/>
        <v>1003.5015395573089</v>
      </c>
      <c r="AJ50" s="28">
        <f t="shared" si="11"/>
        <v>5499.1884367740531</v>
      </c>
      <c r="AK50" s="28">
        <f>$AJ50/5*[1]战斗预期!C$4</f>
        <v>109983.76873548106</v>
      </c>
      <c r="AL50" s="28">
        <f>$AJ50/5*[1]战斗预期!D$4</f>
        <v>10998.376873548106</v>
      </c>
      <c r="AM50" s="28">
        <f>$AJ50/5*[1]战斗预期!E$4</f>
        <v>5499.1884367740531</v>
      </c>
      <c r="AN50" s="28">
        <f>$AJ50/5*[1]战斗预期!F$4</f>
        <v>4399.3507494192427</v>
      </c>
      <c r="AO50" s="28">
        <f>$AJ50/5*[1]战斗预期!G$4</f>
        <v>4399.3507494192427</v>
      </c>
      <c r="AP50" s="9">
        <f t="shared" si="12"/>
        <v>5499.1884367740531</v>
      </c>
    </row>
    <row r="51" spans="1:42" x14ac:dyDescent="0.15">
      <c r="A51" s="3">
        <v>10</v>
      </c>
      <c r="B51" s="8">
        <f>宠物成长!G7</f>
        <v>1.75</v>
      </c>
      <c r="C51" s="8">
        <f>宠物成长!H7</f>
        <v>0.75</v>
      </c>
      <c r="D51" s="8">
        <f>宠物成长!I7</f>
        <v>1.8</v>
      </c>
      <c r="E51" s="8">
        <f>宠物成长!J7</f>
        <v>1.5</v>
      </c>
      <c r="F51" s="8">
        <f>宠物成长!K7</f>
        <v>108</v>
      </c>
      <c r="I51" s="27">
        <v>44</v>
      </c>
      <c r="J51" s="27">
        <f>[1]属性成长!$D51</f>
        <v>220</v>
      </c>
      <c r="K51" s="4">
        <v>44</v>
      </c>
      <c r="L51" s="4">
        <f t="shared" si="16"/>
        <v>40</v>
      </c>
      <c r="M51" s="4">
        <v>2</v>
      </c>
      <c r="N51" s="4">
        <v>44</v>
      </c>
      <c r="O51" s="4">
        <v>40</v>
      </c>
      <c r="P51" s="4">
        <v>2</v>
      </c>
      <c r="Q51" s="4">
        <v>1</v>
      </c>
      <c r="R51" s="4">
        <v>1</v>
      </c>
      <c r="S51" s="4">
        <v>0</v>
      </c>
      <c r="T51" s="4">
        <v>2</v>
      </c>
      <c r="U51" s="4">
        <v>28</v>
      </c>
      <c r="V51" s="4">
        <v>0</v>
      </c>
      <c r="W51" s="4">
        <f t="shared" si="20"/>
        <v>5</v>
      </c>
      <c r="X51" s="5">
        <f t="shared" si="19"/>
        <v>0.25</v>
      </c>
      <c r="Y51" s="5">
        <v>0</v>
      </c>
      <c r="Z51" s="13">
        <f t="shared" si="4"/>
        <v>1786.1296296296296</v>
      </c>
      <c r="AA51" s="13">
        <f t="shared" si="5"/>
        <v>1611.2320841551611</v>
      </c>
      <c r="AB51" s="13">
        <f t="shared" si="6"/>
        <v>12</v>
      </c>
      <c r="AC51" s="13">
        <f t="shared" si="17"/>
        <v>627.20000000000005</v>
      </c>
      <c r="AD51" s="13">
        <f t="shared" si="7"/>
        <v>0</v>
      </c>
      <c r="AE51" s="28">
        <f t="shared" si="8"/>
        <v>4036.5617137847903</v>
      </c>
      <c r="AF51" s="79">
        <f>INDEX(宠物缘分!$G$30:$G$34,MATCH(M51,宠物缘分!$B$30:$B$34,0),1)*IF(W51=2,1/4,IF(W51=3,1/2,IF(W51=4,3/4,IF(W51&gt;4,1,0))))/5</f>
        <v>9.6000000000000002E-2</v>
      </c>
      <c r="AG51" s="79">
        <f t="shared" si="18"/>
        <v>0.25</v>
      </c>
      <c r="AH51" s="6">
        <f t="shared" si="9"/>
        <v>387.50992452333986</v>
      </c>
      <c r="AI51" s="6">
        <f t="shared" si="10"/>
        <v>1009.1404284461976</v>
      </c>
      <c r="AJ51" s="28">
        <f t="shared" si="11"/>
        <v>5530.0895478851635</v>
      </c>
      <c r="AK51" s="28">
        <f>$AJ51/5*[1]战斗预期!C$4</f>
        <v>110601.79095770327</v>
      </c>
      <c r="AL51" s="28">
        <f>$AJ51/5*[1]战斗预期!D$4</f>
        <v>11060.179095770327</v>
      </c>
      <c r="AM51" s="28">
        <f>$AJ51/5*[1]战斗预期!E$4</f>
        <v>5530.0895478851635</v>
      </c>
      <c r="AN51" s="28">
        <f>$AJ51/5*[1]战斗预期!F$4</f>
        <v>4424.0716383081308</v>
      </c>
      <c r="AO51" s="28">
        <f>$AJ51/5*[1]战斗预期!G$4</f>
        <v>4424.0716383081308</v>
      </c>
      <c r="AP51" s="9">
        <f t="shared" si="12"/>
        <v>5530.0895478851635</v>
      </c>
    </row>
    <row r="52" spans="1:42" x14ac:dyDescent="0.15">
      <c r="A52" s="3">
        <v>15</v>
      </c>
      <c r="B52" s="8">
        <f>宠物成长!G8</f>
        <v>1.75</v>
      </c>
      <c r="C52" s="8">
        <f>宠物成长!H8</f>
        <v>0.75</v>
      </c>
      <c r="D52" s="8">
        <f>宠物成长!I8</f>
        <v>3.2</v>
      </c>
      <c r="E52" s="8">
        <f>宠物成长!J8</f>
        <v>1.5</v>
      </c>
      <c r="F52" s="8">
        <f>宠物成长!K8</f>
        <v>192</v>
      </c>
      <c r="I52" s="27">
        <v>45</v>
      </c>
      <c r="J52" s="27">
        <f>[1]属性成长!$D52</f>
        <v>225</v>
      </c>
      <c r="K52" s="4">
        <v>45</v>
      </c>
      <c r="L52" s="4">
        <f t="shared" si="16"/>
        <v>45</v>
      </c>
      <c r="M52" s="4">
        <v>3</v>
      </c>
      <c r="N52" s="4">
        <v>45</v>
      </c>
      <c r="O52" s="4">
        <v>45</v>
      </c>
      <c r="P52" s="4">
        <v>3</v>
      </c>
      <c r="Q52" s="4">
        <v>1</v>
      </c>
      <c r="R52" s="4">
        <v>1</v>
      </c>
      <c r="S52" s="4">
        <v>0</v>
      </c>
      <c r="T52" s="4">
        <v>3</v>
      </c>
      <c r="U52" s="4">
        <v>28</v>
      </c>
      <c r="V52" s="4">
        <v>0</v>
      </c>
      <c r="W52" s="4">
        <f t="shared" si="20"/>
        <v>6</v>
      </c>
      <c r="X52" s="5">
        <f t="shared" si="19"/>
        <v>0.25</v>
      </c>
      <c r="Y52" s="5">
        <v>0</v>
      </c>
      <c r="Z52" s="13">
        <f t="shared" si="4"/>
        <v>2465.7242242242241</v>
      </c>
      <c r="AA52" s="13">
        <f t="shared" si="5"/>
        <v>2118.4046303514656</v>
      </c>
      <c r="AB52" s="13">
        <f t="shared" si="6"/>
        <v>12</v>
      </c>
      <c r="AC52" s="13">
        <f t="shared" si="17"/>
        <v>1184.711111111111</v>
      </c>
      <c r="AD52" s="13">
        <f t="shared" si="7"/>
        <v>0</v>
      </c>
      <c r="AE52" s="28">
        <f t="shared" si="8"/>
        <v>5780.8399656868005</v>
      </c>
      <c r="AF52" s="79">
        <f>INDEX(宠物缘分!$G$30:$G$34,MATCH(M52,宠物缘分!$B$30:$B$34,0),1)*IF(W52=2,1/4,IF(W52=3,1/2,IF(W52=4,3/4,IF(W52&gt;4,1,0))))/5</f>
        <v>0.124</v>
      </c>
      <c r="AG52" s="79">
        <f t="shared" si="18"/>
        <v>0.25</v>
      </c>
      <c r="AH52" s="6">
        <f t="shared" si="9"/>
        <v>716.82415574516324</v>
      </c>
      <c r="AI52" s="6">
        <f t="shared" si="10"/>
        <v>1445.2099914217001</v>
      </c>
      <c r="AJ52" s="28">
        <f t="shared" si="11"/>
        <v>8122.0801517899554</v>
      </c>
      <c r="AK52" s="28">
        <f>$AJ52/5*[1]战斗预期!C$4</f>
        <v>162441.60303579911</v>
      </c>
      <c r="AL52" s="28">
        <f>$AJ52/5*[1]战斗预期!D$4</f>
        <v>16244.160303579911</v>
      </c>
      <c r="AM52" s="28">
        <f>$AJ52/5*[1]战斗预期!E$4</f>
        <v>8122.0801517899554</v>
      </c>
      <c r="AN52" s="28">
        <f>$AJ52/5*[1]战斗预期!F$4</f>
        <v>6497.6641214319643</v>
      </c>
      <c r="AO52" s="28">
        <f>$AJ52/5*[1]战斗预期!G$4</f>
        <v>6497.6641214319643</v>
      </c>
      <c r="AP52" s="9">
        <f t="shared" si="12"/>
        <v>8122.0801517899554</v>
      </c>
    </row>
    <row r="53" spans="1:42" x14ac:dyDescent="0.15">
      <c r="A53" s="3">
        <v>20</v>
      </c>
      <c r="B53" s="8">
        <f>宠物成长!G9</f>
        <v>2</v>
      </c>
      <c r="C53" s="8">
        <f>宠物成长!H9</f>
        <v>1</v>
      </c>
      <c r="D53" s="8">
        <f>宠物成长!I9</f>
        <v>4.8</v>
      </c>
      <c r="E53" s="8">
        <f>宠物成长!J9</f>
        <v>2</v>
      </c>
      <c r="F53" s="8">
        <f>宠物成长!K9</f>
        <v>288</v>
      </c>
      <c r="I53" s="27">
        <v>46</v>
      </c>
      <c r="J53" s="27">
        <f>[1]属性成长!$D53</f>
        <v>230</v>
      </c>
      <c r="K53" s="4">
        <v>46</v>
      </c>
      <c r="L53" s="4">
        <f t="shared" si="16"/>
        <v>45</v>
      </c>
      <c r="M53" s="4">
        <v>3</v>
      </c>
      <c r="N53" s="4">
        <v>46</v>
      </c>
      <c r="O53" s="4">
        <v>45</v>
      </c>
      <c r="P53" s="4">
        <v>3</v>
      </c>
      <c r="Q53" s="4">
        <v>1</v>
      </c>
      <c r="R53" s="4">
        <v>1</v>
      </c>
      <c r="S53" s="4">
        <v>0</v>
      </c>
      <c r="T53" s="4">
        <v>3</v>
      </c>
      <c r="U53" s="4">
        <v>28</v>
      </c>
      <c r="V53" s="4">
        <v>0</v>
      </c>
      <c r="W53" s="4">
        <f t="shared" si="20"/>
        <v>6</v>
      </c>
      <c r="X53" s="5">
        <f t="shared" si="19"/>
        <v>0.25</v>
      </c>
      <c r="Y53" s="5">
        <v>0</v>
      </c>
      <c r="Z53" s="13">
        <f t="shared" si="4"/>
        <v>2474.2242242242241</v>
      </c>
      <c r="AA53" s="13">
        <f t="shared" si="5"/>
        <v>2137.2935192403543</v>
      </c>
      <c r="AB53" s="13">
        <f t="shared" si="6"/>
        <v>12</v>
      </c>
      <c r="AC53" s="13">
        <f t="shared" si="17"/>
        <v>1184.711111111111</v>
      </c>
      <c r="AD53" s="13">
        <f t="shared" si="7"/>
        <v>0</v>
      </c>
      <c r="AE53" s="28">
        <f t="shared" si="8"/>
        <v>5808.2288545756892</v>
      </c>
      <c r="AF53" s="79">
        <f>INDEX(宠物缘分!$G$30:$G$34,MATCH(M53,宠物缘分!$B$30:$B$34,0),1)*IF(W53=2,1/4,IF(W53=3,1/2,IF(W53=4,3/4,IF(W53&gt;4,1,0))))/5</f>
        <v>0.124</v>
      </c>
      <c r="AG53" s="79">
        <f t="shared" si="18"/>
        <v>0.25</v>
      </c>
      <c r="AH53" s="6">
        <f t="shared" si="9"/>
        <v>720.2203779673855</v>
      </c>
      <c r="AI53" s="6">
        <f t="shared" si="10"/>
        <v>1452.0572136439223</v>
      </c>
      <c r="AJ53" s="28">
        <f t="shared" si="11"/>
        <v>8160.5615406788447</v>
      </c>
      <c r="AK53" s="28">
        <f>$AJ53/5*[1]战斗预期!C$4</f>
        <v>163211.2308135769</v>
      </c>
      <c r="AL53" s="28">
        <f>$AJ53/5*[1]战斗预期!D$4</f>
        <v>16321.123081357689</v>
      </c>
      <c r="AM53" s="28">
        <f>$AJ53/5*[1]战斗预期!E$4</f>
        <v>8160.5615406788447</v>
      </c>
      <c r="AN53" s="28">
        <f>$AJ53/5*[1]战斗预期!F$4</f>
        <v>6528.4492325430756</v>
      </c>
      <c r="AO53" s="28">
        <f>$AJ53/5*[1]战斗预期!G$4</f>
        <v>6528.4492325430756</v>
      </c>
      <c r="AP53" s="9">
        <f t="shared" si="12"/>
        <v>8160.5615406788447</v>
      </c>
    </row>
    <row r="54" spans="1:42" x14ac:dyDescent="0.15">
      <c r="A54" s="3">
        <v>25</v>
      </c>
      <c r="B54" s="8">
        <f>宠物成长!G10</f>
        <v>2.25</v>
      </c>
      <c r="C54" s="8">
        <f>宠物成长!H10</f>
        <v>1.25</v>
      </c>
      <c r="D54" s="8">
        <f>宠物成长!I10</f>
        <v>7.2</v>
      </c>
      <c r="E54" s="8">
        <f>宠物成长!J10</f>
        <v>2.5</v>
      </c>
      <c r="F54" s="8">
        <f>宠物成长!K10</f>
        <v>432</v>
      </c>
      <c r="I54" s="27">
        <v>47</v>
      </c>
      <c r="J54" s="27">
        <f>[1]属性成长!$D54</f>
        <v>235</v>
      </c>
      <c r="K54" s="4">
        <v>47</v>
      </c>
      <c r="L54" s="4">
        <f t="shared" si="16"/>
        <v>45</v>
      </c>
      <c r="M54" s="4">
        <v>3</v>
      </c>
      <c r="N54" s="4">
        <v>47</v>
      </c>
      <c r="O54" s="4">
        <v>45</v>
      </c>
      <c r="P54" s="4">
        <v>3</v>
      </c>
      <c r="Q54" s="4">
        <v>1</v>
      </c>
      <c r="R54" s="4">
        <v>1</v>
      </c>
      <c r="S54" s="4">
        <v>0</v>
      </c>
      <c r="T54" s="4">
        <v>3</v>
      </c>
      <c r="U54" s="4">
        <v>28</v>
      </c>
      <c r="V54" s="4">
        <v>0</v>
      </c>
      <c r="W54" s="4">
        <f t="shared" si="20"/>
        <v>6</v>
      </c>
      <c r="X54" s="5">
        <f t="shared" si="19"/>
        <v>0.25</v>
      </c>
      <c r="Y54" s="5">
        <v>0</v>
      </c>
      <c r="Z54" s="13">
        <f t="shared" si="4"/>
        <v>2482.7242242242241</v>
      </c>
      <c r="AA54" s="13">
        <f t="shared" si="5"/>
        <v>2156.1824081292434</v>
      </c>
      <c r="AB54" s="13">
        <f t="shared" si="6"/>
        <v>12</v>
      </c>
      <c r="AC54" s="13">
        <f t="shared" si="17"/>
        <v>1184.711111111111</v>
      </c>
      <c r="AD54" s="13">
        <f t="shared" si="7"/>
        <v>0</v>
      </c>
      <c r="AE54" s="28">
        <f t="shared" si="8"/>
        <v>5835.6177434645788</v>
      </c>
      <c r="AF54" s="79">
        <f>INDEX(宠物缘分!$G$30:$G$34,MATCH(M54,宠物缘分!$B$30:$B$34,0),1)*IF(W54=2,1/4,IF(W54=3,1/2,IF(W54=4,3/4,IF(W54&gt;4,1,0))))/5</f>
        <v>0.124</v>
      </c>
      <c r="AG54" s="79">
        <f t="shared" si="18"/>
        <v>0.25</v>
      </c>
      <c r="AH54" s="6">
        <f t="shared" si="9"/>
        <v>723.61660018960777</v>
      </c>
      <c r="AI54" s="6">
        <f t="shared" si="10"/>
        <v>1458.9044358661447</v>
      </c>
      <c r="AJ54" s="28">
        <f t="shared" si="11"/>
        <v>8199.0429295677332</v>
      </c>
      <c r="AK54" s="28">
        <f>$AJ54/5*[1]战斗预期!C$4</f>
        <v>163980.85859135468</v>
      </c>
      <c r="AL54" s="28">
        <f>$AJ54/5*[1]战斗预期!D$4</f>
        <v>16398.085859135466</v>
      </c>
      <c r="AM54" s="28">
        <f>$AJ54/5*[1]战斗预期!E$4</f>
        <v>8199.0429295677332</v>
      </c>
      <c r="AN54" s="28">
        <f>$AJ54/5*[1]战斗预期!F$4</f>
        <v>6559.2343436541869</v>
      </c>
      <c r="AO54" s="28">
        <f>$AJ54/5*[1]战斗预期!G$4</f>
        <v>6559.2343436541869</v>
      </c>
      <c r="AP54" s="9">
        <f t="shared" si="12"/>
        <v>8199.0429295677332</v>
      </c>
    </row>
    <row r="55" spans="1:42" x14ac:dyDescent="0.15">
      <c r="A55" s="3">
        <v>30</v>
      </c>
      <c r="B55" s="8">
        <f>宠物成长!G11</f>
        <v>2.5</v>
      </c>
      <c r="C55" s="8">
        <f>宠物成长!H11</f>
        <v>1.5</v>
      </c>
      <c r="D55" s="8">
        <f>宠物成长!I11</f>
        <v>10.5</v>
      </c>
      <c r="E55" s="8">
        <f>宠物成长!J11</f>
        <v>3</v>
      </c>
      <c r="F55" s="8">
        <f>宠物成长!K11</f>
        <v>630</v>
      </c>
      <c r="I55" s="27">
        <v>48</v>
      </c>
      <c r="J55" s="27">
        <f>[1]属性成长!$D55</f>
        <v>240</v>
      </c>
      <c r="K55" s="4">
        <v>48</v>
      </c>
      <c r="L55" s="4">
        <f t="shared" si="16"/>
        <v>45</v>
      </c>
      <c r="M55" s="4">
        <v>3</v>
      </c>
      <c r="N55" s="4">
        <v>48</v>
      </c>
      <c r="O55" s="4">
        <v>45</v>
      </c>
      <c r="P55" s="4">
        <v>3</v>
      </c>
      <c r="Q55" s="4">
        <v>1</v>
      </c>
      <c r="R55" s="4">
        <v>1</v>
      </c>
      <c r="S55" s="4">
        <v>0</v>
      </c>
      <c r="T55" s="4">
        <v>3</v>
      </c>
      <c r="U55" s="4">
        <v>28</v>
      </c>
      <c r="V55" s="4">
        <v>0</v>
      </c>
      <c r="W55" s="4">
        <f t="shared" si="20"/>
        <v>6</v>
      </c>
      <c r="X55" s="5">
        <f t="shared" si="19"/>
        <v>0.25</v>
      </c>
      <c r="Y55" s="5">
        <v>0</v>
      </c>
      <c r="Z55" s="13">
        <f t="shared" si="4"/>
        <v>2491.2242242242241</v>
      </c>
      <c r="AA55" s="13">
        <f t="shared" si="5"/>
        <v>2175.0712970181321</v>
      </c>
      <c r="AB55" s="13">
        <f t="shared" si="6"/>
        <v>12</v>
      </c>
      <c r="AC55" s="13">
        <f t="shared" si="17"/>
        <v>1184.711111111111</v>
      </c>
      <c r="AD55" s="13">
        <f t="shared" si="7"/>
        <v>0</v>
      </c>
      <c r="AE55" s="28">
        <f t="shared" si="8"/>
        <v>5863.0066323534675</v>
      </c>
      <c r="AF55" s="79">
        <f>INDEX(宠物缘分!$G$30:$G$34,MATCH(M55,宠物缘分!$B$30:$B$34,0),1)*IF(W55=2,1/4,IF(W55=3,1/2,IF(W55=4,3/4,IF(W55&gt;4,1,0))))/5</f>
        <v>0.124</v>
      </c>
      <c r="AG55" s="79">
        <f t="shared" si="18"/>
        <v>0.25</v>
      </c>
      <c r="AH55" s="6">
        <f t="shared" si="9"/>
        <v>727.01282241182992</v>
      </c>
      <c r="AI55" s="6">
        <f t="shared" si="10"/>
        <v>1465.7516580883669</v>
      </c>
      <c r="AJ55" s="28">
        <f t="shared" si="11"/>
        <v>8237.5243184566225</v>
      </c>
      <c r="AK55" s="28">
        <f>$AJ55/5*[1]战斗预期!C$4</f>
        <v>164750.48636913244</v>
      </c>
      <c r="AL55" s="28">
        <f>$AJ55/5*[1]战斗预期!D$4</f>
        <v>16475.048636913245</v>
      </c>
      <c r="AM55" s="28">
        <f>$AJ55/5*[1]战斗预期!E$4</f>
        <v>8237.5243184566225</v>
      </c>
      <c r="AN55" s="28">
        <f>$AJ55/5*[1]战斗预期!F$4</f>
        <v>6590.0194547652982</v>
      </c>
      <c r="AO55" s="28">
        <f>$AJ55/5*[1]战斗预期!G$4</f>
        <v>6590.0194547652982</v>
      </c>
      <c r="AP55" s="9">
        <f t="shared" si="12"/>
        <v>8237.5243184566225</v>
      </c>
    </row>
    <row r="56" spans="1:42" x14ac:dyDescent="0.15">
      <c r="A56" s="3">
        <v>35</v>
      </c>
      <c r="B56" s="8">
        <f>宠物成长!G12</f>
        <v>2.75</v>
      </c>
      <c r="C56" s="8">
        <f>宠物成长!H12</f>
        <v>1.75</v>
      </c>
      <c r="D56" s="8">
        <f>宠物成长!I12</f>
        <v>14.203703703703704</v>
      </c>
      <c r="E56" s="8">
        <f>宠物成长!J12</f>
        <v>3.5</v>
      </c>
      <c r="F56" s="8">
        <f>宠物成长!K12</f>
        <v>852.22222222222229</v>
      </c>
      <c r="I56" s="27">
        <v>49</v>
      </c>
      <c r="J56" s="27">
        <f>[1]属性成长!$D56</f>
        <v>245</v>
      </c>
      <c r="K56" s="4">
        <v>49</v>
      </c>
      <c r="L56" s="4">
        <f t="shared" si="16"/>
        <v>45</v>
      </c>
      <c r="M56" s="4">
        <v>3</v>
      </c>
      <c r="N56" s="4">
        <v>49</v>
      </c>
      <c r="O56" s="4">
        <v>45</v>
      </c>
      <c r="P56" s="4">
        <v>3</v>
      </c>
      <c r="Q56" s="4">
        <v>1</v>
      </c>
      <c r="R56" s="4">
        <v>1</v>
      </c>
      <c r="S56" s="4">
        <v>0</v>
      </c>
      <c r="T56" s="4">
        <v>3</v>
      </c>
      <c r="U56" s="4">
        <v>28</v>
      </c>
      <c r="V56" s="4">
        <v>0</v>
      </c>
      <c r="W56" s="4">
        <f t="shared" si="20"/>
        <v>6</v>
      </c>
      <c r="X56" s="5">
        <f t="shared" si="19"/>
        <v>0.25</v>
      </c>
      <c r="Y56" s="5">
        <v>0</v>
      </c>
      <c r="Z56" s="13">
        <f t="shared" si="4"/>
        <v>2499.7242242242241</v>
      </c>
      <c r="AA56" s="13">
        <f t="shared" si="5"/>
        <v>2193.9601859070208</v>
      </c>
      <c r="AB56" s="13">
        <f t="shared" si="6"/>
        <v>12</v>
      </c>
      <c r="AC56" s="13">
        <f t="shared" si="17"/>
        <v>1184.711111111111</v>
      </c>
      <c r="AD56" s="13">
        <f t="shared" si="7"/>
        <v>0</v>
      </c>
      <c r="AE56" s="28">
        <f t="shared" si="8"/>
        <v>5890.3955212423562</v>
      </c>
      <c r="AF56" s="79">
        <f>INDEX(宠物缘分!$G$30:$G$34,MATCH(M56,宠物缘分!$B$30:$B$34,0),1)*IF(W56=2,1/4,IF(W56=3,1/2,IF(W56=4,3/4,IF(W56&gt;4,1,0))))/5</f>
        <v>0.124</v>
      </c>
      <c r="AG56" s="79">
        <f t="shared" si="18"/>
        <v>0.25</v>
      </c>
      <c r="AH56" s="6">
        <f t="shared" si="9"/>
        <v>730.40904463405218</v>
      </c>
      <c r="AI56" s="6">
        <f t="shared" si="10"/>
        <v>1472.598880310589</v>
      </c>
      <c r="AJ56" s="28">
        <f t="shared" si="11"/>
        <v>8276.00570734551</v>
      </c>
      <c r="AK56" s="28">
        <f>$AJ56/5*[1]战斗预期!C$4</f>
        <v>165520.1141469102</v>
      </c>
      <c r="AL56" s="28">
        <f>$AJ56/5*[1]战斗预期!D$4</f>
        <v>16552.01141469102</v>
      </c>
      <c r="AM56" s="28">
        <f>$AJ56/5*[1]战斗预期!E$4</f>
        <v>8276.00570734551</v>
      </c>
      <c r="AN56" s="28">
        <f>$AJ56/5*[1]战斗预期!F$4</f>
        <v>6620.8045658764077</v>
      </c>
      <c r="AO56" s="28">
        <f>$AJ56/5*[1]战斗预期!G$4</f>
        <v>6620.8045658764077</v>
      </c>
      <c r="AP56" s="9">
        <f t="shared" si="12"/>
        <v>8276.00570734551</v>
      </c>
    </row>
    <row r="57" spans="1:42" x14ac:dyDescent="0.15">
      <c r="A57" s="3">
        <v>40</v>
      </c>
      <c r="B57" s="8">
        <f>宠物成长!G13</f>
        <v>3</v>
      </c>
      <c r="C57" s="8">
        <f>宠物成长!H13</f>
        <v>2</v>
      </c>
      <c r="D57" s="8">
        <f>宠物成长!I13</f>
        <v>17.953703703703702</v>
      </c>
      <c r="E57" s="8">
        <f>宠物成长!J13</f>
        <v>4</v>
      </c>
      <c r="F57" s="8">
        <f>宠物成长!K13</f>
        <v>1077.2222222222222</v>
      </c>
      <c r="I57" s="27">
        <v>50</v>
      </c>
      <c r="J57" s="27">
        <f>[1]属性成长!$D57</f>
        <v>250</v>
      </c>
      <c r="K57" s="4">
        <v>50</v>
      </c>
      <c r="L57" s="4">
        <f t="shared" si="16"/>
        <v>50</v>
      </c>
      <c r="M57" s="4">
        <v>3</v>
      </c>
      <c r="N57" s="4">
        <v>50</v>
      </c>
      <c r="O57" s="4">
        <v>50</v>
      </c>
      <c r="P57" s="4">
        <v>3</v>
      </c>
      <c r="Q57" s="4">
        <v>1</v>
      </c>
      <c r="R57" s="4">
        <v>1</v>
      </c>
      <c r="S57" s="4">
        <v>0</v>
      </c>
      <c r="T57" s="4">
        <v>4</v>
      </c>
      <c r="U57" s="4">
        <v>28</v>
      </c>
      <c r="V57" s="4">
        <v>0</v>
      </c>
      <c r="W57" s="4">
        <v>6</v>
      </c>
      <c r="X57" s="5">
        <f t="shared" si="19"/>
        <v>0.25</v>
      </c>
      <c r="Y57" s="5">
        <f t="shared" ref="Y57:Y72" si="21">$H$3</f>
        <v>0.25</v>
      </c>
      <c r="Z57" s="13">
        <f t="shared" si="4"/>
        <v>2768.9147004147003</v>
      </c>
      <c r="AA57" s="13">
        <f t="shared" si="5"/>
        <v>2389.1982811451162</v>
      </c>
      <c r="AB57" s="13">
        <f t="shared" si="6"/>
        <v>12</v>
      </c>
      <c r="AC57" s="13">
        <f t="shared" si="17"/>
        <v>1916.4444444444443</v>
      </c>
      <c r="AD57" s="13">
        <f t="shared" si="7"/>
        <v>0</v>
      </c>
      <c r="AE57" s="28">
        <f t="shared" si="8"/>
        <v>7086.5574260042604</v>
      </c>
      <c r="AF57" s="79">
        <f>INDEX(宠物缘分!$G$30:$G$34,MATCH(M57,宠物缘分!$B$30:$B$34,0),1)*IF(W57=2,1/4,IF(W57=3,1/2,IF(W57=4,3/4,IF(W57&gt;4,1,0))))/5</f>
        <v>0.124</v>
      </c>
      <c r="AG57" s="79">
        <f t="shared" si="18"/>
        <v>0.5</v>
      </c>
      <c r="AH57" s="6">
        <f t="shared" si="9"/>
        <v>878.73312082452833</v>
      </c>
      <c r="AI57" s="6">
        <f t="shared" si="10"/>
        <v>3543.2787130021302</v>
      </c>
      <c r="AJ57" s="28">
        <f t="shared" si="11"/>
        <v>11947.935820243183</v>
      </c>
      <c r="AK57" s="28">
        <f>$AJ57/5*[1]战斗预期!C$4</f>
        <v>238958.71640486366</v>
      </c>
      <c r="AL57" s="28">
        <f>$AJ57/5*[1]战斗预期!D$4</f>
        <v>23895.871640486366</v>
      </c>
      <c r="AM57" s="28">
        <f>$AJ57/5*[1]战斗预期!E$4</f>
        <v>11947.935820243183</v>
      </c>
      <c r="AN57" s="28">
        <f>$AJ57/5*[1]战斗预期!F$4</f>
        <v>9558.3486561945465</v>
      </c>
      <c r="AO57" s="28">
        <f>$AJ57/5*[1]战斗预期!G$4</f>
        <v>9558.3486561945465</v>
      </c>
      <c r="AP57" s="9">
        <f t="shared" si="12"/>
        <v>11947.935820243183</v>
      </c>
    </row>
    <row r="58" spans="1:42" x14ac:dyDescent="0.15">
      <c r="A58" s="3">
        <v>45</v>
      </c>
      <c r="B58" s="8">
        <f>宠物成长!G14</f>
        <v>3.25</v>
      </c>
      <c r="C58" s="8">
        <f>宠物成长!H14</f>
        <v>2.25</v>
      </c>
      <c r="D58" s="8">
        <f>宠物成长!I14</f>
        <v>21.737487487487485</v>
      </c>
      <c r="E58" s="8">
        <f>宠物成长!J14</f>
        <v>4.5</v>
      </c>
      <c r="F58" s="8">
        <f>宠物成长!K14</f>
        <v>1304.249249249249</v>
      </c>
      <c r="I58" s="27">
        <v>51</v>
      </c>
      <c r="J58" s="27">
        <f>[1]属性成长!$D58</f>
        <v>255</v>
      </c>
      <c r="K58" s="4">
        <v>51</v>
      </c>
      <c r="L58" s="4">
        <f t="shared" si="16"/>
        <v>50</v>
      </c>
      <c r="M58" s="4">
        <v>3</v>
      </c>
      <c r="N58" s="4">
        <v>51</v>
      </c>
      <c r="O58" s="4">
        <v>50</v>
      </c>
      <c r="P58" s="4">
        <v>3</v>
      </c>
      <c r="Q58" s="4">
        <v>1</v>
      </c>
      <c r="R58" s="4">
        <v>1</v>
      </c>
      <c r="S58" s="4">
        <v>0</v>
      </c>
      <c r="T58" s="4">
        <v>4</v>
      </c>
      <c r="U58" s="4">
        <v>28</v>
      </c>
      <c r="V58" s="4">
        <v>0</v>
      </c>
      <c r="W58" s="4">
        <v>6</v>
      </c>
      <c r="X58" s="5">
        <f t="shared" si="19"/>
        <v>0.25</v>
      </c>
      <c r="Y58" s="5">
        <f t="shared" si="21"/>
        <v>0.25</v>
      </c>
      <c r="Z58" s="13">
        <f t="shared" si="4"/>
        <v>2777.9147004147003</v>
      </c>
      <c r="AA58" s="13">
        <f t="shared" si="5"/>
        <v>2409.1982811451162</v>
      </c>
      <c r="AB58" s="13">
        <f t="shared" si="6"/>
        <v>12</v>
      </c>
      <c r="AC58" s="13">
        <f t="shared" si="17"/>
        <v>1916.4444444444443</v>
      </c>
      <c r="AD58" s="13">
        <f t="shared" si="7"/>
        <v>0</v>
      </c>
      <c r="AE58" s="28">
        <f t="shared" si="8"/>
        <v>7115.5574260042604</v>
      </c>
      <c r="AF58" s="79">
        <f>INDEX(宠物缘分!$G$30:$G$34,MATCH(M58,宠物缘分!$B$30:$B$34,0),1)*IF(W58=2,1/4,IF(W58=3,1/2,IF(W58=4,3/4,IF(W58&gt;4,1,0))))/5</f>
        <v>0.124</v>
      </c>
      <c r="AG58" s="79">
        <f t="shared" si="18"/>
        <v>0.5</v>
      </c>
      <c r="AH58" s="6">
        <f t="shared" si="9"/>
        <v>882.32912082452833</v>
      </c>
      <c r="AI58" s="6">
        <f t="shared" si="10"/>
        <v>3557.7787130021302</v>
      </c>
      <c r="AJ58" s="28">
        <f t="shared" si="11"/>
        <v>11996.829820243183</v>
      </c>
      <c r="AK58" s="28">
        <f>$AJ58/5*[1]战斗预期!C$4</f>
        <v>239936.59640486367</v>
      </c>
      <c r="AL58" s="28">
        <f>$AJ58/5*[1]战斗预期!D$4</f>
        <v>23993.659640486367</v>
      </c>
      <c r="AM58" s="28">
        <f>$AJ58/5*[1]战斗预期!E$4</f>
        <v>11996.829820243183</v>
      </c>
      <c r="AN58" s="28">
        <f>$AJ58/5*[1]战斗预期!F$4</f>
        <v>9597.4638561945467</v>
      </c>
      <c r="AO58" s="28">
        <f>$AJ58/5*[1]战斗预期!G$4</f>
        <v>9597.4638561945467</v>
      </c>
      <c r="AP58" s="9">
        <f t="shared" si="12"/>
        <v>11996.829820243183</v>
      </c>
    </row>
    <row r="59" spans="1:42" x14ac:dyDescent="0.15">
      <c r="A59" s="3">
        <v>50</v>
      </c>
      <c r="B59" s="8">
        <f>宠物成长!G15</f>
        <v>3.5</v>
      </c>
      <c r="C59" s="8">
        <f>宠物成长!H15</f>
        <v>2.5</v>
      </c>
      <c r="D59" s="8">
        <f>宠物成长!I15</f>
        <v>25.547011297011295</v>
      </c>
      <c r="E59" s="8">
        <f>宠物成长!J15</f>
        <v>5</v>
      </c>
      <c r="F59" s="8">
        <f>宠物成长!K15</f>
        <v>1532.8206778206777</v>
      </c>
      <c r="I59" s="27">
        <v>52</v>
      </c>
      <c r="J59" s="27">
        <f>[1]属性成长!$D59</f>
        <v>260</v>
      </c>
      <c r="K59" s="4">
        <v>52</v>
      </c>
      <c r="L59" s="4">
        <f t="shared" si="16"/>
        <v>50</v>
      </c>
      <c r="M59" s="4">
        <v>3</v>
      </c>
      <c r="N59" s="4">
        <v>52</v>
      </c>
      <c r="O59" s="4">
        <v>50</v>
      </c>
      <c r="P59" s="4">
        <v>3</v>
      </c>
      <c r="Q59" s="4">
        <v>1</v>
      </c>
      <c r="R59" s="4">
        <v>1</v>
      </c>
      <c r="S59" s="4">
        <v>0</v>
      </c>
      <c r="T59" s="4">
        <v>4</v>
      </c>
      <c r="U59" s="4">
        <v>28</v>
      </c>
      <c r="V59" s="4">
        <v>0</v>
      </c>
      <c r="W59" s="4">
        <v>6</v>
      </c>
      <c r="X59" s="5">
        <f t="shared" si="19"/>
        <v>0.25</v>
      </c>
      <c r="Y59" s="5">
        <f t="shared" si="21"/>
        <v>0.25</v>
      </c>
      <c r="Z59" s="13">
        <f t="shared" si="4"/>
        <v>2786.9147004147003</v>
      </c>
      <c r="AA59" s="13">
        <f t="shared" si="5"/>
        <v>2429.1982811451162</v>
      </c>
      <c r="AB59" s="13">
        <f t="shared" si="6"/>
        <v>12</v>
      </c>
      <c r="AC59" s="13">
        <f t="shared" si="17"/>
        <v>1916.4444444444443</v>
      </c>
      <c r="AD59" s="13">
        <f t="shared" si="7"/>
        <v>0</v>
      </c>
      <c r="AE59" s="28">
        <f t="shared" si="8"/>
        <v>7144.5574260042604</v>
      </c>
      <c r="AF59" s="79">
        <f>INDEX(宠物缘分!$G$30:$G$34,MATCH(M59,宠物缘分!$B$30:$B$34,0),1)*IF(W59=2,1/4,IF(W59=3,1/2,IF(W59=4,3/4,IF(W59&gt;4,1,0))))/5</f>
        <v>0.124</v>
      </c>
      <c r="AG59" s="79">
        <f t="shared" si="18"/>
        <v>0.5</v>
      </c>
      <c r="AH59" s="6">
        <f t="shared" si="9"/>
        <v>885.92512082452834</v>
      </c>
      <c r="AI59" s="6">
        <f t="shared" si="10"/>
        <v>3572.2787130021302</v>
      </c>
      <c r="AJ59" s="28">
        <f t="shared" si="11"/>
        <v>12045.723820243184</v>
      </c>
      <c r="AK59" s="28">
        <f>$AJ59/5*[1]战斗预期!C$4</f>
        <v>240914.47640486367</v>
      </c>
      <c r="AL59" s="28">
        <f>$AJ59/5*[1]战斗预期!D$4</f>
        <v>24091.447640486367</v>
      </c>
      <c r="AM59" s="28">
        <f>$AJ59/5*[1]战斗预期!E$4</f>
        <v>12045.723820243184</v>
      </c>
      <c r="AN59" s="28">
        <f>$AJ59/5*[1]战斗预期!F$4</f>
        <v>9636.5790561945469</v>
      </c>
      <c r="AO59" s="28">
        <f>$AJ59/5*[1]战斗预期!G$4</f>
        <v>9636.5790561945469</v>
      </c>
      <c r="AP59" s="9">
        <f t="shared" si="12"/>
        <v>12045.723820243184</v>
      </c>
    </row>
    <row r="60" spans="1:42" x14ac:dyDescent="0.15">
      <c r="A60" s="3">
        <v>55</v>
      </c>
      <c r="B60" s="8">
        <f>宠物成长!G16</f>
        <v>3.75</v>
      </c>
      <c r="C60" s="8">
        <f>宠物成长!H16</f>
        <v>2.75</v>
      </c>
      <c r="D60" s="8">
        <f>宠物成长!I16</f>
        <v>29.376798531053847</v>
      </c>
      <c r="E60" s="8">
        <f>宠物成长!J16</f>
        <v>5.5</v>
      </c>
      <c r="F60" s="8">
        <f>宠物成长!K16</f>
        <v>1762.6079118632308</v>
      </c>
      <c r="I60" s="27">
        <v>53</v>
      </c>
      <c r="J60" s="27">
        <f>[1]属性成长!$D60</f>
        <v>265</v>
      </c>
      <c r="K60" s="4">
        <v>53</v>
      </c>
      <c r="L60" s="4">
        <f t="shared" si="16"/>
        <v>50</v>
      </c>
      <c r="M60" s="4">
        <v>3</v>
      </c>
      <c r="N60" s="4">
        <v>53</v>
      </c>
      <c r="O60" s="4">
        <v>50</v>
      </c>
      <c r="P60" s="4">
        <v>3</v>
      </c>
      <c r="Q60" s="4">
        <v>1</v>
      </c>
      <c r="R60" s="4">
        <v>1</v>
      </c>
      <c r="S60" s="4">
        <v>0</v>
      </c>
      <c r="T60" s="4">
        <v>4</v>
      </c>
      <c r="U60" s="4">
        <v>28</v>
      </c>
      <c r="V60" s="4">
        <v>0</v>
      </c>
      <c r="W60" s="4">
        <v>6</v>
      </c>
      <c r="X60" s="5">
        <f t="shared" si="19"/>
        <v>0.25</v>
      </c>
      <c r="Y60" s="5">
        <f t="shared" si="21"/>
        <v>0.25</v>
      </c>
      <c r="Z60" s="13">
        <f t="shared" si="4"/>
        <v>2795.9147004147003</v>
      </c>
      <c r="AA60" s="13">
        <f t="shared" si="5"/>
        <v>2449.1982811451162</v>
      </c>
      <c r="AB60" s="13">
        <f t="shared" si="6"/>
        <v>12</v>
      </c>
      <c r="AC60" s="13">
        <f t="shared" si="17"/>
        <v>1916.4444444444443</v>
      </c>
      <c r="AD60" s="13">
        <f t="shared" si="7"/>
        <v>0</v>
      </c>
      <c r="AE60" s="28">
        <f t="shared" si="8"/>
        <v>7173.5574260042604</v>
      </c>
      <c r="AF60" s="79">
        <f>INDEX(宠物缘分!$G$30:$G$34,MATCH(M60,宠物缘分!$B$30:$B$34,0),1)*IF(W60=2,1/4,IF(W60=3,1/2,IF(W60=4,3/4,IF(W60&gt;4,1,0))))/5</f>
        <v>0.124</v>
      </c>
      <c r="AG60" s="79">
        <f t="shared" si="18"/>
        <v>0.5</v>
      </c>
      <c r="AH60" s="6">
        <f t="shared" si="9"/>
        <v>889.52112082452823</v>
      </c>
      <c r="AI60" s="6">
        <f t="shared" si="10"/>
        <v>3586.7787130021302</v>
      </c>
      <c r="AJ60" s="28">
        <f t="shared" si="11"/>
        <v>12094.617820243184</v>
      </c>
      <c r="AK60" s="28">
        <f>$AJ60/5*[1]战斗预期!C$4</f>
        <v>241892.35640486368</v>
      </c>
      <c r="AL60" s="28">
        <f>$AJ60/5*[1]战斗预期!D$4</f>
        <v>24189.235640486368</v>
      </c>
      <c r="AM60" s="28">
        <f>$AJ60/5*[1]战斗预期!E$4</f>
        <v>12094.617820243184</v>
      </c>
      <c r="AN60" s="28">
        <f>$AJ60/5*[1]战斗预期!F$4</f>
        <v>9675.6942561945471</v>
      </c>
      <c r="AO60" s="28">
        <f>$AJ60/5*[1]战斗预期!G$4</f>
        <v>9675.6942561945471</v>
      </c>
      <c r="AP60" s="9">
        <f t="shared" si="12"/>
        <v>12094.617820243184</v>
      </c>
    </row>
    <row r="61" spans="1:42" x14ac:dyDescent="0.15">
      <c r="A61" s="3">
        <v>60</v>
      </c>
      <c r="B61" s="8">
        <f>宠物成长!G17</f>
        <v>4</v>
      </c>
      <c r="C61" s="8">
        <f>宠物成长!H17</f>
        <v>3</v>
      </c>
      <c r="D61" s="8">
        <f>宠物成长!I17</f>
        <v>33.22295237720769</v>
      </c>
      <c r="E61" s="8">
        <f>宠物成长!J17</f>
        <v>6</v>
      </c>
      <c r="F61" s="8">
        <f>宠物成长!K17</f>
        <v>1993.3771426324615</v>
      </c>
      <c r="I61" s="27">
        <v>54</v>
      </c>
      <c r="J61" s="27">
        <f>[1]属性成长!$D61</f>
        <v>270</v>
      </c>
      <c r="K61" s="4">
        <v>54</v>
      </c>
      <c r="L61" s="4">
        <f t="shared" si="16"/>
        <v>50</v>
      </c>
      <c r="M61" s="4">
        <v>3</v>
      </c>
      <c r="N61" s="4">
        <v>54</v>
      </c>
      <c r="O61" s="4">
        <v>50</v>
      </c>
      <c r="P61" s="4">
        <v>3</v>
      </c>
      <c r="Q61" s="4">
        <v>1</v>
      </c>
      <c r="R61" s="4">
        <v>1</v>
      </c>
      <c r="S61" s="4">
        <v>0</v>
      </c>
      <c r="T61" s="4">
        <v>4</v>
      </c>
      <c r="U61" s="4">
        <v>28</v>
      </c>
      <c r="V61" s="4">
        <v>0</v>
      </c>
      <c r="W61" s="4">
        <v>6</v>
      </c>
      <c r="X61" s="5">
        <f t="shared" si="19"/>
        <v>0.25</v>
      </c>
      <c r="Y61" s="5">
        <f t="shared" si="21"/>
        <v>0.25</v>
      </c>
      <c r="Z61" s="13">
        <f t="shared" si="4"/>
        <v>2804.9147004147003</v>
      </c>
      <c r="AA61" s="13">
        <f t="shared" si="5"/>
        <v>2469.1982811451162</v>
      </c>
      <c r="AB61" s="13">
        <f t="shared" si="6"/>
        <v>12</v>
      </c>
      <c r="AC61" s="13">
        <f t="shared" si="17"/>
        <v>1916.4444444444443</v>
      </c>
      <c r="AD61" s="13">
        <f t="shared" si="7"/>
        <v>0</v>
      </c>
      <c r="AE61" s="28">
        <f t="shared" si="8"/>
        <v>7202.5574260042604</v>
      </c>
      <c r="AF61" s="79">
        <f>INDEX(宠物缘分!$G$30:$G$34,MATCH(M61,宠物缘分!$B$30:$B$34,0),1)*IF(W61=2,1/4,IF(W61=3,1/2,IF(W61=4,3/4,IF(W61&gt;4,1,0))))/5</f>
        <v>0.124</v>
      </c>
      <c r="AG61" s="79">
        <f t="shared" si="18"/>
        <v>0.5</v>
      </c>
      <c r="AH61" s="6">
        <f t="shared" si="9"/>
        <v>893.11712082452823</v>
      </c>
      <c r="AI61" s="6">
        <f t="shared" si="10"/>
        <v>3601.2787130021302</v>
      </c>
      <c r="AJ61" s="28">
        <f t="shared" si="11"/>
        <v>12143.511820243184</v>
      </c>
      <c r="AK61" s="28">
        <f>$AJ61/5*[1]战斗预期!C$4</f>
        <v>242870.23640486368</v>
      </c>
      <c r="AL61" s="28">
        <f>$AJ61/5*[1]战斗预期!D$4</f>
        <v>24287.023640486368</v>
      </c>
      <c r="AM61" s="28">
        <f>$AJ61/5*[1]战斗预期!E$4</f>
        <v>12143.511820243184</v>
      </c>
      <c r="AN61" s="28">
        <f>$AJ61/5*[1]战斗预期!F$4</f>
        <v>9714.8094561945472</v>
      </c>
      <c r="AO61" s="28">
        <f>$AJ61/5*[1]战斗预期!G$4</f>
        <v>9714.8094561945472</v>
      </c>
      <c r="AP61" s="9">
        <f t="shared" si="12"/>
        <v>12143.511820243184</v>
      </c>
    </row>
    <row r="62" spans="1:42" x14ac:dyDescent="0.15">
      <c r="A62" s="3">
        <v>65</v>
      </c>
      <c r="B62" s="8">
        <f>宠物成长!G18</f>
        <v>4.25</v>
      </c>
      <c r="C62" s="8">
        <f>宠物成长!H18</f>
        <v>3.25</v>
      </c>
      <c r="D62" s="8">
        <f>宠物成长!I18</f>
        <v>37.082601500014711</v>
      </c>
      <c r="E62" s="8">
        <f>宠物成长!J18</f>
        <v>6.5</v>
      </c>
      <c r="F62" s="8">
        <f>宠物成长!K18</f>
        <v>2224.9560900008828</v>
      </c>
      <c r="I62" s="27">
        <v>55</v>
      </c>
      <c r="J62" s="27">
        <f>[1]属性成长!$D62</f>
        <v>275</v>
      </c>
      <c r="K62" s="4">
        <v>55</v>
      </c>
      <c r="L62" s="4">
        <f t="shared" si="16"/>
        <v>55</v>
      </c>
      <c r="M62" s="4">
        <v>4</v>
      </c>
      <c r="N62" s="4">
        <v>55</v>
      </c>
      <c r="O62" s="4">
        <v>55</v>
      </c>
      <c r="P62" s="4">
        <v>4</v>
      </c>
      <c r="Q62" s="4">
        <v>1</v>
      </c>
      <c r="R62" s="4">
        <v>1</v>
      </c>
      <c r="S62" s="4">
        <v>0</v>
      </c>
      <c r="T62" s="4">
        <v>5</v>
      </c>
      <c r="U62" s="4">
        <v>28</v>
      </c>
      <c r="V62" s="4">
        <v>0</v>
      </c>
      <c r="W62" s="4">
        <v>6</v>
      </c>
      <c r="X62" s="5">
        <f t="shared" si="19"/>
        <v>0.25</v>
      </c>
      <c r="Y62" s="5">
        <f t="shared" si="21"/>
        <v>0.25</v>
      </c>
      <c r="Z62" s="13">
        <f t="shared" si="4"/>
        <v>3566.361508925339</v>
      </c>
      <c r="AA62" s="13">
        <f t="shared" si="5"/>
        <v>3031.6472607369533</v>
      </c>
      <c r="AB62" s="13">
        <f t="shared" si="6"/>
        <v>12</v>
      </c>
      <c r="AC62" s="13">
        <f t="shared" si="17"/>
        <v>2892.0888888888894</v>
      </c>
      <c r="AD62" s="13">
        <f t="shared" si="7"/>
        <v>0</v>
      </c>
      <c r="AE62" s="28">
        <f t="shared" si="8"/>
        <v>9502.0976585511817</v>
      </c>
      <c r="AF62" s="79">
        <f>INDEX(宠物缘分!$G$30:$G$34,MATCH(M62,宠物缘分!$B$30:$B$34,0),1)*IF(W62=2,1/4,IF(W62=3,1/2,IF(W62=4,3/4,IF(W62&gt;4,1,0))))/5</f>
        <v>0.152</v>
      </c>
      <c r="AG62" s="79">
        <f t="shared" si="18"/>
        <v>0.5</v>
      </c>
      <c r="AH62" s="6">
        <f t="shared" si="9"/>
        <v>1444.3188440997797</v>
      </c>
      <c r="AI62" s="6">
        <f t="shared" si="10"/>
        <v>4751.0488292755908</v>
      </c>
      <c r="AJ62" s="28">
        <f t="shared" si="11"/>
        <v>16419.624753976441</v>
      </c>
      <c r="AK62" s="28">
        <f>$AJ62/5*[1]战斗预期!C$4</f>
        <v>328392.49507952883</v>
      </c>
      <c r="AL62" s="28">
        <f>$AJ62/5*[1]战斗预期!D$4</f>
        <v>32839.249507952882</v>
      </c>
      <c r="AM62" s="28">
        <f>$AJ62/5*[1]战斗预期!E$4</f>
        <v>16419.624753976441</v>
      </c>
      <c r="AN62" s="28">
        <f>$AJ62/5*[1]战斗预期!F$4</f>
        <v>13135.699803181153</v>
      </c>
      <c r="AO62" s="28">
        <f>$AJ62/5*[1]战斗预期!G$4</f>
        <v>13135.699803181153</v>
      </c>
      <c r="AP62" s="9">
        <f t="shared" si="12"/>
        <v>16419.624753976441</v>
      </c>
    </row>
    <row r="63" spans="1:42" x14ac:dyDescent="0.15">
      <c r="A63" s="3">
        <v>70</v>
      </c>
      <c r="B63" s="8">
        <f>宠物成长!G19</f>
        <v>4.5</v>
      </c>
      <c r="C63" s="8">
        <f>宠物成长!H19</f>
        <v>3.5</v>
      </c>
      <c r="D63" s="8">
        <f>宠物成长!I19</f>
        <v>40.953569241950191</v>
      </c>
      <c r="E63" s="8">
        <f>宠物成长!J19</f>
        <v>7</v>
      </c>
      <c r="F63" s="8">
        <f>宠物成长!K19</f>
        <v>2457.2141545170116</v>
      </c>
      <c r="I63" s="27">
        <v>56</v>
      </c>
      <c r="J63" s="27">
        <f>[1]属性成长!$D63</f>
        <v>280</v>
      </c>
      <c r="K63" s="4">
        <v>56</v>
      </c>
      <c r="L63" s="4">
        <f t="shared" si="16"/>
        <v>55</v>
      </c>
      <c r="M63" s="4">
        <v>4</v>
      </c>
      <c r="N63" s="4">
        <v>56</v>
      </c>
      <c r="O63" s="4">
        <v>55</v>
      </c>
      <c r="P63" s="4">
        <v>4</v>
      </c>
      <c r="Q63" s="4">
        <v>1</v>
      </c>
      <c r="R63" s="4">
        <v>1</v>
      </c>
      <c r="S63" s="4">
        <v>0</v>
      </c>
      <c r="T63" s="4">
        <v>5</v>
      </c>
      <c r="U63" s="4">
        <v>28</v>
      </c>
      <c r="V63" s="4">
        <v>0</v>
      </c>
      <c r="W63" s="4">
        <v>6</v>
      </c>
      <c r="X63" s="5">
        <f t="shared" si="19"/>
        <v>0.25</v>
      </c>
      <c r="Y63" s="5">
        <f t="shared" si="21"/>
        <v>0.25</v>
      </c>
      <c r="Z63" s="13">
        <f t="shared" si="4"/>
        <v>3576.861508925339</v>
      </c>
      <c r="AA63" s="13">
        <f t="shared" si="5"/>
        <v>3054.9805940702863</v>
      </c>
      <c r="AB63" s="13">
        <f t="shared" si="6"/>
        <v>12</v>
      </c>
      <c r="AC63" s="13">
        <f t="shared" si="17"/>
        <v>2892.0888888888894</v>
      </c>
      <c r="AD63" s="13">
        <f t="shared" si="7"/>
        <v>0</v>
      </c>
      <c r="AE63" s="28">
        <f t="shared" si="8"/>
        <v>9535.9309918845138</v>
      </c>
      <c r="AF63" s="79">
        <f>INDEX(宠物缘分!$G$30:$G$34,MATCH(M63,宠物缘分!$B$30:$B$34,0),1)*IF(W63=2,1/4,IF(W63=3,1/2,IF(W63=4,3/4,IF(W63&gt;4,1,0))))/5</f>
        <v>0.152</v>
      </c>
      <c r="AG63" s="79">
        <f t="shared" si="18"/>
        <v>0.5</v>
      </c>
      <c r="AH63" s="6">
        <f t="shared" si="9"/>
        <v>1449.4615107664461</v>
      </c>
      <c r="AI63" s="6">
        <f t="shared" si="10"/>
        <v>4767.9654959422569</v>
      </c>
      <c r="AJ63" s="28">
        <f t="shared" si="11"/>
        <v>16478.088753976437</v>
      </c>
      <c r="AK63" s="28">
        <f>$AJ63/5*[1]战斗预期!C$4</f>
        <v>329561.77507952874</v>
      </c>
      <c r="AL63" s="28">
        <f>$AJ63/5*[1]战斗预期!D$4</f>
        <v>32956.177507952874</v>
      </c>
      <c r="AM63" s="28">
        <f>$AJ63/5*[1]战斗预期!E$4</f>
        <v>16478.088753976437</v>
      </c>
      <c r="AN63" s="28">
        <f>$AJ63/5*[1]战斗预期!F$4</f>
        <v>13182.47100318115</v>
      </c>
      <c r="AO63" s="28">
        <f>$AJ63/5*[1]战斗预期!G$4</f>
        <v>13182.47100318115</v>
      </c>
      <c r="AP63" s="9">
        <f t="shared" si="12"/>
        <v>16478.088753976437</v>
      </c>
    </row>
    <row r="64" spans="1:42" x14ac:dyDescent="0.15">
      <c r="A64" s="3">
        <v>75</v>
      </c>
      <c r="B64" s="8">
        <f>宠物成长!G20</f>
        <v>4.75</v>
      </c>
      <c r="C64" s="8">
        <f>宠物成长!H20</f>
        <v>3.75</v>
      </c>
      <c r="D64" s="8">
        <f>宠物成长!I20</f>
        <v>44.834166256875562</v>
      </c>
      <c r="E64" s="8">
        <f>宠物成长!J20</f>
        <v>7.5</v>
      </c>
      <c r="F64" s="8">
        <f>宠物成长!K20</f>
        <v>2690.049975412534</v>
      </c>
      <c r="I64" s="27">
        <v>57</v>
      </c>
      <c r="J64" s="27">
        <f>[1]属性成长!$D64</f>
        <v>285</v>
      </c>
      <c r="K64" s="4">
        <v>57</v>
      </c>
      <c r="L64" s="4">
        <f t="shared" si="16"/>
        <v>55</v>
      </c>
      <c r="M64" s="4">
        <v>4</v>
      </c>
      <c r="N64" s="4">
        <v>57</v>
      </c>
      <c r="O64" s="4">
        <v>55</v>
      </c>
      <c r="P64" s="4">
        <v>4</v>
      </c>
      <c r="Q64" s="4">
        <v>1</v>
      </c>
      <c r="R64" s="4">
        <v>1</v>
      </c>
      <c r="S64" s="4">
        <v>0</v>
      </c>
      <c r="T64" s="4">
        <v>5</v>
      </c>
      <c r="U64" s="4">
        <v>28</v>
      </c>
      <c r="V64" s="4">
        <v>0</v>
      </c>
      <c r="W64" s="4">
        <v>6</v>
      </c>
      <c r="X64" s="5">
        <f t="shared" si="19"/>
        <v>0.25</v>
      </c>
      <c r="Y64" s="5">
        <f t="shared" si="21"/>
        <v>0.25</v>
      </c>
      <c r="Z64" s="13">
        <f t="shared" si="4"/>
        <v>3587.361508925339</v>
      </c>
      <c r="AA64" s="13">
        <f t="shared" si="5"/>
        <v>3078.3139274036193</v>
      </c>
      <c r="AB64" s="13">
        <f t="shared" si="6"/>
        <v>12</v>
      </c>
      <c r="AC64" s="13">
        <f t="shared" si="17"/>
        <v>2892.0888888888894</v>
      </c>
      <c r="AD64" s="13">
        <f t="shared" si="7"/>
        <v>0</v>
      </c>
      <c r="AE64" s="28">
        <f t="shared" si="8"/>
        <v>9569.7643252178477</v>
      </c>
      <c r="AF64" s="79">
        <f>INDEX(宠物缘分!$G$30:$G$34,MATCH(M64,宠物缘分!$B$30:$B$34,0),1)*IF(W64=2,1/4,IF(W64=3,1/2,IF(W64=4,3/4,IF(W64&gt;4,1,0))))/5</f>
        <v>0.152</v>
      </c>
      <c r="AG64" s="79">
        <f t="shared" si="18"/>
        <v>0.5</v>
      </c>
      <c r="AH64" s="6">
        <f t="shared" si="9"/>
        <v>1454.6041774331129</v>
      </c>
      <c r="AI64" s="6">
        <f t="shared" si="10"/>
        <v>4784.8821626089239</v>
      </c>
      <c r="AJ64" s="28">
        <f t="shared" si="11"/>
        <v>16536.552753976437</v>
      </c>
      <c r="AK64" s="28">
        <f>$AJ64/5*[1]战斗预期!C$4</f>
        <v>330731.05507952871</v>
      </c>
      <c r="AL64" s="28">
        <f>$AJ64/5*[1]战斗预期!D$4</f>
        <v>33073.105507952874</v>
      </c>
      <c r="AM64" s="28">
        <f>$AJ64/5*[1]战斗预期!E$4</f>
        <v>16536.552753976437</v>
      </c>
      <c r="AN64" s="28">
        <f>$AJ64/5*[1]战斗预期!F$4</f>
        <v>13229.242203181149</v>
      </c>
      <c r="AO64" s="28">
        <f>$AJ64/5*[1]战斗预期!G$4</f>
        <v>13229.242203181149</v>
      </c>
      <c r="AP64" s="9">
        <f t="shared" si="12"/>
        <v>16536.552753976437</v>
      </c>
    </row>
    <row r="65" spans="1:42" x14ac:dyDescent="0.15">
      <c r="A65" s="3">
        <v>80</v>
      </c>
      <c r="B65" s="8">
        <f>宠物成长!G21</f>
        <v>5</v>
      </c>
      <c r="C65" s="8">
        <f>宠物成长!H21</f>
        <v>4</v>
      </c>
      <c r="D65" s="8">
        <f>宠物成长!I21</f>
        <v>48.723055145764448</v>
      </c>
      <c r="E65" s="8">
        <f>宠物成长!J21</f>
        <v>8</v>
      </c>
      <c r="F65" s="8">
        <f>宠物成长!K21</f>
        <v>2923.383308745867</v>
      </c>
      <c r="I65" s="27">
        <v>58</v>
      </c>
      <c r="J65" s="27">
        <f>[1]属性成长!$D65</f>
        <v>290</v>
      </c>
      <c r="K65" s="4">
        <v>58</v>
      </c>
      <c r="L65" s="4">
        <f t="shared" si="16"/>
        <v>55</v>
      </c>
      <c r="M65" s="4">
        <v>4</v>
      </c>
      <c r="N65" s="4">
        <v>58</v>
      </c>
      <c r="O65" s="4">
        <v>55</v>
      </c>
      <c r="P65" s="4">
        <v>4</v>
      </c>
      <c r="Q65" s="4">
        <v>1</v>
      </c>
      <c r="R65" s="4">
        <v>1</v>
      </c>
      <c r="S65" s="4">
        <v>0</v>
      </c>
      <c r="T65" s="4">
        <v>5</v>
      </c>
      <c r="U65" s="4">
        <v>28</v>
      </c>
      <c r="V65" s="4">
        <v>0</v>
      </c>
      <c r="W65" s="4">
        <v>6</v>
      </c>
      <c r="X65" s="5">
        <f t="shared" si="19"/>
        <v>0.25</v>
      </c>
      <c r="Y65" s="5">
        <f t="shared" si="21"/>
        <v>0.25</v>
      </c>
      <c r="Z65" s="13">
        <f t="shared" si="4"/>
        <v>3597.861508925339</v>
      </c>
      <c r="AA65" s="13">
        <f t="shared" si="5"/>
        <v>3101.6472607369528</v>
      </c>
      <c r="AB65" s="13">
        <f t="shared" si="6"/>
        <v>12</v>
      </c>
      <c r="AC65" s="13">
        <f t="shared" si="17"/>
        <v>2892.0888888888894</v>
      </c>
      <c r="AD65" s="13">
        <f t="shared" si="7"/>
        <v>0</v>
      </c>
      <c r="AE65" s="28">
        <f t="shared" si="8"/>
        <v>9603.5976585511817</v>
      </c>
      <c r="AF65" s="79">
        <f>INDEX(宠物缘分!$G$30:$G$34,MATCH(M65,宠物缘分!$B$30:$B$34,0),1)*IF(W65=2,1/4,IF(W65=3,1/2,IF(W65=4,3/4,IF(W65&gt;4,1,0))))/5</f>
        <v>0.152</v>
      </c>
      <c r="AG65" s="79">
        <f t="shared" si="18"/>
        <v>0.5</v>
      </c>
      <c r="AH65" s="6">
        <f t="shared" si="9"/>
        <v>1459.7468440997795</v>
      </c>
      <c r="AI65" s="6">
        <f t="shared" si="10"/>
        <v>4801.7988292755908</v>
      </c>
      <c r="AJ65" s="28">
        <f t="shared" si="11"/>
        <v>16595.016753976441</v>
      </c>
      <c r="AK65" s="28">
        <f>$AJ65/5*[1]战斗预期!C$4</f>
        <v>331900.3350795288</v>
      </c>
      <c r="AL65" s="28">
        <f>$AJ65/5*[1]战斗预期!D$4</f>
        <v>33190.033507952881</v>
      </c>
      <c r="AM65" s="28">
        <f>$AJ65/5*[1]战斗预期!E$4</f>
        <v>16595.016753976441</v>
      </c>
      <c r="AN65" s="28">
        <f>$AJ65/5*[1]战斗预期!F$4</f>
        <v>13276.013403181152</v>
      </c>
      <c r="AO65" s="28">
        <f>$AJ65/5*[1]战斗预期!G$4</f>
        <v>13276.013403181152</v>
      </c>
      <c r="AP65" s="9">
        <f t="shared" si="12"/>
        <v>16595.016753976441</v>
      </c>
    </row>
    <row r="66" spans="1:42" x14ac:dyDescent="0.15">
      <c r="A66" s="3">
        <v>85</v>
      </c>
      <c r="B66" s="8">
        <f>宠物成长!G22</f>
        <v>5.25</v>
      </c>
      <c r="C66" s="8">
        <f>宠物成长!H22</f>
        <v>4.25</v>
      </c>
      <c r="D66" s="8">
        <f>宠物成长!I22</f>
        <v>52.619159041868343</v>
      </c>
      <c r="E66" s="8">
        <f>宠物成长!J22</f>
        <v>8.5</v>
      </c>
      <c r="F66" s="8">
        <f>宠物成长!K22</f>
        <v>3157.1495425121007</v>
      </c>
      <c r="I66" s="27">
        <v>59</v>
      </c>
      <c r="J66" s="27">
        <f>[1]属性成长!$D66</f>
        <v>295</v>
      </c>
      <c r="K66" s="4">
        <v>59</v>
      </c>
      <c r="L66" s="4">
        <f t="shared" si="16"/>
        <v>55</v>
      </c>
      <c r="M66" s="4">
        <v>4</v>
      </c>
      <c r="N66" s="4">
        <v>59</v>
      </c>
      <c r="O66" s="4">
        <v>55</v>
      </c>
      <c r="P66" s="4">
        <v>4</v>
      </c>
      <c r="Q66" s="4">
        <v>1</v>
      </c>
      <c r="R66" s="4">
        <v>1</v>
      </c>
      <c r="S66" s="4">
        <v>0</v>
      </c>
      <c r="T66" s="4">
        <v>5</v>
      </c>
      <c r="U66" s="4">
        <v>28</v>
      </c>
      <c r="V66" s="4">
        <v>0</v>
      </c>
      <c r="W66" s="4">
        <v>6</v>
      </c>
      <c r="X66" s="5">
        <f t="shared" si="19"/>
        <v>0.25</v>
      </c>
      <c r="Y66" s="5">
        <f t="shared" si="21"/>
        <v>0.25</v>
      </c>
      <c r="Z66" s="13">
        <f t="shared" si="4"/>
        <v>3608.361508925339</v>
      </c>
      <c r="AA66" s="13">
        <f t="shared" si="5"/>
        <v>3124.9805940702863</v>
      </c>
      <c r="AB66" s="13">
        <f t="shared" si="6"/>
        <v>12</v>
      </c>
      <c r="AC66" s="13">
        <f t="shared" si="17"/>
        <v>2892.0888888888894</v>
      </c>
      <c r="AD66" s="13">
        <f t="shared" si="7"/>
        <v>0</v>
      </c>
      <c r="AE66" s="28">
        <f t="shared" si="8"/>
        <v>9637.4309918845138</v>
      </c>
      <c r="AF66" s="79">
        <f>INDEX(宠物缘分!$G$30:$G$34,MATCH(M66,宠物缘分!$B$30:$B$34,0),1)*IF(W66=2,1/4,IF(W66=3,1/2,IF(W66=4,3/4,IF(W66&gt;4,1,0))))/5</f>
        <v>0.152</v>
      </c>
      <c r="AG66" s="79">
        <f t="shared" si="18"/>
        <v>0.5</v>
      </c>
      <c r="AH66" s="6">
        <f t="shared" si="9"/>
        <v>1464.8895107664462</v>
      </c>
      <c r="AI66" s="6">
        <f t="shared" si="10"/>
        <v>4818.7154959422569</v>
      </c>
      <c r="AJ66" s="28">
        <f t="shared" si="11"/>
        <v>16653.480753976437</v>
      </c>
      <c r="AK66" s="28">
        <f>$AJ66/5*[1]战斗预期!C$4</f>
        <v>333069.61507952877</v>
      </c>
      <c r="AL66" s="28">
        <f>$AJ66/5*[1]战斗预期!D$4</f>
        <v>33306.961507952874</v>
      </c>
      <c r="AM66" s="28">
        <f>$AJ66/5*[1]战斗预期!E$4</f>
        <v>16653.480753976437</v>
      </c>
      <c r="AN66" s="28">
        <f>$AJ66/5*[1]战斗预期!F$4</f>
        <v>13322.78460318115</v>
      </c>
      <c r="AO66" s="28">
        <f>$AJ66/5*[1]战斗预期!G$4</f>
        <v>13322.78460318115</v>
      </c>
      <c r="AP66" s="9">
        <f t="shared" si="12"/>
        <v>16653.480753976437</v>
      </c>
    </row>
    <row r="67" spans="1:42" x14ac:dyDescent="0.15">
      <c r="A67" s="3">
        <v>90</v>
      </c>
      <c r="B67" s="8">
        <f>宠物成长!G23</f>
        <v>5.5</v>
      </c>
      <c r="C67" s="8">
        <f>宠物成长!H23</f>
        <v>4.5</v>
      </c>
      <c r="D67" s="8">
        <f>宠物成长!I23</f>
        <v>56.521598066258591</v>
      </c>
      <c r="E67" s="8">
        <f>宠物成长!J23</f>
        <v>9</v>
      </c>
      <c r="F67" s="8">
        <f>宠物成长!K23</f>
        <v>3391.2958839755156</v>
      </c>
      <c r="I67" s="27">
        <v>60</v>
      </c>
      <c r="J67" s="27">
        <f>[1]属性成长!$D67</f>
        <v>300</v>
      </c>
      <c r="K67" s="4">
        <v>60</v>
      </c>
      <c r="L67" s="4">
        <f t="shared" si="16"/>
        <v>60</v>
      </c>
      <c r="M67" s="4">
        <v>5</v>
      </c>
      <c r="N67" s="4">
        <v>60</v>
      </c>
      <c r="O67" s="4">
        <v>60</v>
      </c>
      <c r="P67" s="4">
        <v>5</v>
      </c>
      <c r="Q67" s="4">
        <v>1</v>
      </c>
      <c r="R67" s="4">
        <v>1</v>
      </c>
      <c r="S67" s="4">
        <v>0</v>
      </c>
      <c r="T67" s="4">
        <v>6</v>
      </c>
      <c r="U67" s="4">
        <v>28</v>
      </c>
      <c r="V67" s="4">
        <v>0</v>
      </c>
      <c r="W67" s="4">
        <v>6</v>
      </c>
      <c r="X67" s="5">
        <f t="shared" si="19"/>
        <v>0.25</v>
      </c>
      <c r="Y67" s="5">
        <f t="shared" si="21"/>
        <v>0.25</v>
      </c>
      <c r="Z67" s="13">
        <f t="shared" si="4"/>
        <v>4379.8230473868771</v>
      </c>
      <c r="AA67" s="13">
        <f t="shared" si="5"/>
        <v>3708.0575171472096</v>
      </c>
      <c r="AB67" s="13">
        <f t="shared" si="6"/>
        <v>12</v>
      </c>
      <c r="AC67" s="13">
        <f t="shared" si="17"/>
        <v>4355.5555555555557</v>
      </c>
      <c r="AD67" s="13">
        <f t="shared" si="7"/>
        <v>0</v>
      </c>
      <c r="AE67" s="28">
        <f t="shared" si="8"/>
        <v>12455.436120089642</v>
      </c>
      <c r="AF67" s="79">
        <f>INDEX(宠物缘分!$G$30:$G$34,MATCH(M67,宠物缘分!$B$30:$B$34,0),1)*IF(W67=2,1/4,IF(W67=3,1/2,IF(W67=4,3/4,IF(W67&gt;4,1,0))))/5</f>
        <v>0.18</v>
      </c>
      <c r="AG67" s="79">
        <f t="shared" si="18"/>
        <v>0.5</v>
      </c>
      <c r="AH67" s="6">
        <f t="shared" si="9"/>
        <v>2241.9785016161354</v>
      </c>
      <c r="AI67" s="6">
        <f t="shared" si="10"/>
        <v>6227.718060044821</v>
      </c>
      <c r="AJ67" s="28">
        <f t="shared" si="11"/>
        <v>22046.121932558664</v>
      </c>
      <c r="AK67" s="28">
        <f>$AJ67/5*[1]战斗预期!C$4</f>
        <v>440922.43865117326</v>
      </c>
      <c r="AL67" s="28">
        <f>$AJ67/5*[1]战斗预期!D$4</f>
        <v>44092.243865117329</v>
      </c>
      <c r="AM67" s="28">
        <f>$AJ67/5*[1]战斗预期!E$4</f>
        <v>22046.121932558664</v>
      </c>
      <c r="AN67" s="28">
        <f>$AJ67/5*[1]战斗预期!F$4</f>
        <v>17636.89754604693</v>
      </c>
      <c r="AO67" s="28">
        <f>$AJ67/5*[1]战斗预期!G$4</f>
        <v>17636.89754604693</v>
      </c>
      <c r="AP67" s="9">
        <f t="shared" si="12"/>
        <v>22046.121932558664</v>
      </c>
    </row>
    <row r="68" spans="1:42" x14ac:dyDescent="0.15">
      <c r="A68" s="3">
        <v>95</v>
      </c>
      <c r="B68" s="8">
        <f>宠物成长!G24</f>
        <v>5.75</v>
      </c>
      <c r="C68" s="8">
        <f>宠物成长!H24</f>
        <v>4.75</v>
      </c>
      <c r="D68" s="8">
        <f>宠物成长!I24</f>
        <v>60.429644043270088</v>
      </c>
      <c r="E68" s="8">
        <f>宠物成长!J24</f>
        <v>9.5</v>
      </c>
      <c r="F68" s="8">
        <f>宠物成长!K24</f>
        <v>3625.7786425962054</v>
      </c>
      <c r="I68" s="27">
        <v>61</v>
      </c>
      <c r="J68" s="27">
        <f>[1]属性成长!$D68</f>
        <v>305</v>
      </c>
      <c r="K68" s="4">
        <v>61</v>
      </c>
      <c r="L68" s="4">
        <f t="shared" si="16"/>
        <v>60</v>
      </c>
      <c r="M68" s="4">
        <v>5</v>
      </c>
      <c r="N68" s="4">
        <v>61</v>
      </c>
      <c r="O68" s="4">
        <v>60</v>
      </c>
      <c r="P68" s="4">
        <v>5</v>
      </c>
      <c r="Q68" s="4">
        <v>1</v>
      </c>
      <c r="R68" s="4">
        <v>1</v>
      </c>
      <c r="S68" s="4">
        <v>0</v>
      </c>
      <c r="T68" s="4">
        <v>6</v>
      </c>
      <c r="U68" s="4">
        <v>28</v>
      </c>
      <c r="V68" s="4">
        <v>0</v>
      </c>
      <c r="W68" s="4">
        <v>6</v>
      </c>
      <c r="X68" s="5">
        <f t="shared" si="19"/>
        <v>0.25</v>
      </c>
      <c r="Y68" s="5">
        <f t="shared" si="21"/>
        <v>0.25</v>
      </c>
      <c r="Z68" s="13">
        <f t="shared" si="4"/>
        <v>4391.8230473868771</v>
      </c>
      <c r="AA68" s="13">
        <f t="shared" si="5"/>
        <v>3734.7241838138762</v>
      </c>
      <c r="AB68" s="13">
        <f t="shared" si="6"/>
        <v>12</v>
      </c>
      <c r="AC68" s="13">
        <f t="shared" si="17"/>
        <v>4355.5555555555557</v>
      </c>
      <c r="AD68" s="13">
        <f t="shared" si="7"/>
        <v>0</v>
      </c>
      <c r="AE68" s="28">
        <f t="shared" si="8"/>
        <v>12494.10278675631</v>
      </c>
      <c r="AF68" s="79">
        <f>INDEX(宠物缘分!$G$30:$G$34,MATCH(M68,宠物缘分!$B$30:$B$34,0),1)*IF(W68=2,1/4,IF(W68=3,1/2,IF(W68=4,3/4,IF(W68&gt;4,1,0))))/5</f>
        <v>0.18</v>
      </c>
      <c r="AG68" s="79">
        <f t="shared" si="18"/>
        <v>0.5</v>
      </c>
      <c r="AH68" s="6">
        <f t="shared" si="9"/>
        <v>2248.9385016161355</v>
      </c>
      <c r="AI68" s="6">
        <f t="shared" si="10"/>
        <v>6247.0513933781549</v>
      </c>
      <c r="AJ68" s="28">
        <f t="shared" si="11"/>
        <v>22114.561932558667</v>
      </c>
      <c r="AK68" s="28">
        <f>$AJ68/5*[1]战斗预期!C$4</f>
        <v>442291.23865117336</v>
      </c>
      <c r="AL68" s="28">
        <f>$AJ68/5*[1]战斗预期!D$4</f>
        <v>44229.123865117333</v>
      </c>
      <c r="AM68" s="28">
        <f>$AJ68/5*[1]战斗预期!E$4</f>
        <v>22114.561932558667</v>
      </c>
      <c r="AN68" s="28">
        <f>$AJ68/5*[1]战斗预期!F$4</f>
        <v>17691.649546046934</v>
      </c>
      <c r="AO68" s="28">
        <f>$AJ68/5*[1]战斗预期!G$4</f>
        <v>17691.649546046934</v>
      </c>
      <c r="AP68" s="9">
        <f t="shared" si="12"/>
        <v>22114.561932558667</v>
      </c>
    </row>
    <row r="69" spans="1:42" x14ac:dyDescent="0.15">
      <c r="A69" s="3">
        <v>100</v>
      </c>
      <c r="B69" s="8">
        <f>宠物成长!G25</f>
        <v>6</v>
      </c>
      <c r="C69" s="8">
        <f>宠物成长!H25</f>
        <v>5</v>
      </c>
      <c r="D69" s="8">
        <f>宠物成长!I25</f>
        <v>64.342687521530962</v>
      </c>
      <c r="E69" s="8">
        <f>宠物成长!J25</f>
        <v>10</v>
      </c>
      <c r="F69" s="8">
        <f>宠物成长!K25</f>
        <v>3860.5612512918578</v>
      </c>
      <c r="I69" s="27">
        <v>62</v>
      </c>
      <c r="J69" s="27">
        <f>[1]属性成长!$D69</f>
        <v>310</v>
      </c>
      <c r="K69" s="4">
        <v>62</v>
      </c>
      <c r="L69" s="4">
        <f t="shared" si="16"/>
        <v>60</v>
      </c>
      <c r="M69" s="4">
        <v>5</v>
      </c>
      <c r="N69" s="4">
        <v>62</v>
      </c>
      <c r="O69" s="4">
        <v>60</v>
      </c>
      <c r="P69" s="4">
        <v>5</v>
      </c>
      <c r="Q69" s="4">
        <v>1</v>
      </c>
      <c r="R69" s="4">
        <v>1</v>
      </c>
      <c r="S69" s="4">
        <v>0</v>
      </c>
      <c r="T69" s="4">
        <v>6</v>
      </c>
      <c r="U69" s="4">
        <v>28</v>
      </c>
      <c r="V69" s="4">
        <v>0</v>
      </c>
      <c r="W69" s="4">
        <v>6</v>
      </c>
      <c r="X69" s="5">
        <f t="shared" si="19"/>
        <v>0.25</v>
      </c>
      <c r="Y69" s="5">
        <f t="shared" si="21"/>
        <v>0.25</v>
      </c>
      <c r="Z69" s="13">
        <f t="shared" si="4"/>
        <v>4403.8230473868771</v>
      </c>
      <c r="AA69" s="13">
        <f t="shared" si="5"/>
        <v>3761.3908504805431</v>
      </c>
      <c r="AB69" s="13">
        <f t="shared" si="6"/>
        <v>12</v>
      </c>
      <c r="AC69" s="13">
        <f t="shared" si="17"/>
        <v>4355.5555555555557</v>
      </c>
      <c r="AD69" s="13">
        <f t="shared" si="7"/>
        <v>0</v>
      </c>
      <c r="AE69" s="28">
        <f t="shared" si="8"/>
        <v>12532.769453422976</v>
      </c>
      <c r="AF69" s="79">
        <f>INDEX(宠物缘分!$G$30:$G$34,MATCH(M69,宠物缘分!$B$30:$B$34,0),1)*IF(W69=2,1/4,IF(W69=3,1/2,IF(W69=4,3/4,IF(W69&gt;4,1,0))))/5</f>
        <v>0.18</v>
      </c>
      <c r="AG69" s="79">
        <f t="shared" si="18"/>
        <v>0.5</v>
      </c>
      <c r="AH69" s="6">
        <f t="shared" si="9"/>
        <v>2255.8985016161355</v>
      </c>
      <c r="AI69" s="6">
        <f t="shared" si="10"/>
        <v>6266.3847267114879</v>
      </c>
      <c r="AJ69" s="28">
        <f t="shared" si="11"/>
        <v>22183.001932558665</v>
      </c>
      <c r="AK69" s="28">
        <f>$AJ69/5*[1]战斗预期!C$4</f>
        <v>443660.03865117329</v>
      </c>
      <c r="AL69" s="28">
        <f>$AJ69/5*[1]战斗预期!D$4</f>
        <v>44366.003865117324</v>
      </c>
      <c r="AM69" s="28">
        <f>$AJ69/5*[1]战斗预期!E$4</f>
        <v>22183.001932558662</v>
      </c>
      <c r="AN69" s="28">
        <f>$AJ69/5*[1]战斗预期!F$4</f>
        <v>17746.401546046931</v>
      </c>
      <c r="AO69" s="28">
        <f>$AJ69/5*[1]战斗预期!G$4</f>
        <v>17746.401546046931</v>
      </c>
      <c r="AP69" s="9">
        <f t="shared" si="12"/>
        <v>22183.001932558665</v>
      </c>
    </row>
    <row r="70" spans="1:42" x14ac:dyDescent="0.15">
      <c r="I70" s="27">
        <v>63</v>
      </c>
      <c r="J70" s="27">
        <f>[1]属性成长!$D70</f>
        <v>315</v>
      </c>
      <c r="K70" s="4">
        <v>63</v>
      </c>
      <c r="L70" s="4">
        <f t="shared" si="16"/>
        <v>60</v>
      </c>
      <c r="M70" s="4">
        <v>5</v>
      </c>
      <c r="N70" s="4">
        <v>63</v>
      </c>
      <c r="O70" s="4">
        <v>60</v>
      </c>
      <c r="P70" s="4">
        <v>5</v>
      </c>
      <c r="Q70" s="4">
        <v>1</v>
      </c>
      <c r="R70" s="4">
        <v>1</v>
      </c>
      <c r="S70" s="4">
        <v>0</v>
      </c>
      <c r="T70" s="4">
        <v>6</v>
      </c>
      <c r="U70" s="4">
        <v>28</v>
      </c>
      <c r="V70" s="4">
        <v>0</v>
      </c>
      <c r="W70" s="4">
        <v>6</v>
      </c>
      <c r="X70" s="5">
        <f t="shared" si="19"/>
        <v>0.25</v>
      </c>
      <c r="Y70" s="5">
        <f t="shared" si="21"/>
        <v>0.25</v>
      </c>
      <c r="Z70" s="13">
        <f t="shared" si="4"/>
        <v>4415.8230473868771</v>
      </c>
      <c r="AA70" s="13">
        <f t="shared" si="5"/>
        <v>3788.0575171472096</v>
      </c>
      <c r="AB70" s="13">
        <f t="shared" si="6"/>
        <v>12</v>
      </c>
      <c r="AC70" s="13">
        <f t="shared" si="17"/>
        <v>4355.5555555555557</v>
      </c>
      <c r="AD70" s="13">
        <f t="shared" si="7"/>
        <v>0</v>
      </c>
      <c r="AE70" s="28">
        <f t="shared" si="8"/>
        <v>12571.436120089642</v>
      </c>
      <c r="AF70" s="79">
        <f>INDEX(宠物缘分!$G$30:$G$34,MATCH(M70,宠物缘分!$B$30:$B$34,0),1)*IF(W70=2,1/4,IF(W70=3,1/2,IF(W70=4,3/4,IF(W70&gt;4,1,0))))/5</f>
        <v>0.18</v>
      </c>
      <c r="AG70" s="79">
        <f t="shared" si="18"/>
        <v>0.5</v>
      </c>
      <c r="AH70" s="6">
        <f t="shared" si="9"/>
        <v>2262.8585016161355</v>
      </c>
      <c r="AI70" s="6">
        <f t="shared" si="10"/>
        <v>6285.718060044821</v>
      </c>
      <c r="AJ70" s="28">
        <f t="shared" si="11"/>
        <v>22251.441932558664</v>
      </c>
      <c r="AK70" s="28">
        <f>$AJ70/5*[1]战斗预期!C$4</f>
        <v>445028.83865117328</v>
      </c>
      <c r="AL70" s="28">
        <f>$AJ70/5*[1]战斗预期!D$4</f>
        <v>44502.883865117328</v>
      </c>
      <c r="AM70" s="28">
        <f>$AJ70/5*[1]战斗预期!E$4</f>
        <v>22251.441932558664</v>
      </c>
      <c r="AN70" s="28">
        <f>$AJ70/5*[1]战斗预期!F$4</f>
        <v>17801.153546046931</v>
      </c>
      <c r="AO70" s="28">
        <f>$AJ70/5*[1]战斗预期!G$4</f>
        <v>17801.153546046931</v>
      </c>
      <c r="AP70" s="9">
        <f t="shared" si="12"/>
        <v>22251.441932558664</v>
      </c>
    </row>
    <row r="71" spans="1:42" x14ac:dyDescent="0.15">
      <c r="A71" s="3" t="s">
        <v>138</v>
      </c>
      <c r="B71" s="3" t="s">
        <v>257</v>
      </c>
      <c r="C71" s="3" t="s">
        <v>259</v>
      </c>
      <c r="D71" s="3" t="s">
        <v>139</v>
      </c>
      <c r="I71" s="27">
        <v>64</v>
      </c>
      <c r="J71" s="27">
        <f>[1]属性成长!$D71</f>
        <v>320</v>
      </c>
      <c r="K71" s="4">
        <v>64</v>
      </c>
      <c r="L71" s="4">
        <f t="shared" si="16"/>
        <v>60</v>
      </c>
      <c r="M71" s="4">
        <v>5</v>
      </c>
      <c r="N71" s="4">
        <v>64</v>
      </c>
      <c r="O71" s="4">
        <v>60</v>
      </c>
      <c r="P71" s="4">
        <v>5</v>
      </c>
      <c r="Q71" s="4">
        <v>1</v>
      </c>
      <c r="R71" s="4">
        <v>1</v>
      </c>
      <c r="S71" s="4">
        <v>0</v>
      </c>
      <c r="T71" s="4">
        <v>6</v>
      </c>
      <c r="U71" s="4">
        <v>28</v>
      </c>
      <c r="V71" s="4">
        <v>0</v>
      </c>
      <c r="W71" s="4">
        <v>6</v>
      </c>
      <c r="X71" s="5">
        <f t="shared" si="19"/>
        <v>0.25</v>
      </c>
      <c r="Y71" s="5">
        <f t="shared" si="21"/>
        <v>0.25</v>
      </c>
      <c r="Z71" s="13">
        <f t="shared" si="4"/>
        <v>4427.8230473868771</v>
      </c>
      <c r="AA71" s="13">
        <f t="shared" si="5"/>
        <v>3814.7241838138762</v>
      </c>
      <c r="AB71" s="13">
        <f t="shared" si="6"/>
        <v>12</v>
      </c>
      <c r="AC71" s="13">
        <f t="shared" si="17"/>
        <v>4355.5555555555557</v>
      </c>
      <c r="AD71" s="13">
        <f t="shared" si="7"/>
        <v>0</v>
      </c>
      <c r="AE71" s="28">
        <f t="shared" si="8"/>
        <v>12610.10278675631</v>
      </c>
      <c r="AF71" s="79">
        <f>INDEX(宠物缘分!$G$30:$G$34,MATCH(M71,宠物缘分!$B$30:$B$34,0),1)*IF(W71=2,1/4,IF(W71=3,1/2,IF(W71=4,3/4,IF(W71&gt;4,1,0))))/5</f>
        <v>0.18</v>
      </c>
      <c r="AG71" s="79">
        <f t="shared" si="18"/>
        <v>0.5</v>
      </c>
      <c r="AH71" s="6">
        <f t="shared" si="9"/>
        <v>2269.8185016161356</v>
      </c>
      <c r="AI71" s="6">
        <f t="shared" si="10"/>
        <v>6305.0513933781549</v>
      </c>
      <c r="AJ71" s="28">
        <f t="shared" si="11"/>
        <v>22319.881932558666</v>
      </c>
      <c r="AK71" s="28">
        <f>$AJ71/5*[1]战斗预期!C$4</f>
        <v>446397.63865117327</v>
      </c>
      <c r="AL71" s="28">
        <f>$AJ71/5*[1]战斗预期!D$4</f>
        <v>44639.763865117333</v>
      </c>
      <c r="AM71" s="28">
        <f>$AJ71/5*[1]战斗预期!E$4</f>
        <v>22319.881932558666</v>
      </c>
      <c r="AN71" s="28">
        <f>$AJ71/5*[1]战斗预期!F$4</f>
        <v>17855.905546046932</v>
      </c>
      <c r="AO71" s="28">
        <f>$AJ71/5*[1]战斗预期!G$4</f>
        <v>17855.905546046932</v>
      </c>
    </row>
    <row r="72" spans="1:42" x14ac:dyDescent="0.15">
      <c r="A72" s="3">
        <v>1</v>
      </c>
      <c r="B72" s="3">
        <f>宠物成长!P5</f>
        <v>0</v>
      </c>
      <c r="C72" s="3">
        <f>宠物成长!Q5</f>
        <v>0</v>
      </c>
      <c r="D72" s="3">
        <f>宠物成长!R5</f>
        <v>0</v>
      </c>
      <c r="I72" s="27">
        <v>65</v>
      </c>
      <c r="J72" s="27">
        <f>[1]属性成长!$D72</f>
        <v>325</v>
      </c>
      <c r="K72" s="4">
        <v>65</v>
      </c>
      <c r="L72" s="4">
        <f t="shared" ref="L72:L103" si="22">INDEX($A$49:$A$69,MATCH(K72,$A$49:$A$69,1),1)</f>
        <v>65</v>
      </c>
      <c r="M72" s="4">
        <v>5</v>
      </c>
      <c r="N72" s="4">
        <v>65</v>
      </c>
      <c r="O72" s="4">
        <v>65</v>
      </c>
      <c r="P72" s="4">
        <v>5</v>
      </c>
      <c r="Q72" s="4">
        <v>1</v>
      </c>
      <c r="R72" s="4">
        <v>1</v>
      </c>
      <c r="S72" s="4">
        <v>0</v>
      </c>
      <c r="T72" s="4">
        <v>7</v>
      </c>
      <c r="U72" s="4">
        <v>28</v>
      </c>
      <c r="V72" s="4">
        <v>0</v>
      </c>
      <c r="W72" s="4">
        <v>6</v>
      </c>
      <c r="X72" s="5">
        <f t="shared" si="19"/>
        <v>0.25</v>
      </c>
      <c r="Y72" s="5">
        <f t="shared" si="21"/>
        <v>0.25</v>
      </c>
      <c r="Z72" s="13">
        <f t="shared" si="4"/>
        <v>4711.1212930009115</v>
      </c>
      <c r="AA72" s="13">
        <f t="shared" si="5"/>
        <v>4035.9241214794515</v>
      </c>
      <c r="AB72" s="13">
        <f t="shared" si="6"/>
        <v>12</v>
      </c>
      <c r="AC72" s="13">
        <f t="shared" ref="AC72:AC107" si="23">VLOOKUP(T72,$A$37:$C$46,3,FALSE)*U72</f>
        <v>6272</v>
      </c>
      <c r="AD72" s="13">
        <f t="shared" si="7"/>
        <v>0</v>
      </c>
      <c r="AE72" s="28">
        <f t="shared" si="8"/>
        <v>15031.045414480363</v>
      </c>
      <c r="AF72" s="79">
        <f>INDEX(宠物缘分!$G$30:$G$34,MATCH(M72,宠物缘分!$B$30:$B$34,0),1)*IF(W72=2,1/4,IF(W72=3,1/2,IF(W72=4,3/4,IF(W72&gt;4,1,0))))/5</f>
        <v>0.18</v>
      </c>
      <c r="AG72" s="79">
        <f t="shared" ref="AG72:AG107" si="24">SUM(X72:Y72)</f>
        <v>0.5</v>
      </c>
      <c r="AH72" s="6">
        <f t="shared" si="9"/>
        <v>2705.5881746064651</v>
      </c>
      <c r="AI72" s="6">
        <f t="shared" si="10"/>
        <v>7515.5227072401813</v>
      </c>
      <c r="AJ72" s="28">
        <f t="shared" si="11"/>
        <v>26604.950383630243</v>
      </c>
      <c r="AK72" s="28">
        <f>$AJ72/5*[1]战斗预期!C$4</f>
        <v>532099.00767260487</v>
      </c>
      <c r="AL72" s="28">
        <f>$AJ72/5*[1]战斗预期!D$4</f>
        <v>53209.900767260486</v>
      </c>
      <c r="AM72" s="28">
        <f>$AJ72/5*[1]战斗预期!E$4</f>
        <v>26604.950383630243</v>
      </c>
      <c r="AN72" s="28">
        <f>$AJ72/5*[1]战斗预期!F$4</f>
        <v>21283.960306904195</v>
      </c>
      <c r="AO72" s="28">
        <f>$AJ72/5*[1]战斗预期!G$4</f>
        <v>21283.960306904195</v>
      </c>
    </row>
    <row r="73" spans="1:42" x14ac:dyDescent="0.15">
      <c r="A73" s="3">
        <v>2</v>
      </c>
      <c r="B73" s="3">
        <f>宠物成长!P6</f>
        <v>0.5</v>
      </c>
      <c r="C73" s="3">
        <f>宠物成长!Q6</f>
        <v>5</v>
      </c>
      <c r="D73" s="3">
        <f>宠物成长!R6</f>
        <v>1</v>
      </c>
      <c r="I73" s="27">
        <v>66</v>
      </c>
      <c r="J73" s="27">
        <f>[1]属性成长!$D73</f>
        <v>330</v>
      </c>
      <c r="K73" s="4">
        <v>66</v>
      </c>
      <c r="L73" s="4">
        <f t="shared" si="22"/>
        <v>65</v>
      </c>
      <c r="M73" s="4">
        <v>5</v>
      </c>
      <c r="N73" s="4">
        <v>66</v>
      </c>
      <c r="O73" s="4">
        <v>65</v>
      </c>
      <c r="P73" s="4">
        <v>5</v>
      </c>
      <c r="Q73" s="4">
        <v>1</v>
      </c>
      <c r="R73" s="4">
        <v>1</v>
      </c>
      <c r="S73" s="4">
        <v>0</v>
      </c>
      <c r="T73" s="4">
        <v>7</v>
      </c>
      <c r="U73" s="4">
        <v>28</v>
      </c>
      <c r="V73" s="4">
        <v>0</v>
      </c>
      <c r="W73" s="4">
        <v>6</v>
      </c>
      <c r="X73" s="5">
        <f t="shared" ref="X73:X107" si="25">$H$2</f>
        <v>0.25</v>
      </c>
      <c r="Y73" s="5">
        <f t="shared" ref="Y73:Y107" si="26">$H$3</f>
        <v>0.25</v>
      </c>
      <c r="Z73" s="13">
        <f t="shared" ref="Z73:Z107" si="27">((VLOOKUP(K73,$I$8:$J$107,2,FALSE)-J$8)*$B$3/$B$1)*(1+VLOOKUP(L73,$A$49:$F$69,3,FALSE)+VLOOKUP(M73,$A$72:$D$77,2,FALSE))+(B$2+B$3/B$1*J$8)*(1+VLOOKUP(L73,$A$49:$F$69,4,FALSE)+VLOOKUP(M73,$A$72:$D$77,3,FALSE))</f>
        <v>4723.6212930009115</v>
      </c>
      <c r="AA73" s="13">
        <f t="shared" ref="AA73:AA107" si="28">ROUND(5/9*($D$2+D$3/B$1*J$8),0)*(1+VLOOKUP(O73,$A$5:$F$25,4,FALSE)+VLOOKUP(P73,$A$28:$E$34,3,FALSE))+5/9*$D$3/$B$1*(VLOOKUP(N73,$I$8:$J$107,2,FALSE)-J$8)*(1+VLOOKUP(O73,$A$5:$F$25,3,FALSE)+VLOOKUP(P73,$A$28:$E$34,2,FALSE))</f>
        <v>4063.7018992572293</v>
      </c>
      <c r="AB73" s="13">
        <f t="shared" ref="AB73:AB107" si="29">ROUND(4/9*($D$2+D$3/B$1*J$8),0)*(1+VLOOKUP(R73,$A$5:$F$25,4,FALSE)+VLOOKUP(S73,$A$28:$E$34,3,FALSE))+4/9*$D$3/$B$1*(VLOOKUP(Q73,$I$8:$J$107,2,FALSE)-J$8)*(1+VLOOKUP(R73,$A$5:$F$25,3,FALSE)+VLOOKUP(S73,$A$28:$E$34,2,FALSE))</f>
        <v>12</v>
      </c>
      <c r="AC73" s="13">
        <f t="shared" si="23"/>
        <v>6272</v>
      </c>
      <c r="AD73" s="13">
        <f t="shared" ref="AD73:AD107" si="30">IF(V73=0,0,VLOOKUP(V73,$I$8:$J$107,2,FALSE)*$F$3/$B$1+$F$2)</f>
        <v>0</v>
      </c>
      <c r="AE73" s="28">
        <f t="shared" ref="AE73:AE107" si="31">SUM(Z73:AD73)</f>
        <v>15071.32319225814</v>
      </c>
      <c r="AF73" s="79">
        <f>INDEX(宠物缘分!$G$30:$G$34,MATCH(M73,宠物缘分!$B$30:$B$34,0),1)*IF(W73=2,1/4,IF(W73=3,1/2,IF(W73=4,3/4,IF(W73&gt;4,1,0))))/5</f>
        <v>0.18</v>
      </c>
      <c r="AG73" s="79">
        <f t="shared" si="24"/>
        <v>0.5</v>
      </c>
      <c r="AH73" s="6">
        <f t="shared" ref="AH73:AH107" si="32">SUM(Z73:AD73)*AF73</f>
        <v>2712.8381746064651</v>
      </c>
      <c r="AI73" s="6">
        <f t="shared" ref="AI73:AI107" si="33">SUM($Z73:$AD73)*AG73</f>
        <v>7535.6615961290699</v>
      </c>
      <c r="AJ73" s="28">
        <f t="shared" ref="AJ73:AJ107" si="34">SUM(Z73:AD73)*(1+AF73)*(1+AG73)</f>
        <v>26676.242050296911</v>
      </c>
      <c r="AK73" s="28">
        <f>$AJ73/5*[1]战斗预期!C$4</f>
        <v>533524.84100593824</v>
      </c>
      <c r="AL73" s="28">
        <f>$AJ73/5*[1]战斗预期!D$4</f>
        <v>53352.484100593821</v>
      </c>
      <c r="AM73" s="28">
        <f>$AJ73/5*[1]战斗预期!E$4</f>
        <v>26676.242050296911</v>
      </c>
      <c r="AN73" s="28">
        <f>$AJ73/5*[1]战斗预期!F$4</f>
        <v>21340.993640237528</v>
      </c>
      <c r="AO73" s="28">
        <f>$AJ73/5*[1]战斗预期!G$4</f>
        <v>21340.993640237528</v>
      </c>
    </row>
    <row r="74" spans="1:42" x14ac:dyDescent="0.15">
      <c r="A74" s="3">
        <v>3</v>
      </c>
      <c r="B74" s="3">
        <f>宠物成长!P7</f>
        <v>1</v>
      </c>
      <c r="C74" s="3">
        <f>宠物成长!Q7</f>
        <v>11</v>
      </c>
      <c r="D74" s="3">
        <f>宠物成长!R7</f>
        <v>2</v>
      </c>
      <c r="I74" s="27">
        <v>67</v>
      </c>
      <c r="J74" s="27">
        <f>[1]属性成长!$D74</f>
        <v>335</v>
      </c>
      <c r="K74" s="4">
        <v>67</v>
      </c>
      <c r="L74" s="4">
        <f t="shared" si="22"/>
        <v>65</v>
      </c>
      <c r="M74" s="4">
        <v>5</v>
      </c>
      <c r="N74" s="4">
        <v>67</v>
      </c>
      <c r="O74" s="4">
        <v>65</v>
      </c>
      <c r="P74" s="4">
        <v>5</v>
      </c>
      <c r="Q74" s="4">
        <v>1</v>
      </c>
      <c r="R74" s="4">
        <v>1</v>
      </c>
      <c r="S74" s="4">
        <v>0</v>
      </c>
      <c r="T74" s="4">
        <v>7</v>
      </c>
      <c r="U74" s="4">
        <v>28</v>
      </c>
      <c r="V74" s="4">
        <v>0</v>
      </c>
      <c r="W74" s="4">
        <v>6</v>
      </c>
      <c r="X74" s="5">
        <f t="shared" si="25"/>
        <v>0.25</v>
      </c>
      <c r="Y74" s="5">
        <f t="shared" si="26"/>
        <v>0.25</v>
      </c>
      <c r="Z74" s="13">
        <f t="shared" si="27"/>
        <v>4736.1212930009115</v>
      </c>
      <c r="AA74" s="13">
        <f t="shared" si="28"/>
        <v>4091.4796770350072</v>
      </c>
      <c r="AB74" s="13">
        <f t="shared" si="29"/>
        <v>12</v>
      </c>
      <c r="AC74" s="13">
        <f t="shared" si="23"/>
        <v>6272</v>
      </c>
      <c r="AD74" s="13">
        <f t="shared" si="30"/>
        <v>0</v>
      </c>
      <c r="AE74" s="28">
        <f t="shared" si="31"/>
        <v>15111.600970035919</v>
      </c>
      <c r="AF74" s="79">
        <f>INDEX(宠物缘分!$G$30:$G$34,MATCH(M74,宠物缘分!$B$30:$B$34,0),1)*IF(W74=2,1/4,IF(W74=3,1/2,IF(W74=4,3/4,IF(W74&gt;4,1,0))))/5</f>
        <v>0.18</v>
      </c>
      <c r="AG74" s="79">
        <f t="shared" si="24"/>
        <v>0.5</v>
      </c>
      <c r="AH74" s="6">
        <f t="shared" si="32"/>
        <v>2720.0881746064651</v>
      </c>
      <c r="AI74" s="6">
        <f t="shared" si="33"/>
        <v>7555.8004850179595</v>
      </c>
      <c r="AJ74" s="28">
        <f t="shared" si="34"/>
        <v>26747.533716963575</v>
      </c>
      <c r="AK74" s="28">
        <f>$AJ74/5*[1]战斗预期!C$4</f>
        <v>534950.6743392715</v>
      </c>
      <c r="AL74" s="28">
        <f>$AJ74/5*[1]战斗预期!D$4</f>
        <v>53495.06743392715</v>
      </c>
      <c r="AM74" s="28">
        <f>$AJ74/5*[1]战斗预期!E$4</f>
        <v>26747.533716963575</v>
      </c>
      <c r="AN74" s="28">
        <f>$AJ74/5*[1]战斗预期!F$4</f>
        <v>21398.026973570861</v>
      </c>
      <c r="AO74" s="28">
        <f>$AJ74/5*[1]战斗预期!G$4</f>
        <v>21398.026973570861</v>
      </c>
    </row>
    <row r="75" spans="1:42" x14ac:dyDescent="0.15">
      <c r="A75" s="3">
        <v>4</v>
      </c>
      <c r="B75" s="3">
        <f>宠物成长!P8</f>
        <v>1.5</v>
      </c>
      <c r="C75" s="3">
        <f>宠物成长!Q8</f>
        <v>18</v>
      </c>
      <c r="D75" s="3">
        <f>宠物成长!R8</f>
        <v>3</v>
      </c>
      <c r="I75" s="27">
        <v>68</v>
      </c>
      <c r="J75" s="27">
        <f>[1]属性成长!$D75</f>
        <v>340</v>
      </c>
      <c r="K75" s="4">
        <v>68</v>
      </c>
      <c r="L75" s="4">
        <f t="shared" si="22"/>
        <v>65</v>
      </c>
      <c r="M75" s="4">
        <v>5</v>
      </c>
      <c r="N75" s="4">
        <v>68</v>
      </c>
      <c r="O75" s="4">
        <v>65</v>
      </c>
      <c r="P75" s="4">
        <v>5</v>
      </c>
      <c r="Q75" s="4">
        <v>1</v>
      </c>
      <c r="R75" s="4">
        <v>1</v>
      </c>
      <c r="S75" s="4">
        <v>0</v>
      </c>
      <c r="T75" s="4">
        <v>7</v>
      </c>
      <c r="U75" s="4">
        <v>28</v>
      </c>
      <c r="V75" s="4">
        <v>0</v>
      </c>
      <c r="W75" s="4">
        <v>6</v>
      </c>
      <c r="X75" s="5">
        <f t="shared" si="25"/>
        <v>0.25</v>
      </c>
      <c r="Y75" s="5">
        <f t="shared" si="26"/>
        <v>0.25</v>
      </c>
      <c r="Z75" s="13">
        <f t="shared" si="27"/>
        <v>4748.6212930009115</v>
      </c>
      <c r="AA75" s="13">
        <f t="shared" si="28"/>
        <v>4119.257454812785</v>
      </c>
      <c r="AB75" s="13">
        <f t="shared" si="29"/>
        <v>12</v>
      </c>
      <c r="AC75" s="13">
        <f t="shared" si="23"/>
        <v>6272</v>
      </c>
      <c r="AD75" s="13">
        <f t="shared" si="30"/>
        <v>0</v>
      </c>
      <c r="AE75" s="28">
        <f t="shared" si="31"/>
        <v>15151.878747813696</v>
      </c>
      <c r="AF75" s="79">
        <f>INDEX(宠物缘分!$G$30:$G$34,MATCH(M75,宠物缘分!$B$30:$B$34,0),1)*IF(W75=2,1/4,IF(W75=3,1/2,IF(W75=4,3/4,IF(W75&gt;4,1,0))))/5</f>
        <v>0.18</v>
      </c>
      <c r="AG75" s="79">
        <f t="shared" si="24"/>
        <v>0.5</v>
      </c>
      <c r="AH75" s="6">
        <f t="shared" si="32"/>
        <v>2727.3381746064651</v>
      </c>
      <c r="AI75" s="6">
        <f t="shared" si="33"/>
        <v>7575.9393739068482</v>
      </c>
      <c r="AJ75" s="28">
        <f t="shared" si="34"/>
        <v>26818.825383630239</v>
      </c>
      <c r="AK75" s="28">
        <f>$AJ75/5*[1]战斗预期!C$4</f>
        <v>536376.50767260476</v>
      </c>
      <c r="AL75" s="28">
        <f>$AJ75/5*[1]战斗预期!D$4</f>
        <v>53637.650767260478</v>
      </c>
      <c r="AM75" s="28">
        <f>$AJ75/5*[1]战斗预期!E$4</f>
        <v>26818.825383630239</v>
      </c>
      <c r="AN75" s="28">
        <f>$AJ75/5*[1]战斗预期!F$4</f>
        <v>21455.06030690419</v>
      </c>
      <c r="AO75" s="28">
        <f>$AJ75/5*[1]战斗预期!G$4</f>
        <v>21455.06030690419</v>
      </c>
    </row>
    <row r="76" spans="1:42" x14ac:dyDescent="0.15">
      <c r="A76" s="3">
        <v>5</v>
      </c>
      <c r="B76" s="3">
        <f>宠物成长!P9</f>
        <v>2</v>
      </c>
      <c r="C76" s="3">
        <f>宠物成长!Q9</f>
        <v>25</v>
      </c>
      <c r="D76" s="3">
        <f>宠物成长!R9</f>
        <v>4</v>
      </c>
      <c r="I76" s="27">
        <v>69</v>
      </c>
      <c r="J76" s="27">
        <f>[1]属性成长!$D76</f>
        <v>345</v>
      </c>
      <c r="K76" s="4">
        <v>69</v>
      </c>
      <c r="L76" s="4">
        <f t="shared" si="22"/>
        <v>65</v>
      </c>
      <c r="M76" s="4">
        <v>5</v>
      </c>
      <c r="N76" s="4">
        <v>69</v>
      </c>
      <c r="O76" s="4">
        <v>65</v>
      </c>
      <c r="P76" s="4">
        <v>5</v>
      </c>
      <c r="Q76" s="4">
        <v>1</v>
      </c>
      <c r="R76" s="4">
        <v>1</v>
      </c>
      <c r="S76" s="4">
        <v>0</v>
      </c>
      <c r="T76" s="4">
        <v>7</v>
      </c>
      <c r="U76" s="4">
        <v>28</v>
      </c>
      <c r="V76" s="4">
        <v>0</v>
      </c>
      <c r="W76" s="4">
        <v>6</v>
      </c>
      <c r="X76" s="5">
        <f t="shared" si="25"/>
        <v>0.25</v>
      </c>
      <c r="Y76" s="5">
        <f t="shared" si="26"/>
        <v>0.25</v>
      </c>
      <c r="Z76" s="13">
        <f t="shared" si="27"/>
        <v>4761.1212930009115</v>
      </c>
      <c r="AA76" s="13">
        <f t="shared" si="28"/>
        <v>4147.0352325905624</v>
      </c>
      <c r="AB76" s="13">
        <f t="shared" si="29"/>
        <v>12</v>
      </c>
      <c r="AC76" s="13">
        <f t="shared" si="23"/>
        <v>6272</v>
      </c>
      <c r="AD76" s="13">
        <f t="shared" si="30"/>
        <v>0</v>
      </c>
      <c r="AE76" s="28">
        <f t="shared" si="31"/>
        <v>15192.156525591474</v>
      </c>
      <c r="AF76" s="79">
        <f>INDEX(宠物缘分!$G$30:$G$34,MATCH(M76,宠物缘分!$B$30:$B$34,0),1)*IF(W76=2,1/4,IF(W76=3,1/2,IF(W76=4,3/4,IF(W76&gt;4,1,0))))/5</f>
        <v>0.18</v>
      </c>
      <c r="AG76" s="79">
        <f t="shared" si="24"/>
        <v>0.5</v>
      </c>
      <c r="AH76" s="6">
        <f t="shared" si="32"/>
        <v>2734.5881746064651</v>
      </c>
      <c r="AI76" s="6">
        <f t="shared" si="33"/>
        <v>7596.0782627957369</v>
      </c>
      <c r="AJ76" s="28">
        <f t="shared" si="34"/>
        <v>26890.117050296907</v>
      </c>
      <c r="AK76" s="28">
        <f>$AJ76/5*[1]战斗预期!C$4</f>
        <v>537802.34100593813</v>
      </c>
      <c r="AL76" s="28">
        <f>$AJ76/5*[1]战斗预期!D$4</f>
        <v>53780.234100593814</v>
      </c>
      <c r="AM76" s="28">
        <f>$AJ76/5*[1]战斗预期!E$4</f>
        <v>26890.117050296907</v>
      </c>
      <c r="AN76" s="28">
        <f>$AJ76/5*[1]战斗预期!F$4</f>
        <v>21512.093640237526</v>
      </c>
      <c r="AO76" s="28">
        <f>$AJ76/5*[1]战斗预期!G$4</f>
        <v>21512.093640237526</v>
      </c>
    </row>
    <row r="77" spans="1:42" x14ac:dyDescent="0.15">
      <c r="A77" s="3">
        <v>6</v>
      </c>
      <c r="B77" s="3">
        <f>宠物成长!P10</f>
        <v>2.5</v>
      </c>
      <c r="C77" s="3">
        <f>宠物成长!Q10</f>
        <v>33</v>
      </c>
      <c r="D77" s="3">
        <f>宠物成长!R10</f>
        <v>5</v>
      </c>
      <c r="I77" s="27">
        <v>70</v>
      </c>
      <c r="J77" s="27">
        <f>[1]属性成长!$D77</f>
        <v>350</v>
      </c>
      <c r="K77" s="4">
        <v>70</v>
      </c>
      <c r="L77" s="4">
        <f t="shared" si="22"/>
        <v>70</v>
      </c>
      <c r="M77" s="4">
        <v>5</v>
      </c>
      <c r="N77" s="4">
        <v>70</v>
      </c>
      <c r="O77" s="4">
        <v>70</v>
      </c>
      <c r="P77" s="4">
        <v>5</v>
      </c>
      <c r="Q77" s="4">
        <v>1</v>
      </c>
      <c r="R77" s="4">
        <v>1</v>
      </c>
      <c r="S77" s="4">
        <v>0</v>
      </c>
      <c r="T77" s="4">
        <v>8</v>
      </c>
      <c r="U77" s="4">
        <v>28</v>
      </c>
      <c r="V77" s="4">
        <v>0</v>
      </c>
      <c r="W77" s="4">
        <v>6</v>
      </c>
      <c r="X77" s="5">
        <f t="shared" si="25"/>
        <v>0.25</v>
      </c>
      <c r="Y77" s="5">
        <f t="shared" si="26"/>
        <v>0.25</v>
      </c>
      <c r="Z77" s="13">
        <f t="shared" si="27"/>
        <v>5048.1212930009115</v>
      </c>
      <c r="AA77" s="13">
        <f t="shared" si="28"/>
        <v>4375.3506447769432</v>
      </c>
      <c r="AB77" s="13">
        <f t="shared" si="29"/>
        <v>12</v>
      </c>
      <c r="AC77" s="13">
        <f t="shared" si="23"/>
        <v>8711.1111111111113</v>
      </c>
      <c r="AD77" s="13">
        <f t="shared" si="30"/>
        <v>0</v>
      </c>
      <c r="AE77" s="28">
        <f t="shared" si="31"/>
        <v>18146.583048888966</v>
      </c>
      <c r="AF77" s="79">
        <f>INDEX(宠物缘分!$G$30:$G$34,MATCH(M77,宠物缘分!$B$30:$B$34,0),1)*IF(W77=2,1/4,IF(W77=3,1/2,IF(W77=4,3/4,IF(W77&gt;4,1,0))))/5</f>
        <v>0.18</v>
      </c>
      <c r="AG77" s="79">
        <f t="shared" si="24"/>
        <v>0.5</v>
      </c>
      <c r="AH77" s="6">
        <f t="shared" si="32"/>
        <v>3266.3849488000137</v>
      </c>
      <c r="AI77" s="6">
        <f t="shared" si="33"/>
        <v>9073.291524444483</v>
      </c>
      <c r="AJ77" s="28">
        <f t="shared" si="34"/>
        <v>32119.451996533469</v>
      </c>
      <c r="AK77" s="28">
        <f>$AJ77/5*[1]战斗预期!C$4</f>
        <v>642389.03993066947</v>
      </c>
      <c r="AL77" s="28">
        <f>$AJ77/5*[1]战斗预期!D$4</f>
        <v>64238.903993066939</v>
      </c>
      <c r="AM77" s="28">
        <f>$AJ77/5*[1]战斗预期!E$4</f>
        <v>32119.451996533469</v>
      </c>
      <c r="AN77" s="28">
        <f>$AJ77/5*[1]战斗预期!F$4</f>
        <v>25695.561597226777</v>
      </c>
      <c r="AO77" s="28">
        <f>$AJ77/5*[1]战斗预期!G$4</f>
        <v>25695.561597226777</v>
      </c>
    </row>
    <row r="78" spans="1:42" x14ac:dyDescent="0.15">
      <c r="I78" s="27">
        <v>71</v>
      </c>
      <c r="J78" s="27">
        <f>[1]属性成长!$D78</f>
        <v>355</v>
      </c>
      <c r="K78" s="4">
        <v>71</v>
      </c>
      <c r="L78" s="4">
        <f t="shared" si="22"/>
        <v>70</v>
      </c>
      <c r="M78" s="4">
        <v>5</v>
      </c>
      <c r="N78" s="4">
        <v>71</v>
      </c>
      <c r="O78" s="4">
        <v>70</v>
      </c>
      <c r="P78" s="4">
        <v>5</v>
      </c>
      <c r="Q78" s="4">
        <v>1</v>
      </c>
      <c r="R78" s="4">
        <v>1</v>
      </c>
      <c r="S78" s="4">
        <v>0</v>
      </c>
      <c r="T78" s="4">
        <v>8</v>
      </c>
      <c r="U78" s="4">
        <v>28</v>
      </c>
      <c r="V78" s="4">
        <v>0</v>
      </c>
      <c r="W78" s="4">
        <v>6</v>
      </c>
      <c r="X78" s="5">
        <f t="shared" si="25"/>
        <v>0.25</v>
      </c>
      <c r="Y78" s="5">
        <f t="shared" si="26"/>
        <v>0.25</v>
      </c>
      <c r="Z78" s="13">
        <f t="shared" si="27"/>
        <v>5061.1212930009115</v>
      </c>
      <c r="AA78" s="13">
        <f t="shared" si="28"/>
        <v>4404.2395336658319</v>
      </c>
      <c r="AB78" s="13">
        <f t="shared" si="29"/>
        <v>12</v>
      </c>
      <c r="AC78" s="13">
        <f t="shared" si="23"/>
        <v>8711.1111111111113</v>
      </c>
      <c r="AD78" s="13">
        <f t="shared" si="30"/>
        <v>0</v>
      </c>
      <c r="AE78" s="28">
        <f t="shared" si="31"/>
        <v>18188.471937777853</v>
      </c>
      <c r="AF78" s="79">
        <f>INDEX(宠物缘分!$G$30:$G$34,MATCH(M78,宠物缘分!$B$30:$B$34,0),1)*IF(W78=2,1/4,IF(W78=3,1/2,IF(W78=4,3/4,IF(W78&gt;4,1,0))))/5</f>
        <v>0.18</v>
      </c>
      <c r="AG78" s="79">
        <f t="shared" si="24"/>
        <v>0.5</v>
      </c>
      <c r="AH78" s="6">
        <f t="shared" si="32"/>
        <v>3273.9249488000132</v>
      </c>
      <c r="AI78" s="6">
        <f t="shared" si="33"/>
        <v>9094.2359688889264</v>
      </c>
      <c r="AJ78" s="28">
        <f t="shared" si="34"/>
        <v>32193.595329866799</v>
      </c>
      <c r="AK78" s="28">
        <f>$AJ78/5*[1]战斗预期!C$4</f>
        <v>643871.90659733594</v>
      </c>
      <c r="AL78" s="28">
        <f>$AJ78/5*[1]战斗预期!D$4</f>
        <v>64387.190659733598</v>
      </c>
      <c r="AM78" s="28">
        <f>$AJ78/5*[1]战斗预期!E$4</f>
        <v>32193.595329866799</v>
      </c>
      <c r="AN78" s="28">
        <f>$AJ78/5*[1]战斗预期!F$4</f>
        <v>25754.876263893439</v>
      </c>
      <c r="AO78" s="28">
        <f>$AJ78/5*[1]战斗预期!G$4</f>
        <v>25754.876263893439</v>
      </c>
    </row>
    <row r="79" spans="1:42" x14ac:dyDescent="0.15">
      <c r="I79" s="27">
        <v>72</v>
      </c>
      <c r="J79" s="27">
        <f>[1]属性成长!$D79</f>
        <v>360</v>
      </c>
      <c r="K79" s="4">
        <v>72</v>
      </c>
      <c r="L79" s="4">
        <f t="shared" si="22"/>
        <v>70</v>
      </c>
      <c r="M79" s="4">
        <v>5</v>
      </c>
      <c r="N79" s="4">
        <v>72</v>
      </c>
      <c r="O79" s="4">
        <v>70</v>
      </c>
      <c r="P79" s="4">
        <v>5</v>
      </c>
      <c r="Q79" s="4">
        <v>1</v>
      </c>
      <c r="R79" s="4">
        <v>1</v>
      </c>
      <c r="S79" s="4">
        <v>0</v>
      </c>
      <c r="T79" s="4">
        <v>8</v>
      </c>
      <c r="U79" s="4">
        <v>28</v>
      </c>
      <c r="V79" s="4">
        <v>0</v>
      </c>
      <c r="W79" s="4">
        <v>6</v>
      </c>
      <c r="X79" s="5">
        <f t="shared" si="25"/>
        <v>0.25</v>
      </c>
      <c r="Y79" s="5">
        <f t="shared" si="26"/>
        <v>0.25</v>
      </c>
      <c r="Z79" s="13">
        <f t="shared" si="27"/>
        <v>5074.1212930009115</v>
      </c>
      <c r="AA79" s="13">
        <f t="shared" si="28"/>
        <v>4433.1284225547206</v>
      </c>
      <c r="AB79" s="13">
        <f t="shared" si="29"/>
        <v>12</v>
      </c>
      <c r="AC79" s="13">
        <f t="shared" si="23"/>
        <v>8711.1111111111113</v>
      </c>
      <c r="AD79" s="13">
        <f t="shared" si="30"/>
        <v>0</v>
      </c>
      <c r="AE79" s="28">
        <f t="shared" si="31"/>
        <v>18230.360826666743</v>
      </c>
      <c r="AF79" s="79">
        <f>INDEX(宠物缘分!$G$30:$G$34,MATCH(M79,宠物缘分!$B$30:$B$34,0),1)*IF(W79=2,1/4,IF(W79=3,1/2,IF(W79=4,3/4,IF(W79&gt;4,1,0))))/5</f>
        <v>0.18</v>
      </c>
      <c r="AG79" s="79">
        <f t="shared" si="24"/>
        <v>0.5</v>
      </c>
      <c r="AH79" s="6">
        <f t="shared" si="32"/>
        <v>3281.4649488000136</v>
      </c>
      <c r="AI79" s="6">
        <f t="shared" si="33"/>
        <v>9115.1804133333717</v>
      </c>
      <c r="AJ79" s="28">
        <f t="shared" si="34"/>
        <v>32267.738663200136</v>
      </c>
      <c r="AK79" s="28">
        <f>$AJ79/5*[1]战斗预期!C$4</f>
        <v>645354.77326400264</v>
      </c>
      <c r="AL79" s="28">
        <f>$AJ79/5*[1]战斗预期!D$4</f>
        <v>64535.477326400272</v>
      </c>
      <c r="AM79" s="28">
        <f>$AJ79/5*[1]战斗预期!E$4</f>
        <v>32267.738663200136</v>
      </c>
      <c r="AN79" s="28">
        <f>$AJ79/5*[1]战斗预期!F$4</f>
        <v>25814.190930560108</v>
      </c>
      <c r="AO79" s="28">
        <f>$AJ79/5*[1]战斗预期!G$4</f>
        <v>25814.190930560108</v>
      </c>
    </row>
    <row r="80" spans="1:42" x14ac:dyDescent="0.15">
      <c r="I80" s="27">
        <v>73</v>
      </c>
      <c r="J80" s="27">
        <f>[1]属性成长!$D80</f>
        <v>365</v>
      </c>
      <c r="K80" s="4">
        <v>73</v>
      </c>
      <c r="L80" s="4">
        <f t="shared" si="22"/>
        <v>70</v>
      </c>
      <c r="M80" s="4">
        <v>5</v>
      </c>
      <c r="N80" s="4">
        <v>73</v>
      </c>
      <c r="O80" s="4">
        <v>70</v>
      </c>
      <c r="P80" s="4">
        <v>5</v>
      </c>
      <c r="Q80" s="4">
        <v>1</v>
      </c>
      <c r="R80" s="4">
        <v>1</v>
      </c>
      <c r="S80" s="4">
        <v>0</v>
      </c>
      <c r="T80" s="4">
        <v>8</v>
      </c>
      <c r="U80" s="4">
        <v>28</v>
      </c>
      <c r="V80" s="4">
        <v>0</v>
      </c>
      <c r="W80" s="4">
        <v>6</v>
      </c>
      <c r="X80" s="5">
        <f t="shared" si="25"/>
        <v>0.25</v>
      </c>
      <c r="Y80" s="5">
        <f t="shared" si="26"/>
        <v>0.25</v>
      </c>
      <c r="Z80" s="13">
        <f t="shared" si="27"/>
        <v>5087.1212930009115</v>
      </c>
      <c r="AA80" s="13">
        <f t="shared" si="28"/>
        <v>4462.0173114436093</v>
      </c>
      <c r="AB80" s="13">
        <f t="shared" si="29"/>
        <v>12</v>
      </c>
      <c r="AC80" s="13">
        <f t="shared" si="23"/>
        <v>8711.1111111111113</v>
      </c>
      <c r="AD80" s="13">
        <f t="shared" si="30"/>
        <v>0</v>
      </c>
      <c r="AE80" s="28">
        <f t="shared" si="31"/>
        <v>18272.249715555634</v>
      </c>
      <c r="AF80" s="79">
        <f>INDEX(宠物缘分!$G$30:$G$34,MATCH(M80,宠物缘分!$B$30:$B$34,0),1)*IF(W80=2,1/4,IF(W80=3,1/2,IF(W80=4,3/4,IF(W80&gt;4,1,0))))/5</f>
        <v>0.18</v>
      </c>
      <c r="AG80" s="79">
        <f t="shared" si="24"/>
        <v>0.5</v>
      </c>
      <c r="AH80" s="6">
        <f t="shared" si="32"/>
        <v>3289.0049488000141</v>
      </c>
      <c r="AI80" s="6">
        <f t="shared" si="33"/>
        <v>9136.1248577778169</v>
      </c>
      <c r="AJ80" s="28">
        <f t="shared" si="34"/>
        <v>32341.88199653347</v>
      </c>
      <c r="AK80" s="28">
        <f>$AJ80/5*[1]战斗预期!C$4</f>
        <v>646837.63993066945</v>
      </c>
      <c r="AL80" s="28">
        <f>$AJ80/5*[1]战斗预期!D$4</f>
        <v>64683.763993066939</v>
      </c>
      <c r="AM80" s="28">
        <f>$AJ80/5*[1]战斗预期!E$4</f>
        <v>32341.88199653347</v>
      </c>
      <c r="AN80" s="28">
        <f>$AJ80/5*[1]战斗预期!F$4</f>
        <v>25873.505597226776</v>
      </c>
      <c r="AO80" s="28">
        <f>$AJ80/5*[1]战斗预期!G$4</f>
        <v>25873.505597226776</v>
      </c>
    </row>
    <row r="81" spans="9:41" x14ac:dyDescent="0.15">
      <c r="I81" s="27">
        <v>74</v>
      </c>
      <c r="J81" s="27">
        <f>[1]属性成长!$D81</f>
        <v>370</v>
      </c>
      <c r="K81" s="4">
        <v>74</v>
      </c>
      <c r="L81" s="4">
        <f t="shared" si="22"/>
        <v>70</v>
      </c>
      <c r="M81" s="4">
        <v>5</v>
      </c>
      <c r="N81" s="4">
        <v>74</v>
      </c>
      <c r="O81" s="4">
        <v>70</v>
      </c>
      <c r="P81" s="4">
        <v>5</v>
      </c>
      <c r="Q81" s="4">
        <v>1</v>
      </c>
      <c r="R81" s="4">
        <v>1</v>
      </c>
      <c r="S81" s="4">
        <v>0</v>
      </c>
      <c r="T81" s="4">
        <v>8</v>
      </c>
      <c r="U81" s="4">
        <v>28</v>
      </c>
      <c r="V81" s="4">
        <v>0</v>
      </c>
      <c r="W81" s="4">
        <v>6</v>
      </c>
      <c r="X81" s="5">
        <f t="shared" si="25"/>
        <v>0.25</v>
      </c>
      <c r="Y81" s="5">
        <f t="shared" si="26"/>
        <v>0.25</v>
      </c>
      <c r="Z81" s="13">
        <f t="shared" si="27"/>
        <v>5100.1212930009115</v>
      </c>
      <c r="AA81" s="13">
        <f t="shared" si="28"/>
        <v>4490.906200332498</v>
      </c>
      <c r="AB81" s="13">
        <f t="shared" si="29"/>
        <v>12</v>
      </c>
      <c r="AC81" s="13">
        <f t="shared" si="23"/>
        <v>8711.1111111111113</v>
      </c>
      <c r="AD81" s="13">
        <f t="shared" si="30"/>
        <v>0</v>
      </c>
      <c r="AE81" s="28">
        <f t="shared" si="31"/>
        <v>18314.138604444521</v>
      </c>
      <c r="AF81" s="79">
        <f>INDEX(宠物缘分!$G$30:$G$34,MATCH(M81,宠物缘分!$B$30:$B$34,0),1)*IF(W81=2,1/4,IF(W81=3,1/2,IF(W81=4,3/4,IF(W81&gt;4,1,0))))/5</f>
        <v>0.18</v>
      </c>
      <c r="AG81" s="79">
        <f t="shared" si="24"/>
        <v>0.5</v>
      </c>
      <c r="AH81" s="6">
        <f t="shared" si="32"/>
        <v>3296.5449488000136</v>
      </c>
      <c r="AI81" s="6">
        <f t="shared" si="33"/>
        <v>9157.0693022222604</v>
      </c>
      <c r="AJ81" s="28">
        <f t="shared" si="34"/>
        <v>32416.025329866799</v>
      </c>
      <c r="AK81" s="28">
        <f>$AJ81/5*[1]战斗预期!C$4</f>
        <v>648320.50659733592</v>
      </c>
      <c r="AL81" s="28">
        <f>$AJ81/5*[1]战斗预期!D$4</f>
        <v>64832.050659733592</v>
      </c>
      <c r="AM81" s="28">
        <f>$AJ81/5*[1]战斗预期!E$4</f>
        <v>32416.025329866796</v>
      </c>
      <c r="AN81" s="28">
        <f>$AJ81/5*[1]战斗预期!F$4</f>
        <v>25932.820263893438</v>
      </c>
      <c r="AO81" s="28">
        <f>$AJ81/5*[1]战斗预期!G$4</f>
        <v>25932.820263893438</v>
      </c>
    </row>
    <row r="82" spans="9:41" x14ac:dyDescent="0.15">
      <c r="I82" s="27">
        <v>75</v>
      </c>
      <c r="J82" s="27">
        <f>[1]属性成长!$D82</f>
        <v>375</v>
      </c>
      <c r="K82" s="4">
        <v>75</v>
      </c>
      <c r="L82" s="4">
        <f t="shared" si="22"/>
        <v>75</v>
      </c>
      <c r="M82" s="4">
        <v>5</v>
      </c>
      <c r="N82" s="4">
        <v>75</v>
      </c>
      <c r="O82" s="4">
        <v>75</v>
      </c>
      <c r="P82" s="4">
        <v>5</v>
      </c>
      <c r="Q82" s="4">
        <v>1</v>
      </c>
      <c r="R82" s="4">
        <v>1</v>
      </c>
      <c r="S82" s="4">
        <v>0</v>
      </c>
      <c r="T82" s="4">
        <v>9</v>
      </c>
      <c r="U82" s="4">
        <v>28</v>
      </c>
      <c r="V82" s="4">
        <v>0</v>
      </c>
      <c r="W82" s="4">
        <v>6</v>
      </c>
      <c r="X82" s="5">
        <f t="shared" si="25"/>
        <v>0.25</v>
      </c>
      <c r="Y82" s="5">
        <f t="shared" si="26"/>
        <v>0.25</v>
      </c>
      <c r="Z82" s="13">
        <f t="shared" si="27"/>
        <v>5390.718307926285</v>
      </c>
      <c r="AA82" s="13">
        <f t="shared" si="28"/>
        <v>4726.1223233767832</v>
      </c>
      <c r="AB82" s="13">
        <f t="shared" si="29"/>
        <v>12</v>
      </c>
      <c r="AC82" s="13">
        <f t="shared" si="23"/>
        <v>11847.111111111111</v>
      </c>
      <c r="AD82" s="13">
        <f t="shared" si="30"/>
        <v>0</v>
      </c>
      <c r="AE82" s="28">
        <f t="shared" si="31"/>
        <v>21975.951742414181</v>
      </c>
      <c r="AF82" s="79">
        <f>INDEX(宠物缘分!$G$30:$G$34,MATCH(M82,宠物缘分!$B$30:$B$34,0),1)*IF(W82=2,1/4,IF(W82=3,1/2,IF(W82=4,3/4,IF(W82&gt;4,1,0))))/5</f>
        <v>0.18</v>
      </c>
      <c r="AG82" s="79">
        <f t="shared" si="24"/>
        <v>0.5</v>
      </c>
      <c r="AH82" s="6">
        <f t="shared" si="32"/>
        <v>3955.6713136345525</v>
      </c>
      <c r="AI82" s="6">
        <f t="shared" si="33"/>
        <v>10987.975871207091</v>
      </c>
      <c r="AJ82" s="28">
        <f t="shared" si="34"/>
        <v>38897.434584073097</v>
      </c>
      <c r="AK82" s="28">
        <f>$AJ82/5*[1]战斗预期!C$4</f>
        <v>777948.69168146199</v>
      </c>
      <c r="AL82" s="28">
        <f>$AJ82/5*[1]战斗预期!D$4</f>
        <v>77794.869168146193</v>
      </c>
      <c r="AM82" s="28">
        <f>$AJ82/5*[1]战斗预期!E$4</f>
        <v>38897.434584073097</v>
      </c>
      <c r="AN82" s="28">
        <f>$AJ82/5*[1]战斗预期!F$4</f>
        <v>31117.947667258479</v>
      </c>
      <c r="AO82" s="28">
        <f>$AJ82/5*[1]战斗预期!G$4</f>
        <v>31117.947667258479</v>
      </c>
    </row>
    <row r="83" spans="9:41" x14ac:dyDescent="0.15">
      <c r="I83" s="27">
        <v>76</v>
      </c>
      <c r="J83" s="27">
        <f>[1]属性成长!$D83</f>
        <v>380</v>
      </c>
      <c r="K83" s="4">
        <v>76</v>
      </c>
      <c r="L83" s="4">
        <f t="shared" si="22"/>
        <v>75</v>
      </c>
      <c r="M83" s="4">
        <v>5</v>
      </c>
      <c r="N83" s="4">
        <v>76</v>
      </c>
      <c r="O83" s="4">
        <v>75</v>
      </c>
      <c r="P83" s="4">
        <v>5</v>
      </c>
      <c r="Q83" s="4">
        <v>1</v>
      </c>
      <c r="R83" s="4">
        <v>1</v>
      </c>
      <c r="S83" s="4">
        <v>0</v>
      </c>
      <c r="T83" s="4">
        <v>9</v>
      </c>
      <c r="U83" s="4">
        <v>28</v>
      </c>
      <c r="V83" s="4">
        <v>0</v>
      </c>
      <c r="W83" s="4">
        <v>6</v>
      </c>
      <c r="X83" s="5">
        <f t="shared" si="25"/>
        <v>0.25</v>
      </c>
      <c r="Y83" s="5">
        <f t="shared" si="26"/>
        <v>0.25</v>
      </c>
      <c r="Z83" s="13">
        <f t="shared" si="27"/>
        <v>5404.218307926285</v>
      </c>
      <c r="AA83" s="13">
        <f t="shared" si="28"/>
        <v>4756.1223233767832</v>
      </c>
      <c r="AB83" s="13">
        <f t="shared" si="29"/>
        <v>12</v>
      </c>
      <c r="AC83" s="13">
        <f t="shared" si="23"/>
        <v>11847.111111111111</v>
      </c>
      <c r="AD83" s="13">
        <f t="shared" si="30"/>
        <v>0</v>
      </c>
      <c r="AE83" s="28">
        <f t="shared" si="31"/>
        <v>22019.451742414181</v>
      </c>
      <c r="AF83" s="79">
        <f>INDEX(宠物缘分!$G$30:$G$34,MATCH(M83,宠物缘分!$B$30:$B$34,0),1)*IF(W83=2,1/4,IF(W83=3,1/2,IF(W83=4,3/4,IF(W83&gt;4,1,0))))/5</f>
        <v>0.18</v>
      </c>
      <c r="AG83" s="79">
        <f t="shared" si="24"/>
        <v>0.5</v>
      </c>
      <c r="AH83" s="6">
        <f t="shared" si="32"/>
        <v>3963.5013136345524</v>
      </c>
      <c r="AI83" s="6">
        <f t="shared" si="33"/>
        <v>11009.725871207091</v>
      </c>
      <c r="AJ83" s="28">
        <f t="shared" si="34"/>
        <v>38974.429584073099</v>
      </c>
      <c r="AK83" s="28">
        <f>$AJ83/5*[1]战斗预期!C$4</f>
        <v>779488.59168146201</v>
      </c>
      <c r="AL83" s="28">
        <f>$AJ83/5*[1]战斗预期!D$4</f>
        <v>77948.859168146198</v>
      </c>
      <c r="AM83" s="28">
        <f>$AJ83/5*[1]战斗预期!E$4</f>
        <v>38974.429584073099</v>
      </c>
      <c r="AN83" s="28">
        <f>$AJ83/5*[1]战斗预期!F$4</f>
        <v>31179.54366725848</v>
      </c>
      <c r="AO83" s="28">
        <f>$AJ83/5*[1]战斗预期!G$4</f>
        <v>31179.54366725848</v>
      </c>
    </row>
    <row r="84" spans="9:41" x14ac:dyDescent="0.15">
      <c r="I84" s="27">
        <v>77</v>
      </c>
      <c r="J84" s="27">
        <f>[1]属性成长!$D84</f>
        <v>385</v>
      </c>
      <c r="K84" s="4">
        <v>77</v>
      </c>
      <c r="L84" s="4">
        <f t="shared" si="22"/>
        <v>75</v>
      </c>
      <c r="M84" s="4">
        <v>5</v>
      </c>
      <c r="N84" s="4">
        <v>77</v>
      </c>
      <c r="O84" s="4">
        <v>75</v>
      </c>
      <c r="P84" s="4">
        <v>5</v>
      </c>
      <c r="Q84" s="4">
        <v>1</v>
      </c>
      <c r="R84" s="4">
        <v>1</v>
      </c>
      <c r="S84" s="4">
        <v>0</v>
      </c>
      <c r="T84" s="4">
        <v>9</v>
      </c>
      <c r="U84" s="4">
        <v>28</v>
      </c>
      <c r="V84" s="4">
        <v>0</v>
      </c>
      <c r="W84" s="4">
        <v>6</v>
      </c>
      <c r="X84" s="5">
        <f t="shared" si="25"/>
        <v>0.25</v>
      </c>
      <c r="Y84" s="5">
        <f t="shared" si="26"/>
        <v>0.25</v>
      </c>
      <c r="Z84" s="13">
        <f t="shared" si="27"/>
        <v>5417.718307926285</v>
      </c>
      <c r="AA84" s="13">
        <f t="shared" si="28"/>
        <v>4786.1223233767832</v>
      </c>
      <c r="AB84" s="13">
        <f t="shared" si="29"/>
        <v>12</v>
      </c>
      <c r="AC84" s="13">
        <f t="shared" si="23"/>
        <v>11847.111111111111</v>
      </c>
      <c r="AD84" s="13">
        <f t="shared" si="30"/>
        <v>0</v>
      </c>
      <c r="AE84" s="28">
        <f t="shared" si="31"/>
        <v>22062.951742414181</v>
      </c>
      <c r="AF84" s="79">
        <f>INDEX(宠物缘分!$G$30:$G$34,MATCH(M84,宠物缘分!$B$30:$B$34,0),1)*IF(W84=2,1/4,IF(W84=3,1/2,IF(W84=4,3/4,IF(W84&gt;4,1,0))))/5</f>
        <v>0.18</v>
      </c>
      <c r="AG84" s="79">
        <f t="shared" si="24"/>
        <v>0.5</v>
      </c>
      <c r="AH84" s="6">
        <f t="shared" si="32"/>
        <v>3971.3313136345523</v>
      </c>
      <c r="AI84" s="6">
        <f t="shared" si="33"/>
        <v>11031.475871207091</v>
      </c>
      <c r="AJ84" s="28">
        <f t="shared" si="34"/>
        <v>39051.424584073095</v>
      </c>
      <c r="AK84" s="28">
        <f>$AJ84/5*[1]战斗预期!C$4</f>
        <v>781028.4916814618</v>
      </c>
      <c r="AL84" s="28">
        <f>$AJ84/5*[1]战斗预期!D$4</f>
        <v>78102.849168146189</v>
      </c>
      <c r="AM84" s="28">
        <f>$AJ84/5*[1]战斗预期!E$4</f>
        <v>39051.424584073095</v>
      </c>
      <c r="AN84" s="28">
        <f>$AJ84/5*[1]战斗预期!F$4</f>
        <v>31241.139667258474</v>
      </c>
      <c r="AO84" s="28">
        <f>$AJ84/5*[1]战斗预期!G$4</f>
        <v>31241.139667258474</v>
      </c>
    </row>
    <row r="85" spans="9:41" x14ac:dyDescent="0.15">
      <c r="I85" s="27">
        <v>78</v>
      </c>
      <c r="J85" s="27">
        <f>[1]属性成长!$D85</f>
        <v>390</v>
      </c>
      <c r="K85" s="4">
        <v>78</v>
      </c>
      <c r="L85" s="4">
        <f t="shared" si="22"/>
        <v>75</v>
      </c>
      <c r="M85" s="4">
        <v>5</v>
      </c>
      <c r="N85" s="4">
        <v>78</v>
      </c>
      <c r="O85" s="4">
        <v>75</v>
      </c>
      <c r="P85" s="4">
        <v>5</v>
      </c>
      <c r="Q85" s="4">
        <v>1</v>
      </c>
      <c r="R85" s="4">
        <v>1</v>
      </c>
      <c r="S85" s="4">
        <v>0</v>
      </c>
      <c r="T85" s="4">
        <v>9</v>
      </c>
      <c r="U85" s="4">
        <v>28</v>
      </c>
      <c r="V85" s="4">
        <v>0</v>
      </c>
      <c r="W85" s="4">
        <v>6</v>
      </c>
      <c r="X85" s="5">
        <f t="shared" si="25"/>
        <v>0.25</v>
      </c>
      <c r="Y85" s="5">
        <f t="shared" si="26"/>
        <v>0.25</v>
      </c>
      <c r="Z85" s="13">
        <f t="shared" si="27"/>
        <v>5431.218307926285</v>
      </c>
      <c r="AA85" s="13">
        <f t="shared" si="28"/>
        <v>4816.1223233767832</v>
      </c>
      <c r="AB85" s="13">
        <f t="shared" si="29"/>
        <v>12</v>
      </c>
      <c r="AC85" s="13">
        <f t="shared" si="23"/>
        <v>11847.111111111111</v>
      </c>
      <c r="AD85" s="13">
        <f t="shared" si="30"/>
        <v>0</v>
      </c>
      <c r="AE85" s="28">
        <f t="shared" si="31"/>
        <v>22106.451742414181</v>
      </c>
      <c r="AF85" s="79">
        <f>INDEX(宠物缘分!$G$30:$G$34,MATCH(M85,宠物缘分!$B$30:$B$34,0),1)*IF(W85=2,1/4,IF(W85=3,1/2,IF(W85=4,3/4,IF(W85&gt;4,1,0))))/5</f>
        <v>0.18</v>
      </c>
      <c r="AG85" s="79">
        <f t="shared" si="24"/>
        <v>0.5</v>
      </c>
      <c r="AH85" s="6">
        <f t="shared" si="32"/>
        <v>3979.1613136345527</v>
      </c>
      <c r="AI85" s="6">
        <f t="shared" si="33"/>
        <v>11053.225871207091</v>
      </c>
      <c r="AJ85" s="28">
        <f t="shared" si="34"/>
        <v>39128.419584073097</v>
      </c>
      <c r="AK85" s="28">
        <f>$AJ85/5*[1]战斗预期!C$4</f>
        <v>782568.39168146194</v>
      </c>
      <c r="AL85" s="28">
        <f>$AJ85/5*[1]战斗预期!D$4</f>
        <v>78256.839168146194</v>
      </c>
      <c r="AM85" s="28">
        <f>$AJ85/5*[1]战斗预期!E$4</f>
        <v>39128.419584073097</v>
      </c>
      <c r="AN85" s="28">
        <f>$AJ85/5*[1]战斗预期!F$4</f>
        <v>31302.735667258479</v>
      </c>
      <c r="AO85" s="28">
        <f>$AJ85/5*[1]战斗预期!G$4</f>
        <v>31302.735667258479</v>
      </c>
    </row>
    <row r="86" spans="9:41" x14ac:dyDescent="0.15">
      <c r="I86" s="27">
        <v>79</v>
      </c>
      <c r="J86" s="27">
        <f>[1]属性成长!$D86</f>
        <v>395</v>
      </c>
      <c r="K86" s="4">
        <v>79</v>
      </c>
      <c r="L86" s="4">
        <f t="shared" si="22"/>
        <v>75</v>
      </c>
      <c r="M86" s="4">
        <v>5</v>
      </c>
      <c r="N86" s="4">
        <v>79</v>
      </c>
      <c r="O86" s="4">
        <v>75</v>
      </c>
      <c r="P86" s="4">
        <v>5</v>
      </c>
      <c r="Q86" s="4">
        <v>1</v>
      </c>
      <c r="R86" s="4">
        <v>1</v>
      </c>
      <c r="S86" s="4">
        <v>0</v>
      </c>
      <c r="T86" s="4">
        <v>9</v>
      </c>
      <c r="U86" s="4">
        <v>28</v>
      </c>
      <c r="V86" s="4">
        <v>0</v>
      </c>
      <c r="W86" s="4">
        <v>6</v>
      </c>
      <c r="X86" s="5">
        <f t="shared" si="25"/>
        <v>0.25</v>
      </c>
      <c r="Y86" s="5">
        <f t="shared" si="26"/>
        <v>0.25</v>
      </c>
      <c r="Z86" s="13">
        <f t="shared" si="27"/>
        <v>5444.718307926285</v>
      </c>
      <c r="AA86" s="13">
        <f t="shared" si="28"/>
        <v>4846.1223233767832</v>
      </c>
      <c r="AB86" s="13">
        <f t="shared" si="29"/>
        <v>12</v>
      </c>
      <c r="AC86" s="13">
        <f t="shared" si="23"/>
        <v>11847.111111111111</v>
      </c>
      <c r="AD86" s="13">
        <f t="shared" si="30"/>
        <v>0</v>
      </c>
      <c r="AE86" s="28">
        <f t="shared" si="31"/>
        <v>22149.951742414181</v>
      </c>
      <c r="AF86" s="79">
        <f>INDEX(宠物缘分!$G$30:$G$34,MATCH(M86,宠物缘分!$B$30:$B$34,0),1)*IF(W86=2,1/4,IF(W86=3,1/2,IF(W86=4,3/4,IF(W86&gt;4,1,0))))/5</f>
        <v>0.18</v>
      </c>
      <c r="AG86" s="79">
        <f t="shared" si="24"/>
        <v>0.5</v>
      </c>
      <c r="AH86" s="6">
        <f t="shared" si="32"/>
        <v>3986.9913136345526</v>
      </c>
      <c r="AI86" s="6">
        <f t="shared" si="33"/>
        <v>11074.975871207091</v>
      </c>
      <c r="AJ86" s="28">
        <f t="shared" si="34"/>
        <v>39205.4145840731</v>
      </c>
      <c r="AK86" s="28">
        <f>$AJ86/5*[1]战斗预期!C$4</f>
        <v>784108.29168146197</v>
      </c>
      <c r="AL86" s="28">
        <f>$AJ86/5*[1]战斗预期!D$4</f>
        <v>78410.8291681462</v>
      </c>
      <c r="AM86" s="28">
        <f>$AJ86/5*[1]战斗预期!E$4</f>
        <v>39205.4145840731</v>
      </c>
      <c r="AN86" s="28">
        <f>$AJ86/5*[1]战斗预期!F$4</f>
        <v>31364.331667258481</v>
      </c>
      <c r="AO86" s="28">
        <f>$AJ86/5*[1]战斗预期!G$4</f>
        <v>31364.331667258481</v>
      </c>
    </row>
    <row r="87" spans="9:41" x14ac:dyDescent="0.15">
      <c r="I87" s="27">
        <v>80</v>
      </c>
      <c r="J87" s="27">
        <f>[1]属性成长!$D87</f>
        <v>400</v>
      </c>
      <c r="K87" s="4">
        <v>80</v>
      </c>
      <c r="L87" s="4">
        <f t="shared" si="22"/>
        <v>80</v>
      </c>
      <c r="M87" s="4">
        <v>5</v>
      </c>
      <c r="N87" s="4">
        <v>80</v>
      </c>
      <c r="O87" s="4">
        <v>80</v>
      </c>
      <c r="P87" s="4">
        <v>5</v>
      </c>
      <c r="Q87" s="4">
        <v>1</v>
      </c>
      <c r="R87" s="4">
        <v>1</v>
      </c>
      <c r="S87" s="4">
        <v>0</v>
      </c>
      <c r="T87" s="4">
        <v>10</v>
      </c>
      <c r="U87" s="4">
        <v>28</v>
      </c>
      <c r="V87" s="4">
        <v>0</v>
      </c>
      <c r="W87" s="4">
        <v>6</v>
      </c>
      <c r="X87" s="5">
        <f t="shared" si="25"/>
        <v>0.25</v>
      </c>
      <c r="Y87" s="5">
        <f t="shared" si="26"/>
        <v>0.25</v>
      </c>
      <c r="Z87" s="13">
        <f t="shared" si="27"/>
        <v>5738.8294190373954</v>
      </c>
      <c r="AA87" s="13">
        <f t="shared" si="28"/>
        <v>5088.3445455990059</v>
      </c>
      <c r="AB87" s="13">
        <f t="shared" si="29"/>
        <v>12</v>
      </c>
      <c r="AC87" s="13">
        <f t="shared" si="23"/>
        <v>15680</v>
      </c>
      <c r="AD87" s="13">
        <f t="shared" si="30"/>
        <v>0</v>
      </c>
      <c r="AE87" s="28">
        <f t="shared" si="31"/>
        <v>26519.1739646364</v>
      </c>
      <c r="AF87" s="79">
        <f>INDEX(宠物缘分!$G$30:$G$34,MATCH(M87,宠物缘分!$B$30:$B$34,0),1)*IF(W87=2,1/4,IF(W87=3,1/2,IF(W87=4,3/4,IF(W87&gt;4,1,0))))/5</f>
        <v>0.18</v>
      </c>
      <c r="AG87" s="79">
        <f t="shared" si="24"/>
        <v>0.5</v>
      </c>
      <c r="AH87" s="6">
        <f t="shared" si="32"/>
        <v>4773.4513136345522</v>
      </c>
      <c r="AI87" s="6">
        <f t="shared" si="33"/>
        <v>13259.5869823182</v>
      </c>
      <c r="AJ87" s="28">
        <f t="shared" si="34"/>
        <v>46938.937917406431</v>
      </c>
      <c r="AK87" s="28">
        <f>$AJ87/5*[1]战斗预期!C$4</f>
        <v>938778.75834812853</v>
      </c>
      <c r="AL87" s="28">
        <f>$AJ87/5*[1]战斗预期!D$4</f>
        <v>93877.875834812861</v>
      </c>
      <c r="AM87" s="28">
        <f>$AJ87/5*[1]战斗预期!E$4</f>
        <v>46938.937917406431</v>
      </c>
      <c r="AN87" s="28">
        <f>$AJ87/5*[1]战斗预期!F$4</f>
        <v>37551.150333925143</v>
      </c>
      <c r="AO87" s="28">
        <f>$AJ87/5*[1]战斗预期!G$4</f>
        <v>37551.150333925143</v>
      </c>
    </row>
    <row r="88" spans="9:41" x14ac:dyDescent="0.15">
      <c r="I88" s="27">
        <v>81</v>
      </c>
      <c r="J88" s="27">
        <f>[1]属性成长!$D88</f>
        <v>405</v>
      </c>
      <c r="K88" s="4">
        <v>81</v>
      </c>
      <c r="L88" s="4">
        <f t="shared" si="22"/>
        <v>80</v>
      </c>
      <c r="M88" s="4">
        <v>5</v>
      </c>
      <c r="N88" s="4">
        <v>81</v>
      </c>
      <c r="O88" s="4">
        <v>80</v>
      </c>
      <c r="P88" s="4">
        <v>5</v>
      </c>
      <c r="Q88" s="4">
        <v>1</v>
      </c>
      <c r="R88" s="4">
        <v>1</v>
      </c>
      <c r="S88" s="4">
        <v>0</v>
      </c>
      <c r="T88" s="4">
        <v>10</v>
      </c>
      <c r="U88" s="4">
        <v>28</v>
      </c>
      <c r="V88" s="4">
        <v>0</v>
      </c>
      <c r="W88" s="4">
        <v>6</v>
      </c>
      <c r="X88" s="5">
        <f t="shared" si="25"/>
        <v>0.25</v>
      </c>
      <c r="Y88" s="5">
        <f t="shared" si="26"/>
        <v>0.25</v>
      </c>
      <c r="Z88" s="13">
        <f t="shared" si="27"/>
        <v>5752.8294190373954</v>
      </c>
      <c r="AA88" s="13">
        <f t="shared" si="28"/>
        <v>5119.4556567101172</v>
      </c>
      <c r="AB88" s="13">
        <f t="shared" si="29"/>
        <v>12</v>
      </c>
      <c r="AC88" s="13">
        <f t="shared" si="23"/>
        <v>15680</v>
      </c>
      <c r="AD88" s="13">
        <f t="shared" si="30"/>
        <v>0</v>
      </c>
      <c r="AE88" s="28">
        <f t="shared" si="31"/>
        <v>26564.285075747513</v>
      </c>
      <c r="AF88" s="79">
        <f>INDEX(宠物缘分!$G$30:$G$34,MATCH(M88,宠物缘分!$B$30:$B$34,0),1)*IF(W88=2,1/4,IF(W88=3,1/2,IF(W88=4,3/4,IF(W88&gt;4,1,0))))/5</f>
        <v>0.18</v>
      </c>
      <c r="AG88" s="79">
        <f t="shared" si="24"/>
        <v>0.5</v>
      </c>
      <c r="AH88" s="6">
        <f t="shared" si="32"/>
        <v>4781.5713136345521</v>
      </c>
      <c r="AI88" s="6">
        <f t="shared" si="33"/>
        <v>13282.142537873757</v>
      </c>
      <c r="AJ88" s="28">
        <f t="shared" si="34"/>
        <v>47018.784584073095</v>
      </c>
      <c r="AK88" s="28">
        <f>$AJ88/5*[1]战斗预期!C$4</f>
        <v>940375.69168146187</v>
      </c>
      <c r="AL88" s="28">
        <f>$AJ88/5*[1]战斗预期!D$4</f>
        <v>94037.569168146176</v>
      </c>
      <c r="AM88" s="28">
        <f>$AJ88/5*[1]战斗预期!E$4</f>
        <v>47018.784584073088</v>
      </c>
      <c r="AN88" s="28">
        <f>$AJ88/5*[1]战斗预期!F$4</f>
        <v>37615.027667258473</v>
      </c>
      <c r="AO88" s="28">
        <f>$AJ88/5*[1]战斗预期!G$4</f>
        <v>37615.027667258473</v>
      </c>
    </row>
    <row r="89" spans="9:41" x14ac:dyDescent="0.15">
      <c r="I89" s="27">
        <v>82</v>
      </c>
      <c r="J89" s="27">
        <f>[1]属性成长!$D89</f>
        <v>410</v>
      </c>
      <c r="K89" s="4">
        <v>82</v>
      </c>
      <c r="L89" s="4">
        <f t="shared" si="22"/>
        <v>80</v>
      </c>
      <c r="M89" s="4">
        <v>5</v>
      </c>
      <c r="N89" s="4">
        <v>82</v>
      </c>
      <c r="O89" s="4">
        <v>80</v>
      </c>
      <c r="P89" s="4">
        <v>5</v>
      </c>
      <c r="Q89" s="4">
        <v>1</v>
      </c>
      <c r="R89" s="4">
        <v>1</v>
      </c>
      <c r="S89" s="4">
        <v>0</v>
      </c>
      <c r="T89" s="4">
        <v>10</v>
      </c>
      <c r="U89" s="4">
        <v>28</v>
      </c>
      <c r="V89" s="4">
        <v>0</v>
      </c>
      <c r="W89" s="4">
        <v>6</v>
      </c>
      <c r="X89" s="5">
        <f t="shared" si="25"/>
        <v>0.25</v>
      </c>
      <c r="Y89" s="5">
        <f t="shared" si="26"/>
        <v>0.25</v>
      </c>
      <c r="Z89" s="13">
        <f t="shared" si="27"/>
        <v>5766.8294190373954</v>
      </c>
      <c r="AA89" s="13">
        <f t="shared" si="28"/>
        <v>5150.5667678212276</v>
      </c>
      <c r="AB89" s="13">
        <f t="shared" si="29"/>
        <v>12</v>
      </c>
      <c r="AC89" s="13">
        <f t="shared" si="23"/>
        <v>15680</v>
      </c>
      <c r="AD89" s="13">
        <f t="shared" si="30"/>
        <v>0</v>
      </c>
      <c r="AE89" s="28">
        <f t="shared" si="31"/>
        <v>26609.396186858623</v>
      </c>
      <c r="AF89" s="79">
        <f>INDEX(宠物缘分!$G$30:$G$34,MATCH(M89,宠物缘分!$B$30:$B$34,0),1)*IF(W89=2,1/4,IF(W89=3,1/2,IF(W89=4,3/4,IF(W89&gt;4,1,0))))/5</f>
        <v>0.18</v>
      </c>
      <c r="AG89" s="79">
        <f t="shared" si="24"/>
        <v>0.5</v>
      </c>
      <c r="AH89" s="6">
        <f t="shared" si="32"/>
        <v>4789.691313634552</v>
      </c>
      <c r="AI89" s="6">
        <f t="shared" si="33"/>
        <v>13304.698093429311</v>
      </c>
      <c r="AJ89" s="28">
        <f t="shared" si="34"/>
        <v>47098.63125073976</v>
      </c>
      <c r="AK89" s="28">
        <f>$AJ89/5*[1]战斗预期!C$4</f>
        <v>941972.62501479522</v>
      </c>
      <c r="AL89" s="28">
        <f>$AJ89/5*[1]战斗预期!D$4</f>
        <v>94197.262501479534</v>
      </c>
      <c r="AM89" s="28">
        <f>$AJ89/5*[1]战斗预期!E$4</f>
        <v>47098.631250739767</v>
      </c>
      <c r="AN89" s="28">
        <f>$AJ89/5*[1]战斗预期!F$4</f>
        <v>37678.905000591811</v>
      </c>
      <c r="AO89" s="28">
        <f>$AJ89/5*[1]战斗预期!G$4</f>
        <v>37678.905000591811</v>
      </c>
    </row>
    <row r="90" spans="9:41" x14ac:dyDescent="0.15">
      <c r="I90" s="27">
        <v>83</v>
      </c>
      <c r="J90" s="27">
        <f>[1]属性成长!$D90</f>
        <v>415</v>
      </c>
      <c r="K90" s="4">
        <v>83</v>
      </c>
      <c r="L90" s="4">
        <f t="shared" si="22"/>
        <v>80</v>
      </c>
      <c r="M90" s="4">
        <v>5</v>
      </c>
      <c r="N90" s="4">
        <v>83</v>
      </c>
      <c r="O90" s="4">
        <v>80</v>
      </c>
      <c r="P90" s="4">
        <v>5</v>
      </c>
      <c r="Q90" s="4">
        <v>1</v>
      </c>
      <c r="R90" s="4">
        <v>1</v>
      </c>
      <c r="S90" s="4">
        <v>0</v>
      </c>
      <c r="T90" s="4">
        <v>10</v>
      </c>
      <c r="U90" s="4">
        <v>28</v>
      </c>
      <c r="V90" s="4">
        <v>0</v>
      </c>
      <c r="W90" s="4">
        <v>6</v>
      </c>
      <c r="X90" s="5">
        <f t="shared" si="25"/>
        <v>0.25</v>
      </c>
      <c r="Y90" s="5">
        <f t="shared" si="26"/>
        <v>0.25</v>
      </c>
      <c r="Z90" s="13">
        <f t="shared" si="27"/>
        <v>5780.8294190373954</v>
      </c>
      <c r="AA90" s="13">
        <f t="shared" si="28"/>
        <v>5181.6778789323389</v>
      </c>
      <c r="AB90" s="13">
        <f t="shared" si="29"/>
        <v>12</v>
      </c>
      <c r="AC90" s="13">
        <f t="shared" si="23"/>
        <v>15680</v>
      </c>
      <c r="AD90" s="13">
        <f t="shared" si="30"/>
        <v>0</v>
      </c>
      <c r="AE90" s="28">
        <f t="shared" si="31"/>
        <v>26654.507297969736</v>
      </c>
      <c r="AF90" s="79">
        <f>INDEX(宠物缘分!$G$30:$G$34,MATCH(M90,宠物缘分!$B$30:$B$34,0),1)*IF(W90=2,1/4,IF(W90=3,1/2,IF(W90=4,3/4,IF(W90&gt;4,1,0))))/5</f>
        <v>0.18</v>
      </c>
      <c r="AG90" s="79">
        <f t="shared" si="24"/>
        <v>0.5</v>
      </c>
      <c r="AH90" s="6">
        <f t="shared" si="32"/>
        <v>4797.8113136345519</v>
      </c>
      <c r="AI90" s="6">
        <f t="shared" si="33"/>
        <v>13327.253648984868</v>
      </c>
      <c r="AJ90" s="28">
        <f t="shared" si="34"/>
        <v>47178.477917406432</v>
      </c>
      <c r="AK90" s="28">
        <f>$AJ90/5*[1]战斗预期!C$4</f>
        <v>943569.55834812869</v>
      </c>
      <c r="AL90" s="28">
        <f>$AJ90/5*[1]战斗预期!D$4</f>
        <v>94356.955834812863</v>
      </c>
      <c r="AM90" s="28">
        <f>$AJ90/5*[1]战斗预期!E$4</f>
        <v>47178.477917406432</v>
      </c>
      <c r="AN90" s="28">
        <f>$AJ90/5*[1]战斗预期!F$4</f>
        <v>37742.782333925148</v>
      </c>
      <c r="AO90" s="28">
        <f>$AJ90/5*[1]战斗预期!G$4</f>
        <v>37742.782333925148</v>
      </c>
    </row>
    <row r="91" spans="9:41" x14ac:dyDescent="0.15">
      <c r="I91" s="27">
        <v>84</v>
      </c>
      <c r="J91" s="27">
        <f>[1]属性成长!$D91</f>
        <v>420</v>
      </c>
      <c r="K91" s="4">
        <v>84</v>
      </c>
      <c r="L91" s="4">
        <f t="shared" si="22"/>
        <v>80</v>
      </c>
      <c r="M91" s="4">
        <v>5</v>
      </c>
      <c r="N91" s="4">
        <v>84</v>
      </c>
      <c r="O91" s="4">
        <v>80</v>
      </c>
      <c r="P91" s="4">
        <v>5</v>
      </c>
      <c r="Q91" s="4">
        <v>1</v>
      </c>
      <c r="R91" s="4">
        <v>1</v>
      </c>
      <c r="S91" s="4">
        <v>0</v>
      </c>
      <c r="T91" s="4">
        <v>10</v>
      </c>
      <c r="U91" s="4">
        <v>28</v>
      </c>
      <c r="V91" s="4">
        <v>0</v>
      </c>
      <c r="W91" s="4">
        <v>6</v>
      </c>
      <c r="X91" s="5">
        <f t="shared" si="25"/>
        <v>0.25</v>
      </c>
      <c r="Y91" s="5">
        <f t="shared" si="26"/>
        <v>0.25</v>
      </c>
      <c r="Z91" s="13">
        <f t="shared" si="27"/>
        <v>5794.8294190373954</v>
      </c>
      <c r="AA91" s="13">
        <f t="shared" si="28"/>
        <v>5212.7889900434502</v>
      </c>
      <c r="AB91" s="13">
        <f t="shared" si="29"/>
        <v>12</v>
      </c>
      <c r="AC91" s="13">
        <f t="shared" si="23"/>
        <v>15680</v>
      </c>
      <c r="AD91" s="13">
        <f t="shared" si="30"/>
        <v>0</v>
      </c>
      <c r="AE91" s="28">
        <f t="shared" si="31"/>
        <v>26699.618409080846</v>
      </c>
      <c r="AF91" s="79">
        <f>INDEX(宠物缘分!$G$30:$G$34,MATCH(M91,宠物缘分!$B$30:$B$34,0),1)*IF(W91=2,1/4,IF(W91=3,1/2,IF(W91=4,3/4,IF(W91&gt;4,1,0))))/5</f>
        <v>0.18</v>
      </c>
      <c r="AG91" s="79">
        <f t="shared" si="24"/>
        <v>0.5</v>
      </c>
      <c r="AH91" s="6">
        <f t="shared" si="32"/>
        <v>4805.9313136345518</v>
      </c>
      <c r="AI91" s="6">
        <f t="shared" si="33"/>
        <v>13349.809204540423</v>
      </c>
      <c r="AJ91" s="28">
        <f t="shared" si="34"/>
        <v>47258.324584073096</v>
      </c>
      <c r="AK91" s="28">
        <f>$AJ91/5*[1]战斗预期!C$4</f>
        <v>945166.49168146192</v>
      </c>
      <c r="AL91" s="28">
        <f>$AJ91/5*[1]战斗预期!D$4</f>
        <v>94516.649168146192</v>
      </c>
      <c r="AM91" s="28">
        <f>$AJ91/5*[1]战斗预期!E$4</f>
        <v>47258.324584073096</v>
      </c>
      <c r="AN91" s="28">
        <f>$AJ91/5*[1]战斗预期!F$4</f>
        <v>37806.659667258478</v>
      </c>
      <c r="AO91" s="28">
        <f>$AJ91/5*[1]战斗预期!G$4</f>
        <v>37806.659667258478</v>
      </c>
    </row>
    <row r="92" spans="9:41" x14ac:dyDescent="0.15">
      <c r="I92" s="27">
        <v>85</v>
      </c>
      <c r="J92" s="27">
        <f>[1]属性成长!$D92</f>
        <v>425</v>
      </c>
      <c r="K92" s="4">
        <v>85</v>
      </c>
      <c r="L92" s="4">
        <f t="shared" si="22"/>
        <v>85</v>
      </c>
      <c r="M92" s="4">
        <v>5</v>
      </c>
      <c r="N92" s="4">
        <v>85</v>
      </c>
      <c r="O92" s="4">
        <v>85</v>
      </c>
      <c r="P92" s="4">
        <v>5</v>
      </c>
      <c r="Q92" s="4">
        <v>1</v>
      </c>
      <c r="R92" s="4">
        <v>1</v>
      </c>
      <c r="S92" s="4">
        <v>0</v>
      </c>
      <c r="T92" s="4">
        <v>10</v>
      </c>
      <c r="U92" s="4">
        <v>28</v>
      </c>
      <c r="V92" s="4">
        <v>0</v>
      </c>
      <c r="W92" s="4">
        <v>6</v>
      </c>
      <c r="X92" s="5">
        <f t="shared" si="25"/>
        <v>0.25</v>
      </c>
      <c r="Y92" s="5">
        <f t="shared" si="26"/>
        <v>0.25</v>
      </c>
      <c r="Z92" s="13">
        <f t="shared" si="27"/>
        <v>6092.3878605958371</v>
      </c>
      <c r="AA92" s="13">
        <f t="shared" si="28"/>
        <v>5461.8440263882057</v>
      </c>
      <c r="AB92" s="13">
        <f t="shared" si="29"/>
        <v>12</v>
      </c>
      <c r="AC92" s="13">
        <f t="shared" si="23"/>
        <v>15680</v>
      </c>
      <c r="AD92" s="13">
        <f t="shared" si="30"/>
        <v>0</v>
      </c>
      <c r="AE92" s="28">
        <f t="shared" si="31"/>
        <v>27246.231886984042</v>
      </c>
      <c r="AF92" s="79">
        <f>INDEX(宠物缘分!$G$30:$G$34,MATCH(M92,宠物缘分!$B$30:$B$34,0),1)*IF(W92=2,1/4,IF(W92=3,1/2,IF(W92=4,3/4,IF(W92&gt;4,1,0))))/5</f>
        <v>0.18</v>
      </c>
      <c r="AG92" s="79">
        <f t="shared" si="24"/>
        <v>0.5</v>
      </c>
      <c r="AH92" s="6">
        <f t="shared" si="32"/>
        <v>4904.3217396571272</v>
      </c>
      <c r="AI92" s="6">
        <f t="shared" si="33"/>
        <v>13623.115943492021</v>
      </c>
      <c r="AJ92" s="28">
        <f t="shared" si="34"/>
        <v>48225.830439961755</v>
      </c>
      <c r="AK92" s="28">
        <f>$AJ92/5*[1]战斗预期!C$4</f>
        <v>964516.60879923508</v>
      </c>
      <c r="AL92" s="28">
        <f>$AJ92/5*[1]战斗预期!D$4</f>
        <v>96451.660879923511</v>
      </c>
      <c r="AM92" s="28">
        <f>$AJ92/5*[1]战斗预期!E$4</f>
        <v>48225.830439961755</v>
      </c>
      <c r="AN92" s="28">
        <f>$AJ92/5*[1]战斗预期!F$4</f>
        <v>38580.664351969404</v>
      </c>
      <c r="AO92" s="28">
        <f>$AJ92/5*[1]战斗预期!G$4</f>
        <v>38580.664351969404</v>
      </c>
    </row>
    <row r="93" spans="9:41" x14ac:dyDescent="0.15">
      <c r="I93" s="27">
        <v>86</v>
      </c>
      <c r="J93" s="27">
        <f>[1]属性成长!$D93</f>
        <v>430</v>
      </c>
      <c r="K93" s="4">
        <v>86</v>
      </c>
      <c r="L93" s="4">
        <f t="shared" si="22"/>
        <v>85</v>
      </c>
      <c r="M93" s="4">
        <v>5</v>
      </c>
      <c r="N93" s="4">
        <v>86</v>
      </c>
      <c r="O93" s="4">
        <v>85</v>
      </c>
      <c r="P93" s="4">
        <v>5</v>
      </c>
      <c r="Q93" s="4">
        <v>1</v>
      </c>
      <c r="R93" s="4">
        <v>1</v>
      </c>
      <c r="S93" s="4">
        <v>0</v>
      </c>
      <c r="T93" s="4">
        <v>10</v>
      </c>
      <c r="U93" s="4">
        <v>28</v>
      </c>
      <c r="V93" s="4">
        <v>0</v>
      </c>
      <c r="W93" s="4">
        <v>6</v>
      </c>
      <c r="X93" s="5">
        <f t="shared" si="25"/>
        <v>0.25</v>
      </c>
      <c r="Y93" s="5">
        <f t="shared" si="26"/>
        <v>0.25</v>
      </c>
      <c r="Z93" s="13">
        <f t="shared" si="27"/>
        <v>6106.8878605958371</v>
      </c>
      <c r="AA93" s="13">
        <f t="shared" si="28"/>
        <v>5494.0662486104284</v>
      </c>
      <c r="AB93" s="13">
        <f t="shared" si="29"/>
        <v>12</v>
      </c>
      <c r="AC93" s="13">
        <f t="shared" si="23"/>
        <v>15680</v>
      </c>
      <c r="AD93" s="13">
        <f t="shared" si="30"/>
        <v>0</v>
      </c>
      <c r="AE93" s="28">
        <f t="shared" si="31"/>
        <v>27292.954109206265</v>
      </c>
      <c r="AF93" s="79">
        <f>INDEX(宠物缘分!$G$30:$G$34,MATCH(M93,宠物缘分!$B$30:$B$34,0),1)*IF(W93=2,1/4,IF(W93=3,1/2,IF(W93=4,3/4,IF(W93&gt;4,1,0))))/5</f>
        <v>0.18</v>
      </c>
      <c r="AG93" s="79">
        <f t="shared" si="24"/>
        <v>0.5</v>
      </c>
      <c r="AH93" s="6">
        <f t="shared" si="32"/>
        <v>4912.731739657127</v>
      </c>
      <c r="AI93" s="6">
        <f t="shared" si="33"/>
        <v>13646.477054603132</v>
      </c>
      <c r="AJ93" s="28">
        <f t="shared" si="34"/>
        <v>48308.528773295089</v>
      </c>
      <c r="AK93" s="28">
        <f>$AJ93/5*[1]战斗预期!C$4</f>
        <v>966170.57546590187</v>
      </c>
      <c r="AL93" s="28">
        <f>$AJ93/5*[1]战斗预期!D$4</f>
        <v>96617.057546590193</v>
      </c>
      <c r="AM93" s="28">
        <f>$AJ93/5*[1]战斗预期!E$4</f>
        <v>48308.528773295096</v>
      </c>
      <c r="AN93" s="28">
        <f>$AJ93/5*[1]战斗预期!F$4</f>
        <v>38646.823018636074</v>
      </c>
      <c r="AO93" s="28">
        <f>$AJ93/5*[1]战斗预期!G$4</f>
        <v>38646.823018636074</v>
      </c>
    </row>
    <row r="94" spans="9:41" x14ac:dyDescent="0.15">
      <c r="I94" s="27">
        <v>87</v>
      </c>
      <c r="J94" s="27">
        <f>[1]属性成长!$D94</f>
        <v>435</v>
      </c>
      <c r="K94" s="4">
        <v>87</v>
      </c>
      <c r="L94" s="4">
        <f t="shared" si="22"/>
        <v>85</v>
      </c>
      <c r="M94" s="4">
        <v>5</v>
      </c>
      <c r="N94" s="4">
        <v>87</v>
      </c>
      <c r="O94" s="4">
        <v>85</v>
      </c>
      <c r="P94" s="4">
        <v>5</v>
      </c>
      <c r="Q94" s="4">
        <v>1</v>
      </c>
      <c r="R94" s="4">
        <v>1</v>
      </c>
      <c r="S94" s="4">
        <v>0</v>
      </c>
      <c r="T94" s="4">
        <v>10</v>
      </c>
      <c r="U94" s="4">
        <v>28</v>
      </c>
      <c r="V94" s="4">
        <v>0</v>
      </c>
      <c r="W94" s="4">
        <v>6</v>
      </c>
      <c r="X94" s="5">
        <f t="shared" si="25"/>
        <v>0.25</v>
      </c>
      <c r="Y94" s="5">
        <f t="shared" si="26"/>
        <v>0.25</v>
      </c>
      <c r="Z94" s="13">
        <f t="shared" si="27"/>
        <v>6121.3878605958371</v>
      </c>
      <c r="AA94" s="13">
        <f t="shared" si="28"/>
        <v>5526.288470832651</v>
      </c>
      <c r="AB94" s="13">
        <f t="shared" si="29"/>
        <v>12</v>
      </c>
      <c r="AC94" s="13">
        <f t="shared" si="23"/>
        <v>15680</v>
      </c>
      <c r="AD94" s="13">
        <f t="shared" si="30"/>
        <v>0</v>
      </c>
      <c r="AE94" s="28">
        <f t="shared" si="31"/>
        <v>27339.676331428487</v>
      </c>
      <c r="AF94" s="79">
        <f>INDEX(宠物缘分!$G$30:$G$34,MATCH(M94,宠物缘分!$B$30:$B$34,0),1)*IF(W94=2,1/4,IF(W94=3,1/2,IF(W94=4,3/4,IF(W94&gt;4,1,0))))/5</f>
        <v>0.18</v>
      </c>
      <c r="AG94" s="79">
        <f t="shared" si="24"/>
        <v>0.5</v>
      </c>
      <c r="AH94" s="6">
        <f t="shared" si="32"/>
        <v>4921.1417396571278</v>
      </c>
      <c r="AI94" s="6">
        <f t="shared" si="33"/>
        <v>13669.838165714244</v>
      </c>
      <c r="AJ94" s="28">
        <f t="shared" si="34"/>
        <v>48391.227106628423</v>
      </c>
      <c r="AK94" s="28">
        <f>$AJ94/5*[1]战斗预期!C$4</f>
        <v>967824.54213256843</v>
      </c>
      <c r="AL94" s="28">
        <f>$AJ94/5*[1]战斗预期!D$4</f>
        <v>96782.454213256846</v>
      </c>
      <c r="AM94" s="28">
        <f>$AJ94/5*[1]战斗预期!E$4</f>
        <v>48391.227106628423</v>
      </c>
      <c r="AN94" s="28">
        <f>$AJ94/5*[1]战斗预期!F$4</f>
        <v>38712.981685302737</v>
      </c>
      <c r="AO94" s="28">
        <f>$AJ94/5*[1]战斗预期!G$4</f>
        <v>38712.981685302737</v>
      </c>
    </row>
    <row r="95" spans="9:41" x14ac:dyDescent="0.15">
      <c r="I95" s="27">
        <v>88</v>
      </c>
      <c r="J95" s="27">
        <f>[1]属性成长!$D95</f>
        <v>440</v>
      </c>
      <c r="K95" s="4">
        <v>88</v>
      </c>
      <c r="L95" s="4">
        <f t="shared" si="22"/>
        <v>85</v>
      </c>
      <c r="M95" s="4">
        <v>5</v>
      </c>
      <c r="N95" s="4">
        <v>88</v>
      </c>
      <c r="O95" s="4">
        <v>85</v>
      </c>
      <c r="P95" s="4">
        <v>5</v>
      </c>
      <c r="Q95" s="4">
        <v>1</v>
      </c>
      <c r="R95" s="4">
        <v>1</v>
      </c>
      <c r="S95" s="4">
        <v>0</v>
      </c>
      <c r="T95" s="4">
        <v>10</v>
      </c>
      <c r="U95" s="4">
        <v>28</v>
      </c>
      <c r="V95" s="4">
        <v>0</v>
      </c>
      <c r="W95" s="4">
        <v>6</v>
      </c>
      <c r="X95" s="5">
        <f t="shared" si="25"/>
        <v>0.25</v>
      </c>
      <c r="Y95" s="5">
        <f t="shared" si="26"/>
        <v>0.25</v>
      </c>
      <c r="Z95" s="13">
        <f t="shared" si="27"/>
        <v>6135.8878605958371</v>
      </c>
      <c r="AA95" s="13">
        <f t="shared" si="28"/>
        <v>5558.5106930548727</v>
      </c>
      <c r="AB95" s="13">
        <f t="shared" si="29"/>
        <v>12</v>
      </c>
      <c r="AC95" s="13">
        <f t="shared" si="23"/>
        <v>15680</v>
      </c>
      <c r="AD95" s="13">
        <f t="shared" si="30"/>
        <v>0</v>
      </c>
      <c r="AE95" s="28">
        <f t="shared" si="31"/>
        <v>27386.39855365071</v>
      </c>
      <c r="AF95" s="79">
        <f>INDEX(宠物缘分!$G$30:$G$34,MATCH(M95,宠物缘分!$B$30:$B$34,0),1)*IF(W95=2,1/4,IF(W95=3,1/2,IF(W95=4,3/4,IF(W95&gt;4,1,0))))/5</f>
        <v>0.18</v>
      </c>
      <c r="AG95" s="79">
        <f t="shared" si="24"/>
        <v>0.5</v>
      </c>
      <c r="AH95" s="6">
        <f t="shared" si="32"/>
        <v>4929.5517396571277</v>
      </c>
      <c r="AI95" s="6">
        <f t="shared" si="33"/>
        <v>13693.199276825355</v>
      </c>
      <c r="AJ95" s="28">
        <f t="shared" si="34"/>
        <v>48473.925439961757</v>
      </c>
      <c r="AK95" s="28">
        <f>$AJ95/5*[1]战斗预期!C$4</f>
        <v>969478.50879923522</v>
      </c>
      <c r="AL95" s="28">
        <f>$AJ95/5*[1]战斗预期!D$4</f>
        <v>96947.850879923513</v>
      </c>
      <c r="AM95" s="28">
        <f>$AJ95/5*[1]战斗预期!E$4</f>
        <v>48473.925439961757</v>
      </c>
      <c r="AN95" s="28">
        <f>$AJ95/5*[1]战斗预期!F$4</f>
        <v>38779.140351969407</v>
      </c>
      <c r="AO95" s="28">
        <f>$AJ95/5*[1]战斗预期!G$4</f>
        <v>38779.140351969407</v>
      </c>
    </row>
    <row r="96" spans="9:41" x14ac:dyDescent="0.15">
      <c r="I96" s="27">
        <v>89</v>
      </c>
      <c r="J96" s="27">
        <f>[1]属性成长!$D96</f>
        <v>445</v>
      </c>
      <c r="K96" s="4">
        <v>89</v>
      </c>
      <c r="L96" s="4">
        <f t="shared" si="22"/>
        <v>85</v>
      </c>
      <c r="M96" s="4">
        <v>5</v>
      </c>
      <c r="N96" s="4">
        <v>89</v>
      </c>
      <c r="O96" s="4">
        <v>85</v>
      </c>
      <c r="P96" s="4">
        <v>5</v>
      </c>
      <c r="Q96" s="4">
        <v>1</v>
      </c>
      <c r="R96" s="4">
        <v>1</v>
      </c>
      <c r="S96" s="4">
        <v>0</v>
      </c>
      <c r="T96" s="4">
        <v>10</v>
      </c>
      <c r="U96" s="4">
        <v>28</v>
      </c>
      <c r="V96" s="4">
        <v>0</v>
      </c>
      <c r="W96" s="4">
        <v>6</v>
      </c>
      <c r="X96" s="5">
        <f t="shared" si="25"/>
        <v>0.25</v>
      </c>
      <c r="Y96" s="5">
        <f t="shared" si="26"/>
        <v>0.25</v>
      </c>
      <c r="Z96" s="13">
        <f t="shared" si="27"/>
        <v>6150.3878605958371</v>
      </c>
      <c r="AA96" s="13">
        <f t="shared" si="28"/>
        <v>5590.7329152770944</v>
      </c>
      <c r="AB96" s="13">
        <f t="shared" si="29"/>
        <v>12</v>
      </c>
      <c r="AC96" s="13">
        <f t="shared" si="23"/>
        <v>15680</v>
      </c>
      <c r="AD96" s="13">
        <f t="shared" si="30"/>
        <v>0</v>
      </c>
      <c r="AE96" s="28">
        <f t="shared" si="31"/>
        <v>27433.120775872932</v>
      </c>
      <c r="AF96" s="79">
        <f>INDEX(宠物缘分!$G$30:$G$34,MATCH(M96,宠物缘分!$B$30:$B$34,0),1)*IF(W96=2,1/4,IF(W96=3,1/2,IF(W96=4,3/4,IF(W96&gt;4,1,0))))/5</f>
        <v>0.18</v>
      </c>
      <c r="AG96" s="79">
        <f t="shared" si="24"/>
        <v>0.5</v>
      </c>
      <c r="AH96" s="6">
        <f t="shared" si="32"/>
        <v>4937.9617396571275</v>
      </c>
      <c r="AI96" s="6">
        <f t="shared" si="33"/>
        <v>13716.560387936466</v>
      </c>
      <c r="AJ96" s="28">
        <f t="shared" si="34"/>
        <v>48556.62377329509</v>
      </c>
      <c r="AK96" s="28">
        <f>$AJ96/5*[1]战斗预期!C$4</f>
        <v>971132.47546590178</v>
      </c>
      <c r="AL96" s="28">
        <f>$AJ96/5*[1]战斗预期!D$4</f>
        <v>97113.247546590166</v>
      </c>
      <c r="AM96" s="28">
        <f>$AJ96/5*[1]战斗预期!E$4</f>
        <v>48556.623773295083</v>
      </c>
      <c r="AN96" s="28">
        <f>$AJ96/5*[1]战斗预期!F$4</f>
        <v>38845.299018636069</v>
      </c>
      <c r="AO96" s="28">
        <f>$AJ96/5*[1]战斗预期!G$4</f>
        <v>38845.299018636069</v>
      </c>
    </row>
    <row r="97" spans="9:41" x14ac:dyDescent="0.15">
      <c r="I97" s="27">
        <v>90</v>
      </c>
      <c r="J97" s="27">
        <f>[1]属性成长!$D97</f>
        <v>450</v>
      </c>
      <c r="K97" s="4">
        <v>90</v>
      </c>
      <c r="L97" s="4">
        <f t="shared" si="22"/>
        <v>90</v>
      </c>
      <c r="M97" s="4">
        <v>5</v>
      </c>
      <c r="N97" s="4">
        <v>90</v>
      </c>
      <c r="O97" s="4">
        <v>90</v>
      </c>
      <c r="P97" s="4">
        <v>5</v>
      </c>
      <c r="Q97" s="4">
        <v>1</v>
      </c>
      <c r="R97" s="4">
        <v>1</v>
      </c>
      <c r="S97" s="4">
        <v>0</v>
      </c>
      <c r="T97" s="4">
        <v>10</v>
      </c>
      <c r="U97" s="4">
        <v>28</v>
      </c>
      <c r="V97" s="4">
        <v>0</v>
      </c>
      <c r="W97" s="4">
        <v>6</v>
      </c>
      <c r="X97" s="5">
        <f t="shared" si="25"/>
        <v>0.25</v>
      </c>
      <c r="Y97" s="5">
        <f t="shared" si="26"/>
        <v>0.25</v>
      </c>
      <c r="Z97" s="13">
        <f t="shared" si="27"/>
        <v>6451.3390801080322</v>
      </c>
      <c r="AA97" s="13">
        <f t="shared" si="28"/>
        <v>5846.7220751686946</v>
      </c>
      <c r="AB97" s="13">
        <f t="shared" si="29"/>
        <v>12</v>
      </c>
      <c r="AC97" s="13">
        <f t="shared" si="23"/>
        <v>15680</v>
      </c>
      <c r="AD97" s="13">
        <f t="shared" si="30"/>
        <v>0</v>
      </c>
      <c r="AE97" s="28">
        <f t="shared" si="31"/>
        <v>27990.061155276726</v>
      </c>
      <c r="AF97" s="79">
        <f>INDEX(宠物缘分!$G$30:$G$34,MATCH(M97,宠物缘分!$B$30:$B$34,0),1)*IF(W97=2,1/4,IF(W97=3,1/2,IF(W97=4,3/4,IF(W97&gt;4,1,0))))/5</f>
        <v>0.18</v>
      </c>
      <c r="AG97" s="79">
        <f t="shared" si="24"/>
        <v>0.5</v>
      </c>
      <c r="AH97" s="6">
        <f t="shared" si="32"/>
        <v>5038.2110079498107</v>
      </c>
      <c r="AI97" s="6">
        <f t="shared" si="33"/>
        <v>13995.030577638363</v>
      </c>
      <c r="AJ97" s="28">
        <f t="shared" si="34"/>
        <v>49542.408244839811</v>
      </c>
      <c r="AK97" s="28">
        <f>$AJ97/5*[1]战斗预期!C$4</f>
        <v>990848.16489679611</v>
      </c>
      <c r="AL97" s="28">
        <f>$AJ97/5*[1]战斗预期!D$4</f>
        <v>99084.816489679622</v>
      </c>
      <c r="AM97" s="28">
        <f>$AJ97/5*[1]战斗预期!E$4</f>
        <v>49542.408244839811</v>
      </c>
      <c r="AN97" s="28">
        <f>$AJ97/5*[1]战斗预期!F$4</f>
        <v>39633.926595871846</v>
      </c>
      <c r="AO97" s="28">
        <f>$AJ97/5*[1]战斗预期!G$4</f>
        <v>39633.926595871846</v>
      </c>
    </row>
    <row r="98" spans="9:41" x14ac:dyDescent="0.15">
      <c r="I98" s="27">
        <v>91</v>
      </c>
      <c r="J98" s="27">
        <f>[1]属性成长!$D98</f>
        <v>455</v>
      </c>
      <c r="K98" s="4">
        <v>91</v>
      </c>
      <c r="L98" s="4">
        <f t="shared" si="22"/>
        <v>90</v>
      </c>
      <c r="M98" s="4">
        <v>5</v>
      </c>
      <c r="N98" s="4">
        <v>91</v>
      </c>
      <c r="O98" s="4">
        <v>90</v>
      </c>
      <c r="P98" s="4">
        <v>5</v>
      </c>
      <c r="Q98" s="4">
        <v>1</v>
      </c>
      <c r="R98" s="4">
        <v>1</v>
      </c>
      <c r="S98" s="4">
        <v>0</v>
      </c>
      <c r="T98" s="4">
        <v>10</v>
      </c>
      <c r="U98" s="4">
        <v>28</v>
      </c>
      <c r="V98" s="4">
        <v>0</v>
      </c>
      <c r="W98" s="4">
        <v>6</v>
      </c>
      <c r="X98" s="5">
        <f t="shared" si="25"/>
        <v>0.25</v>
      </c>
      <c r="Y98" s="5">
        <f t="shared" si="26"/>
        <v>0.25</v>
      </c>
      <c r="Z98" s="13">
        <f t="shared" si="27"/>
        <v>6466.3390801080322</v>
      </c>
      <c r="AA98" s="13">
        <f t="shared" si="28"/>
        <v>5880.0554085020267</v>
      </c>
      <c r="AB98" s="13">
        <f t="shared" si="29"/>
        <v>12</v>
      </c>
      <c r="AC98" s="13">
        <f t="shared" si="23"/>
        <v>15680</v>
      </c>
      <c r="AD98" s="13">
        <f t="shared" si="30"/>
        <v>0</v>
      </c>
      <c r="AE98" s="28">
        <f t="shared" si="31"/>
        <v>28038.394488610058</v>
      </c>
      <c r="AF98" s="79">
        <f>INDEX(宠物缘分!$G$30:$G$34,MATCH(M98,宠物缘分!$B$30:$B$34,0),1)*IF(W98=2,1/4,IF(W98=3,1/2,IF(W98=4,3/4,IF(W98&gt;4,1,0))))/5</f>
        <v>0.18</v>
      </c>
      <c r="AG98" s="79">
        <f t="shared" si="24"/>
        <v>0.5</v>
      </c>
      <c r="AH98" s="6">
        <f t="shared" si="32"/>
        <v>5046.9110079498105</v>
      </c>
      <c r="AI98" s="6">
        <f t="shared" si="33"/>
        <v>14019.197244305029</v>
      </c>
      <c r="AJ98" s="28">
        <f t="shared" si="34"/>
        <v>49627.9582448398</v>
      </c>
      <c r="AK98" s="28">
        <f>$AJ98/5*[1]战斗预期!C$4</f>
        <v>992559.16489679599</v>
      </c>
      <c r="AL98" s="28">
        <f>$AJ98/5*[1]战斗预期!D$4</f>
        <v>99255.916489679599</v>
      </c>
      <c r="AM98" s="28">
        <f>$AJ98/5*[1]战斗预期!E$4</f>
        <v>49627.9582448398</v>
      </c>
      <c r="AN98" s="28">
        <f>$AJ98/5*[1]战斗预期!F$4</f>
        <v>39702.366595871841</v>
      </c>
      <c r="AO98" s="28">
        <f>$AJ98/5*[1]战斗预期!G$4</f>
        <v>39702.366595871841</v>
      </c>
    </row>
    <row r="99" spans="9:41" x14ac:dyDescent="0.15">
      <c r="I99" s="27">
        <v>92</v>
      </c>
      <c r="J99" s="27">
        <f>[1]属性成长!$D99</f>
        <v>460</v>
      </c>
      <c r="K99" s="4">
        <v>92</v>
      </c>
      <c r="L99" s="4">
        <f t="shared" si="22"/>
        <v>90</v>
      </c>
      <c r="M99" s="4">
        <v>5</v>
      </c>
      <c r="N99" s="4">
        <v>92</v>
      </c>
      <c r="O99" s="4">
        <v>90</v>
      </c>
      <c r="P99" s="4">
        <v>5</v>
      </c>
      <c r="Q99" s="4">
        <v>1</v>
      </c>
      <c r="R99" s="4">
        <v>1</v>
      </c>
      <c r="S99" s="4">
        <v>0</v>
      </c>
      <c r="T99" s="4">
        <v>10</v>
      </c>
      <c r="U99" s="4">
        <v>28</v>
      </c>
      <c r="V99" s="4">
        <v>0</v>
      </c>
      <c r="W99" s="4">
        <v>6</v>
      </c>
      <c r="X99" s="5">
        <f t="shared" si="25"/>
        <v>0.25</v>
      </c>
      <c r="Y99" s="5">
        <f t="shared" si="26"/>
        <v>0.25</v>
      </c>
      <c r="Z99" s="13">
        <f t="shared" si="27"/>
        <v>6481.3390801080322</v>
      </c>
      <c r="AA99" s="13">
        <f t="shared" si="28"/>
        <v>5913.3887418353606</v>
      </c>
      <c r="AB99" s="13">
        <f t="shared" si="29"/>
        <v>12</v>
      </c>
      <c r="AC99" s="13">
        <f t="shared" si="23"/>
        <v>15680</v>
      </c>
      <c r="AD99" s="13">
        <f t="shared" si="30"/>
        <v>0</v>
      </c>
      <c r="AE99" s="28">
        <f t="shared" si="31"/>
        <v>28086.727821943394</v>
      </c>
      <c r="AF99" s="79">
        <f>INDEX(宠物缘分!$G$30:$G$34,MATCH(M99,宠物缘分!$B$30:$B$34,0),1)*IF(W99=2,1/4,IF(W99=3,1/2,IF(W99=4,3/4,IF(W99&gt;4,1,0))))/5</f>
        <v>0.18</v>
      </c>
      <c r="AG99" s="79">
        <f t="shared" si="24"/>
        <v>0.5</v>
      </c>
      <c r="AH99" s="6">
        <f t="shared" si="32"/>
        <v>5055.6110079498103</v>
      </c>
      <c r="AI99" s="6">
        <f t="shared" si="33"/>
        <v>14043.363910971697</v>
      </c>
      <c r="AJ99" s="28">
        <f t="shared" si="34"/>
        <v>49713.508244839803</v>
      </c>
      <c r="AK99" s="28">
        <f>$AJ99/5*[1]战斗预期!C$4</f>
        <v>994270.16489679611</v>
      </c>
      <c r="AL99" s="28">
        <f>$AJ99/5*[1]战斗预期!D$4</f>
        <v>99427.016489679605</v>
      </c>
      <c r="AM99" s="28">
        <f>$AJ99/5*[1]战斗预期!E$4</f>
        <v>49713.508244839803</v>
      </c>
      <c r="AN99" s="28">
        <f>$AJ99/5*[1]战斗预期!F$4</f>
        <v>39770.806595871843</v>
      </c>
      <c r="AO99" s="28">
        <f>$AJ99/5*[1]战斗预期!G$4</f>
        <v>39770.806595871843</v>
      </c>
    </row>
    <row r="100" spans="9:41" x14ac:dyDescent="0.15">
      <c r="I100" s="27">
        <v>93</v>
      </c>
      <c r="J100" s="27">
        <f>[1]属性成长!$D100</f>
        <v>465</v>
      </c>
      <c r="K100" s="4">
        <v>93</v>
      </c>
      <c r="L100" s="4">
        <f t="shared" si="22"/>
        <v>90</v>
      </c>
      <c r="M100" s="4">
        <v>5</v>
      </c>
      <c r="N100" s="4">
        <v>93</v>
      </c>
      <c r="O100" s="4">
        <v>90</v>
      </c>
      <c r="P100" s="4">
        <v>5</v>
      </c>
      <c r="Q100" s="4">
        <v>1</v>
      </c>
      <c r="R100" s="4">
        <v>1</v>
      </c>
      <c r="S100" s="4">
        <v>0</v>
      </c>
      <c r="T100" s="4">
        <v>10</v>
      </c>
      <c r="U100" s="4">
        <v>28</v>
      </c>
      <c r="V100" s="4">
        <v>0</v>
      </c>
      <c r="W100" s="4">
        <v>6</v>
      </c>
      <c r="X100" s="5">
        <f t="shared" si="25"/>
        <v>0.25</v>
      </c>
      <c r="Y100" s="5">
        <f t="shared" si="26"/>
        <v>0.25</v>
      </c>
      <c r="Z100" s="13">
        <f t="shared" si="27"/>
        <v>6496.3390801080322</v>
      </c>
      <c r="AA100" s="13">
        <f t="shared" si="28"/>
        <v>5946.7220751686946</v>
      </c>
      <c r="AB100" s="13">
        <f t="shared" si="29"/>
        <v>12</v>
      </c>
      <c r="AC100" s="13">
        <f t="shared" si="23"/>
        <v>15680</v>
      </c>
      <c r="AD100" s="13">
        <f t="shared" si="30"/>
        <v>0</v>
      </c>
      <c r="AE100" s="28">
        <f t="shared" si="31"/>
        <v>28135.061155276726</v>
      </c>
      <c r="AF100" s="79">
        <f>INDEX(宠物缘分!$G$30:$G$34,MATCH(M100,宠物缘分!$B$30:$B$34,0),1)*IF(W100=2,1/4,IF(W100=3,1/2,IF(W100=4,3/4,IF(W100&gt;4,1,0))))/5</f>
        <v>0.18</v>
      </c>
      <c r="AG100" s="79">
        <f t="shared" si="24"/>
        <v>0.5</v>
      </c>
      <c r="AH100" s="6">
        <f t="shared" si="32"/>
        <v>5064.3110079498101</v>
      </c>
      <c r="AI100" s="6">
        <f t="shared" si="33"/>
        <v>14067.530577638363</v>
      </c>
      <c r="AJ100" s="28">
        <f t="shared" si="34"/>
        <v>49799.058244839805</v>
      </c>
      <c r="AK100" s="28">
        <f>$AJ100/5*[1]战斗预期!C$4</f>
        <v>995981.16489679611</v>
      </c>
      <c r="AL100" s="28">
        <f>$AJ100/5*[1]战斗预期!D$4</f>
        <v>99598.116489679611</v>
      </c>
      <c r="AM100" s="28">
        <f>$AJ100/5*[1]战斗预期!E$4</f>
        <v>49799.058244839805</v>
      </c>
      <c r="AN100" s="28">
        <f>$AJ100/5*[1]战斗预期!F$4</f>
        <v>39839.246595871846</v>
      </c>
      <c r="AO100" s="28">
        <f>$AJ100/5*[1]战斗预期!G$4</f>
        <v>39839.246595871846</v>
      </c>
    </row>
    <row r="101" spans="9:41" x14ac:dyDescent="0.15">
      <c r="I101" s="27">
        <v>94</v>
      </c>
      <c r="J101" s="27">
        <f>[1]属性成长!$D101</f>
        <v>470</v>
      </c>
      <c r="K101" s="4">
        <v>94</v>
      </c>
      <c r="L101" s="4">
        <f t="shared" si="22"/>
        <v>90</v>
      </c>
      <c r="M101" s="4">
        <v>5</v>
      </c>
      <c r="N101" s="4">
        <v>94</v>
      </c>
      <c r="O101" s="4">
        <v>90</v>
      </c>
      <c r="P101" s="4">
        <v>5</v>
      </c>
      <c r="Q101" s="4">
        <v>1</v>
      </c>
      <c r="R101" s="4">
        <v>1</v>
      </c>
      <c r="S101" s="4">
        <v>0</v>
      </c>
      <c r="T101" s="4">
        <v>10</v>
      </c>
      <c r="U101" s="4">
        <v>28</v>
      </c>
      <c r="V101" s="4">
        <v>0</v>
      </c>
      <c r="W101" s="4">
        <v>6</v>
      </c>
      <c r="X101" s="5">
        <f t="shared" si="25"/>
        <v>0.25</v>
      </c>
      <c r="Y101" s="5">
        <f t="shared" si="26"/>
        <v>0.25</v>
      </c>
      <c r="Z101" s="13">
        <f t="shared" si="27"/>
        <v>6511.3390801080322</v>
      </c>
      <c r="AA101" s="13">
        <f t="shared" si="28"/>
        <v>5980.0554085020276</v>
      </c>
      <c r="AB101" s="13">
        <f t="shared" si="29"/>
        <v>12</v>
      </c>
      <c r="AC101" s="13">
        <f t="shared" si="23"/>
        <v>15680</v>
      </c>
      <c r="AD101" s="13">
        <f t="shared" si="30"/>
        <v>0</v>
      </c>
      <c r="AE101" s="28">
        <f t="shared" si="31"/>
        <v>28183.394488610058</v>
      </c>
      <c r="AF101" s="79">
        <f>INDEX(宠物缘分!$G$30:$G$34,MATCH(M101,宠物缘分!$B$30:$B$34,0),1)*IF(W101=2,1/4,IF(W101=3,1/2,IF(W101=4,3/4,IF(W101&gt;4,1,0))))/5</f>
        <v>0.18</v>
      </c>
      <c r="AG101" s="79">
        <f t="shared" si="24"/>
        <v>0.5</v>
      </c>
      <c r="AH101" s="6">
        <f t="shared" si="32"/>
        <v>5073.0110079498099</v>
      </c>
      <c r="AI101" s="6">
        <f t="shared" si="33"/>
        <v>14091.697244305029</v>
      </c>
      <c r="AJ101" s="28">
        <f t="shared" si="34"/>
        <v>49884.608244839808</v>
      </c>
      <c r="AK101" s="28">
        <f>$AJ101/5*[1]战斗预期!C$4</f>
        <v>997692.16489679622</v>
      </c>
      <c r="AL101" s="28">
        <f>$AJ101/5*[1]战斗预期!D$4</f>
        <v>99769.216489679617</v>
      </c>
      <c r="AM101" s="28">
        <f>$AJ101/5*[1]战斗预期!E$4</f>
        <v>49884.608244839808</v>
      </c>
      <c r="AN101" s="28">
        <f>$AJ101/5*[1]战斗预期!F$4</f>
        <v>39907.686595871848</v>
      </c>
      <c r="AO101" s="28">
        <f>$AJ101/5*[1]战斗预期!G$4</f>
        <v>39907.686595871848</v>
      </c>
    </row>
    <row r="102" spans="9:41" x14ac:dyDescent="0.15">
      <c r="I102" s="27">
        <v>95</v>
      </c>
      <c r="J102" s="27">
        <f>[1]属性成长!$D102</f>
        <v>475</v>
      </c>
      <c r="K102" s="4">
        <v>95</v>
      </c>
      <c r="L102" s="4">
        <f t="shared" si="22"/>
        <v>95</v>
      </c>
      <c r="M102" s="4">
        <v>5</v>
      </c>
      <c r="N102" s="4">
        <v>95</v>
      </c>
      <c r="O102" s="4">
        <v>95</v>
      </c>
      <c r="P102" s="4">
        <v>5</v>
      </c>
      <c r="Q102" s="4">
        <v>1</v>
      </c>
      <c r="R102" s="4">
        <v>1</v>
      </c>
      <c r="S102" s="4">
        <v>0</v>
      </c>
      <c r="T102" s="4">
        <v>10</v>
      </c>
      <c r="U102" s="4">
        <v>28</v>
      </c>
      <c r="V102" s="4">
        <v>0</v>
      </c>
      <c r="W102" s="4">
        <v>6</v>
      </c>
      <c r="X102" s="5">
        <f t="shared" si="25"/>
        <v>0.25</v>
      </c>
      <c r="Y102" s="5">
        <f t="shared" si="26"/>
        <v>0.25</v>
      </c>
      <c r="Z102" s="13">
        <f t="shared" si="27"/>
        <v>6815.6379306827457</v>
      </c>
      <c r="AA102" s="13">
        <f t="shared" si="28"/>
        <v>6242.8331862798059</v>
      </c>
      <c r="AB102" s="13">
        <f t="shared" si="29"/>
        <v>12</v>
      </c>
      <c r="AC102" s="13">
        <f t="shared" si="23"/>
        <v>15680</v>
      </c>
      <c r="AD102" s="13">
        <f t="shared" si="30"/>
        <v>0</v>
      </c>
      <c r="AE102" s="28">
        <f t="shared" si="31"/>
        <v>28750.471116962552</v>
      </c>
      <c r="AF102" s="79">
        <f>INDEX(宠物缘分!$G$30:$G$34,MATCH(M102,宠物缘分!$B$30:$B$34,0),1)*IF(W102=2,1/4,IF(W102=3,1/2,IF(W102=4,3/4,IF(W102&gt;4,1,0))))/5</f>
        <v>0.18</v>
      </c>
      <c r="AG102" s="79">
        <f t="shared" si="24"/>
        <v>0.5</v>
      </c>
      <c r="AH102" s="6">
        <f t="shared" si="32"/>
        <v>5175.0848010532591</v>
      </c>
      <c r="AI102" s="6">
        <f t="shared" si="33"/>
        <v>14375.235558481276</v>
      </c>
      <c r="AJ102" s="28">
        <f t="shared" si="34"/>
        <v>50888.333877023717</v>
      </c>
      <c r="AK102" s="28">
        <f>$AJ102/5*[1]战斗预期!C$4</f>
        <v>1017766.6775404743</v>
      </c>
      <c r="AL102" s="28">
        <f>$AJ102/5*[1]战斗预期!D$4</f>
        <v>101776.66775404743</v>
      </c>
      <c r="AM102" s="28">
        <f>$AJ102/5*[1]战斗预期!E$4</f>
        <v>50888.333877023717</v>
      </c>
      <c r="AN102" s="28">
        <f>$AJ102/5*[1]战斗预期!F$4</f>
        <v>40710.667101618972</v>
      </c>
      <c r="AO102" s="28">
        <f>$AJ102/5*[1]战斗预期!G$4</f>
        <v>40710.667101618972</v>
      </c>
    </row>
    <row r="103" spans="9:41" x14ac:dyDescent="0.15">
      <c r="I103" s="27">
        <v>96</v>
      </c>
      <c r="J103" s="27">
        <f>[1]属性成长!$D103</f>
        <v>480</v>
      </c>
      <c r="K103" s="4">
        <v>96</v>
      </c>
      <c r="L103" s="4">
        <f t="shared" si="22"/>
        <v>95</v>
      </c>
      <c r="M103" s="4">
        <v>5</v>
      </c>
      <c r="N103" s="4">
        <v>96</v>
      </c>
      <c r="O103" s="4">
        <v>95</v>
      </c>
      <c r="P103" s="4">
        <v>5</v>
      </c>
      <c r="Q103" s="4">
        <v>1</v>
      </c>
      <c r="R103" s="4">
        <v>1</v>
      </c>
      <c r="S103" s="4">
        <v>0</v>
      </c>
      <c r="T103" s="4">
        <v>10</v>
      </c>
      <c r="U103" s="4">
        <v>28</v>
      </c>
      <c r="V103" s="4">
        <v>0</v>
      </c>
      <c r="W103" s="4">
        <v>6</v>
      </c>
      <c r="X103" s="5">
        <f t="shared" si="25"/>
        <v>0.25</v>
      </c>
      <c r="Y103" s="5">
        <f t="shared" si="26"/>
        <v>0.25</v>
      </c>
      <c r="Z103" s="13">
        <f t="shared" si="27"/>
        <v>6831.1379306827457</v>
      </c>
      <c r="AA103" s="13">
        <f t="shared" si="28"/>
        <v>6277.2776307242493</v>
      </c>
      <c r="AB103" s="13">
        <f t="shared" si="29"/>
        <v>12</v>
      </c>
      <c r="AC103" s="13">
        <f t="shared" si="23"/>
        <v>15680</v>
      </c>
      <c r="AD103" s="13">
        <f t="shared" si="30"/>
        <v>0</v>
      </c>
      <c r="AE103" s="28">
        <f t="shared" si="31"/>
        <v>28800.415561406997</v>
      </c>
      <c r="AF103" s="79">
        <f>INDEX(宠物缘分!$G$30:$G$34,MATCH(M103,宠物缘分!$B$30:$B$34,0),1)*IF(W103=2,1/4,IF(W103=3,1/2,IF(W103=4,3/4,IF(W103&gt;4,1,0))))/5</f>
        <v>0.18</v>
      </c>
      <c r="AG103" s="79">
        <f t="shared" si="24"/>
        <v>0.5</v>
      </c>
      <c r="AH103" s="6">
        <f t="shared" si="32"/>
        <v>5184.0748010532589</v>
      </c>
      <c r="AI103" s="6">
        <f t="shared" si="33"/>
        <v>14400.207780703498</v>
      </c>
      <c r="AJ103" s="28">
        <f t="shared" si="34"/>
        <v>50976.735543690374</v>
      </c>
      <c r="AK103" s="28">
        <f>$AJ103/5*[1]战斗预期!C$4</f>
        <v>1019534.7108738075</v>
      </c>
      <c r="AL103" s="28">
        <f>$AJ103/5*[1]战斗预期!D$4</f>
        <v>101953.47108738075</v>
      </c>
      <c r="AM103" s="28">
        <f>$AJ103/5*[1]战斗预期!E$4</f>
        <v>50976.735543690374</v>
      </c>
      <c r="AN103" s="28">
        <f>$AJ103/5*[1]战斗预期!F$4</f>
        <v>40781.3884349523</v>
      </c>
      <c r="AO103" s="28">
        <f>$AJ103/5*[1]战斗预期!G$4</f>
        <v>40781.3884349523</v>
      </c>
    </row>
    <row r="104" spans="9:41" x14ac:dyDescent="0.15">
      <c r="I104" s="27">
        <v>97</v>
      </c>
      <c r="J104" s="27">
        <f>[1]属性成长!$D104</f>
        <v>485</v>
      </c>
      <c r="K104" s="4">
        <v>97</v>
      </c>
      <c r="L104" s="4">
        <f t="shared" ref="L104:L107" si="35">INDEX($A$49:$A$69,MATCH(K104,$A$49:$A$69,1),1)</f>
        <v>95</v>
      </c>
      <c r="M104" s="4">
        <v>5</v>
      </c>
      <c r="N104" s="4">
        <v>97</v>
      </c>
      <c r="O104" s="4">
        <v>95</v>
      </c>
      <c r="P104" s="4">
        <v>5</v>
      </c>
      <c r="Q104" s="4">
        <v>1</v>
      </c>
      <c r="R104" s="4">
        <v>1</v>
      </c>
      <c r="S104" s="4">
        <v>0</v>
      </c>
      <c r="T104" s="4">
        <v>10</v>
      </c>
      <c r="U104" s="4">
        <v>28</v>
      </c>
      <c r="V104" s="4">
        <v>0</v>
      </c>
      <c r="W104" s="4">
        <v>6</v>
      </c>
      <c r="X104" s="5">
        <f t="shared" si="25"/>
        <v>0.25</v>
      </c>
      <c r="Y104" s="5">
        <f t="shared" si="26"/>
        <v>0.25</v>
      </c>
      <c r="Z104" s="13">
        <f t="shared" si="27"/>
        <v>6846.6379306827457</v>
      </c>
      <c r="AA104" s="13">
        <f t="shared" si="28"/>
        <v>6311.7220751686946</v>
      </c>
      <c r="AB104" s="13">
        <f t="shared" si="29"/>
        <v>12</v>
      </c>
      <c r="AC104" s="13">
        <f t="shared" si="23"/>
        <v>15680</v>
      </c>
      <c r="AD104" s="13">
        <f t="shared" si="30"/>
        <v>0</v>
      </c>
      <c r="AE104" s="28">
        <f t="shared" si="31"/>
        <v>28850.360005851442</v>
      </c>
      <c r="AF104" s="79">
        <f>INDEX(宠物缘分!$G$30:$G$34,MATCH(M104,宠物缘分!$B$30:$B$34,0),1)*IF(W104=2,1/4,IF(W104=3,1/2,IF(W104=4,3/4,IF(W104&gt;4,1,0))))/5</f>
        <v>0.18</v>
      </c>
      <c r="AG104" s="79">
        <f t="shared" si="24"/>
        <v>0.5</v>
      </c>
      <c r="AH104" s="6">
        <f t="shared" si="32"/>
        <v>5193.0648010532595</v>
      </c>
      <c r="AI104" s="6">
        <f t="shared" si="33"/>
        <v>14425.180002925721</v>
      </c>
      <c r="AJ104" s="28">
        <f t="shared" si="34"/>
        <v>51065.137210357054</v>
      </c>
      <c r="AK104" s="28">
        <f>$AJ104/5*[1]战斗预期!C$4</f>
        <v>1021302.744207141</v>
      </c>
      <c r="AL104" s="28">
        <f>$AJ104/5*[1]战斗预期!D$4</f>
        <v>102130.27442071411</v>
      </c>
      <c r="AM104" s="28">
        <f>$AJ104/5*[1]战斗预期!E$4</f>
        <v>51065.137210357054</v>
      </c>
      <c r="AN104" s="28">
        <f>$AJ104/5*[1]战斗预期!F$4</f>
        <v>40852.109768285642</v>
      </c>
      <c r="AO104" s="28">
        <f>$AJ104/5*[1]战斗预期!G$4</f>
        <v>40852.109768285642</v>
      </c>
    </row>
    <row r="105" spans="9:41" x14ac:dyDescent="0.15">
      <c r="I105" s="27">
        <v>98</v>
      </c>
      <c r="J105" s="27">
        <f>[1]属性成长!$D105</f>
        <v>490</v>
      </c>
      <c r="K105" s="4">
        <v>98</v>
      </c>
      <c r="L105" s="4">
        <f t="shared" si="35"/>
        <v>95</v>
      </c>
      <c r="M105" s="4">
        <v>5</v>
      </c>
      <c r="N105" s="4">
        <v>98</v>
      </c>
      <c r="O105" s="4">
        <v>95</v>
      </c>
      <c r="P105" s="4">
        <v>5</v>
      </c>
      <c r="Q105" s="4">
        <v>1</v>
      </c>
      <c r="R105" s="4">
        <v>1</v>
      </c>
      <c r="S105" s="4">
        <v>0</v>
      </c>
      <c r="T105" s="4">
        <v>10</v>
      </c>
      <c r="U105" s="4">
        <v>28</v>
      </c>
      <c r="V105" s="4">
        <v>0</v>
      </c>
      <c r="W105" s="4">
        <v>6</v>
      </c>
      <c r="X105" s="5">
        <f t="shared" si="25"/>
        <v>0.25</v>
      </c>
      <c r="Y105" s="5">
        <f t="shared" si="26"/>
        <v>0.25</v>
      </c>
      <c r="Z105" s="13">
        <f t="shared" si="27"/>
        <v>6862.1379306827457</v>
      </c>
      <c r="AA105" s="13">
        <f t="shared" si="28"/>
        <v>6346.166519613138</v>
      </c>
      <c r="AB105" s="13">
        <f t="shared" si="29"/>
        <v>12</v>
      </c>
      <c r="AC105" s="13">
        <f t="shared" si="23"/>
        <v>15680</v>
      </c>
      <c r="AD105" s="13">
        <f t="shared" si="30"/>
        <v>0</v>
      </c>
      <c r="AE105" s="28">
        <f t="shared" si="31"/>
        <v>28900.304450295884</v>
      </c>
      <c r="AF105" s="79">
        <f>INDEX(宠物缘分!$G$30:$G$34,MATCH(M105,宠物缘分!$B$30:$B$34,0),1)*IF(W105=2,1/4,IF(W105=3,1/2,IF(W105=4,3/4,IF(W105&gt;4,1,0))))/5</f>
        <v>0.18</v>
      </c>
      <c r="AG105" s="79">
        <f t="shared" si="24"/>
        <v>0.5</v>
      </c>
      <c r="AH105" s="6">
        <f t="shared" si="32"/>
        <v>5202.0548010532593</v>
      </c>
      <c r="AI105" s="6">
        <f t="shared" si="33"/>
        <v>14450.152225147942</v>
      </c>
      <c r="AJ105" s="28">
        <f t="shared" si="34"/>
        <v>51153.538877023704</v>
      </c>
      <c r="AK105" s="28">
        <f>$AJ105/5*[1]战斗预期!C$4</f>
        <v>1023070.7775404741</v>
      </c>
      <c r="AL105" s="28">
        <f>$AJ105/5*[1]战斗预期!D$4</f>
        <v>102307.07775404741</v>
      </c>
      <c r="AM105" s="28">
        <f>$AJ105/5*[1]战斗预期!E$4</f>
        <v>51153.538877023704</v>
      </c>
      <c r="AN105" s="28">
        <f>$AJ105/5*[1]战斗预期!F$4</f>
        <v>40922.831101618962</v>
      </c>
      <c r="AO105" s="28">
        <f>$AJ105/5*[1]战斗预期!G$4</f>
        <v>40922.831101618962</v>
      </c>
    </row>
    <row r="106" spans="9:41" x14ac:dyDescent="0.15">
      <c r="I106" s="27">
        <v>99</v>
      </c>
      <c r="J106" s="27">
        <f>[1]属性成长!$D106</f>
        <v>495</v>
      </c>
      <c r="K106" s="4">
        <v>99</v>
      </c>
      <c r="L106" s="4">
        <f t="shared" si="35"/>
        <v>95</v>
      </c>
      <c r="M106" s="4">
        <v>5</v>
      </c>
      <c r="N106" s="4">
        <v>99</v>
      </c>
      <c r="O106" s="4">
        <v>95</v>
      </c>
      <c r="P106" s="4">
        <v>5</v>
      </c>
      <c r="Q106" s="4">
        <v>1</v>
      </c>
      <c r="R106" s="4">
        <v>1</v>
      </c>
      <c r="S106" s="4">
        <v>0</v>
      </c>
      <c r="T106" s="4">
        <v>10</v>
      </c>
      <c r="U106" s="4">
        <v>28</v>
      </c>
      <c r="V106" s="4">
        <v>0</v>
      </c>
      <c r="W106" s="4">
        <v>6</v>
      </c>
      <c r="X106" s="5">
        <f t="shared" si="25"/>
        <v>0.25</v>
      </c>
      <c r="Y106" s="5">
        <f t="shared" si="26"/>
        <v>0.25</v>
      </c>
      <c r="Z106" s="13">
        <f t="shared" si="27"/>
        <v>6877.6379306827457</v>
      </c>
      <c r="AA106" s="13">
        <f t="shared" si="28"/>
        <v>6380.6109640575833</v>
      </c>
      <c r="AB106" s="13">
        <f t="shared" si="29"/>
        <v>12</v>
      </c>
      <c r="AC106" s="13">
        <f t="shared" si="23"/>
        <v>15680</v>
      </c>
      <c r="AD106" s="13">
        <f t="shared" si="30"/>
        <v>0</v>
      </c>
      <c r="AE106" s="28">
        <f t="shared" si="31"/>
        <v>28950.248894740329</v>
      </c>
      <c r="AF106" s="79">
        <f>INDEX(宠物缘分!$G$30:$G$34,MATCH(M106,宠物缘分!$B$30:$B$34,0),1)*IF(W106=2,1/4,IF(W106=3,1/2,IF(W106=4,3/4,IF(W106&gt;4,1,0))))/5</f>
        <v>0.18</v>
      </c>
      <c r="AG106" s="79">
        <f t="shared" si="24"/>
        <v>0.5</v>
      </c>
      <c r="AH106" s="6">
        <f t="shared" si="32"/>
        <v>5211.0448010532591</v>
      </c>
      <c r="AI106" s="6">
        <f t="shared" si="33"/>
        <v>14475.124447370164</v>
      </c>
      <c r="AJ106" s="28">
        <f t="shared" si="34"/>
        <v>51241.940543690383</v>
      </c>
      <c r="AK106" s="28">
        <f>$AJ106/5*[1]战斗预期!C$4</f>
        <v>1024838.8108738076</v>
      </c>
      <c r="AL106" s="28">
        <f>$AJ106/5*[1]战斗预期!D$4</f>
        <v>102483.88108738075</v>
      </c>
      <c r="AM106" s="28">
        <f>$AJ106/5*[1]战斗预期!E$4</f>
        <v>51241.940543690376</v>
      </c>
      <c r="AN106" s="28">
        <f>$AJ106/5*[1]战斗预期!F$4</f>
        <v>40993.552434952304</v>
      </c>
      <c r="AO106" s="28">
        <f>$AJ106/5*[1]战斗预期!G$4</f>
        <v>40993.552434952304</v>
      </c>
    </row>
    <row r="107" spans="9:41" x14ac:dyDescent="0.15">
      <c r="I107" s="27">
        <v>100</v>
      </c>
      <c r="J107" s="27">
        <f>[1]属性成长!$D107</f>
        <v>500</v>
      </c>
      <c r="K107" s="4">
        <v>100</v>
      </c>
      <c r="L107" s="4">
        <f t="shared" si="35"/>
        <v>100</v>
      </c>
      <c r="M107" s="4">
        <v>5</v>
      </c>
      <c r="N107" s="4">
        <v>100</v>
      </c>
      <c r="O107" s="4">
        <v>100</v>
      </c>
      <c r="P107" s="4">
        <v>5</v>
      </c>
      <c r="Q107" s="4">
        <v>1</v>
      </c>
      <c r="R107" s="4">
        <v>1</v>
      </c>
      <c r="S107" s="4">
        <v>0</v>
      </c>
      <c r="T107" s="4">
        <v>10</v>
      </c>
      <c r="U107" s="4">
        <v>28</v>
      </c>
      <c r="V107" s="4">
        <v>0</v>
      </c>
      <c r="W107" s="4">
        <v>6</v>
      </c>
      <c r="X107" s="5">
        <f t="shared" si="25"/>
        <v>0.25</v>
      </c>
      <c r="Y107" s="5">
        <f t="shared" si="26"/>
        <v>0.25</v>
      </c>
      <c r="Z107" s="13">
        <f t="shared" si="27"/>
        <v>7185.2466263349197</v>
      </c>
      <c r="AA107" s="13">
        <f t="shared" si="28"/>
        <v>6650.2727998063756</v>
      </c>
      <c r="AB107" s="13">
        <f t="shared" si="29"/>
        <v>12</v>
      </c>
      <c r="AC107" s="13">
        <f t="shared" si="23"/>
        <v>15680</v>
      </c>
      <c r="AD107" s="13">
        <f t="shared" si="30"/>
        <v>0</v>
      </c>
      <c r="AE107" s="28">
        <f t="shared" si="31"/>
        <v>29527.519426141294</v>
      </c>
      <c r="AF107" s="79">
        <f>INDEX(宠物缘分!$G$30:$G$34,MATCH(M107,宠物缘分!$B$30:$B$34,0),1)*IF(W107=2,1/4,IF(W107=3,1/2,IF(W107=4,3/4,IF(W107&gt;4,1,0))))/5</f>
        <v>0.18</v>
      </c>
      <c r="AG107" s="79">
        <f t="shared" si="24"/>
        <v>0.5</v>
      </c>
      <c r="AH107" s="6">
        <f t="shared" si="32"/>
        <v>5314.9534967054324</v>
      </c>
      <c r="AI107" s="6">
        <f t="shared" si="33"/>
        <v>14763.759713070647</v>
      </c>
      <c r="AJ107" s="28">
        <f t="shared" si="34"/>
        <v>52263.709384270085</v>
      </c>
      <c r="AK107" s="28">
        <f>$AJ107/5*[1]战斗预期!C$4</f>
        <v>1045274.1876854018</v>
      </c>
      <c r="AL107" s="28">
        <f>$AJ107/5*[1]战斗预期!D$4</f>
        <v>104527.41876854017</v>
      </c>
      <c r="AM107" s="28">
        <f>$AJ107/5*[1]战斗预期!E$4</f>
        <v>52263.709384270085</v>
      </c>
      <c r="AN107" s="28">
        <f>$AJ107/5*[1]战斗预期!F$4</f>
        <v>41810.96750741607</v>
      </c>
      <c r="AO107" s="28">
        <f>$AJ107/5*[1]战斗预期!G$4</f>
        <v>41810.96750741607</v>
      </c>
    </row>
  </sheetData>
  <mergeCells count="36">
    <mergeCell ref="N5:P5"/>
    <mergeCell ref="Q5:S5"/>
    <mergeCell ref="Q6:Q7"/>
    <mergeCell ref="R6:R7"/>
    <mergeCell ref="S6:S7"/>
    <mergeCell ref="AE6:AE7"/>
    <mergeCell ref="AH6:AH7"/>
    <mergeCell ref="AI6:AI7"/>
    <mergeCell ref="W6:W7"/>
    <mergeCell ref="AD6:AD7"/>
    <mergeCell ref="AC6:AC7"/>
    <mergeCell ref="AA6:AA7"/>
    <mergeCell ref="Z6:Z7"/>
    <mergeCell ref="AB6:AB7"/>
    <mergeCell ref="AJ6:AJ7"/>
    <mergeCell ref="K6:K7"/>
    <mergeCell ref="J6:J7"/>
    <mergeCell ref="I6:I7"/>
    <mergeCell ref="X6:X7"/>
    <mergeCell ref="Y6:Y7"/>
    <mergeCell ref="U6:U7"/>
    <mergeCell ref="T6:T7"/>
    <mergeCell ref="P6:P7"/>
    <mergeCell ref="O6:O7"/>
    <mergeCell ref="N6:N7"/>
    <mergeCell ref="V6:V7"/>
    <mergeCell ref="AG6:AG7"/>
    <mergeCell ref="M6:M7"/>
    <mergeCell ref="L6:L7"/>
    <mergeCell ref="AF6:AF7"/>
    <mergeCell ref="AK5:AO5"/>
    <mergeCell ref="AK6:AK7"/>
    <mergeCell ref="AL6:AL7"/>
    <mergeCell ref="AM6:AM7"/>
    <mergeCell ref="AN6:AN7"/>
    <mergeCell ref="AO6:AO7"/>
  </mergeCells>
  <phoneticPr fontId="2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E1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0" sqref="C20"/>
    </sheetView>
  </sheetViews>
  <sheetFormatPr defaultRowHeight="11.25" x14ac:dyDescent="0.15"/>
  <cols>
    <col min="1" max="19" width="9" style="1"/>
    <col min="20" max="20" width="9" style="84"/>
    <col min="21" max="16384" width="9" style="1"/>
  </cols>
  <sheetData>
    <row r="2" spans="2:27" x14ac:dyDescent="0.15">
      <c r="B2" s="1" t="s">
        <v>302</v>
      </c>
      <c r="C2" s="1">
        <v>1</v>
      </c>
      <c r="D2" s="1">
        <v>5</v>
      </c>
      <c r="E2" s="1">
        <v>10</v>
      </c>
      <c r="F2" s="1">
        <v>15</v>
      </c>
      <c r="G2" s="1">
        <v>20</v>
      </c>
      <c r="H2" s="1">
        <v>25</v>
      </c>
      <c r="I2" s="1">
        <v>30</v>
      </c>
      <c r="J2" s="1">
        <v>35</v>
      </c>
      <c r="K2" s="1">
        <v>40</v>
      </c>
      <c r="L2" s="1">
        <v>45</v>
      </c>
      <c r="M2" s="1">
        <v>50</v>
      </c>
      <c r="N2" s="1">
        <v>55</v>
      </c>
      <c r="O2" s="1">
        <v>60</v>
      </c>
      <c r="P2" s="1">
        <v>65</v>
      </c>
      <c r="Q2" s="1">
        <v>70</v>
      </c>
      <c r="R2" s="1">
        <v>75</v>
      </c>
      <c r="S2" s="1">
        <v>80</v>
      </c>
      <c r="T2" s="84" t="s">
        <v>303</v>
      </c>
      <c r="V2" s="1">
        <v>1</v>
      </c>
      <c r="W2" s="1">
        <v>2</v>
      </c>
      <c r="X2" s="1">
        <v>3</v>
      </c>
      <c r="Y2" s="1">
        <v>4</v>
      </c>
      <c r="Z2" s="1">
        <v>5</v>
      </c>
    </row>
    <row r="3" spans="2:27" x14ac:dyDescent="0.15">
      <c r="B3" s="1">
        <v>1</v>
      </c>
      <c r="C3" s="83">
        <f>(宠物成长!$C$1+宠物成长!$C$2/宠物成长!$C$3*宠物成长!$E$30)*(1+VLOOKUP(宠物属性点预览!C$2,宠物成长!$F$4:$K$25,4,FALSE)+0)+(VLOOKUP(宠物属性点预览!$B3,宠物成长!$D$30:$E$129,2,FALSE)-宠物成长!$E$30)*宠物成长!$C$2/宠物成长!$C$3*(1+VLOOKUP(宠物属性点预览!C$2,宠物成长!$F$5:$K$25,3,FALSE)+0)</f>
        <v>62</v>
      </c>
      <c r="D3" s="9">
        <f>(宠物成长!$C$1+宠物成长!$C$2/宠物成长!$C$3*宠物成长!$E$30)*(1+VLOOKUP(宠物属性点预览!D$2,宠物成长!$F$4:$K$25,4,FALSE)+0)+(VLOOKUP(宠物属性点预览!$B3,宠物成长!$D$30:$E$129,2,FALSE)-宠物成长!$E$30)*宠物成长!$C$2/宠物成长!$C$3*(1+VLOOKUP(宠物属性点预览!D$2,宠物成长!$F$5:$K$25,3,FALSE)+0)</f>
        <v>108.5</v>
      </c>
      <c r="E3" s="9">
        <f>(宠物成长!$C$1+宠物成长!$C$2/宠物成长!$C$3*宠物成长!$E$30)*(1+VLOOKUP(宠物属性点预览!E$2,宠物成长!$F$4:$K$25,4,FALSE)+0)+(VLOOKUP(宠物属性点预览!$B3,宠物成长!$D$30:$E$129,2,FALSE)-宠物成长!$E$30)*宠物成长!$C$2/宠物成长!$C$3*(1+VLOOKUP(宠物属性点预览!E$2,宠物成长!$F$5:$K$25,3,FALSE)+0)</f>
        <v>173.6</v>
      </c>
      <c r="F3" s="9">
        <f>(宠物成长!$C$1+宠物成长!$C$2/宠物成长!$C$3*宠物成长!$E$30)*(1+VLOOKUP(宠物属性点预览!F$2,宠物成长!$F$4:$K$25,4,FALSE)+0)+(VLOOKUP(宠物属性点预览!$B3,宠物成长!$D$30:$E$129,2,FALSE)-宠物成长!$E$30)*宠物成长!$C$2/宠物成长!$C$3*(1+VLOOKUP(宠物属性点预览!F$2,宠物成长!$F$5:$K$25,3,FALSE)+0)</f>
        <v>260.40000000000003</v>
      </c>
      <c r="G3" s="9">
        <f>(宠物成长!$C$1+宠物成长!$C$2/宠物成长!$C$3*宠物成长!$E$30)*(1+VLOOKUP(宠物属性点预览!G$2,宠物成长!$F$4:$K$25,4,FALSE)+0)+(VLOOKUP(宠物属性点预览!$B3,宠物成长!$D$30:$E$129,2,FALSE)-宠物成长!$E$30)*宠物成长!$C$2/宠物成长!$C$3*(1+VLOOKUP(宠物属性点预览!G$2,宠物成长!$F$5:$K$25,3,FALSE)+0)</f>
        <v>359.59999999999997</v>
      </c>
      <c r="H3" s="9">
        <f>(宠物成长!$C$1+宠物成长!$C$2/宠物成长!$C$3*宠物成长!$E$30)*(1+VLOOKUP(宠物属性点预览!H$2,宠物成长!$F$4:$K$25,4,FALSE)+0)+(VLOOKUP(宠物属性点预览!$B3,宠物成长!$D$30:$E$129,2,FALSE)-宠物成长!$E$30)*宠物成长!$C$2/宠物成长!$C$3*(1+VLOOKUP(宠物属性点预览!H$2,宠物成长!$F$5:$K$25,3,FALSE)+0)</f>
        <v>508.4</v>
      </c>
      <c r="I3" s="9">
        <f>(宠物成长!$C$1+宠物成长!$C$2/宠物成长!$C$3*宠物成长!$E$30)*(1+VLOOKUP(宠物属性点预览!I$2,宠物成长!$F$4:$K$25,4,FALSE)+0)+(VLOOKUP(宠物属性点预览!$B3,宠物成长!$D$30:$E$129,2,FALSE)-宠物成长!$E$30)*宠物成长!$C$2/宠物成长!$C$3*(1+VLOOKUP(宠物属性点预览!I$2,宠物成长!$F$5:$K$25,3,FALSE)+0)</f>
        <v>713</v>
      </c>
      <c r="J3" s="9">
        <f>(宠物成长!$C$1+宠物成长!$C$2/宠物成长!$C$3*宠物成长!$E$30)*(1+VLOOKUP(宠物属性点预览!J$2,宠物成长!$F$4:$K$25,4,FALSE)+0)+(VLOOKUP(宠物属性点预览!$B3,宠物成长!$D$30:$E$129,2,FALSE)-宠物成长!$E$30)*宠物成长!$C$2/宠物成长!$C$3*(1+VLOOKUP(宠物属性点预览!J$2,宠物成长!$F$5:$K$25,3,FALSE)+0)</f>
        <v>942.62962962962968</v>
      </c>
      <c r="K3" s="9">
        <f>(宠物成长!$C$1+宠物成长!$C$2/宠物成长!$C$3*宠物成长!$E$30)*(1+VLOOKUP(宠物属性点预览!K$2,宠物成长!$F$4:$K$25,4,FALSE)+0)+(VLOOKUP(宠物属性点预览!$B3,宠物成长!$D$30:$E$129,2,FALSE)-宠物成长!$E$30)*宠物成长!$C$2/宠物成长!$C$3*(1+VLOOKUP(宠物属性点预览!K$2,宠物成长!$F$5:$K$25,3,FALSE)+0)</f>
        <v>1175.1296296296296</v>
      </c>
      <c r="L3" s="9">
        <f>(宠物成长!$C$1+宠物成长!$C$2/宠物成长!$C$3*宠物成长!$E$30)*(1+VLOOKUP(宠物属性点预览!L$2,宠物成长!$F$4:$K$25,4,FALSE)+0)+(VLOOKUP(宠物属性点预览!$B3,宠物成长!$D$30:$E$129,2,FALSE)-宠物成长!$E$30)*宠物成长!$C$2/宠物成长!$C$3*(1+VLOOKUP(宠物属性点预览!L$2,宠物成长!$F$5:$K$25,3,FALSE)+0)</f>
        <v>1409.7242242242241</v>
      </c>
      <c r="M3" s="9">
        <f>(宠物成长!$C$1+宠物成长!$C$2/宠物成长!$C$3*宠物成长!$E$30)*(1+VLOOKUP(宠物属性点预览!M$2,宠物成长!$F$4:$K$25,4,FALSE)+0)+(VLOOKUP(宠物属性点预览!$B3,宠物成长!$D$30:$E$129,2,FALSE)-宠物成长!$E$30)*宠物成长!$C$2/宠物成长!$C$3*(1+VLOOKUP(宠物属性点预览!M$2,宠物成长!$F$5:$K$25,3,FALSE)+0)</f>
        <v>1645.9147004147003</v>
      </c>
      <c r="N3" s="9">
        <f>(宠物成长!$C$1+宠物成长!$C$2/宠物成长!$C$3*宠物成长!$E$30)*(1+VLOOKUP(宠物属性点预览!N$2,宠物成长!$F$4:$K$25,4,FALSE)+0)+(VLOOKUP(宠物属性点预览!$B3,宠物成长!$D$30:$E$129,2,FALSE)-宠物成长!$E$30)*宠物成长!$C$2/宠物成长!$C$3*(1+VLOOKUP(宠物属性点预览!N$2,宠物成长!$F$5:$K$25,3,FALSE)+0)</f>
        <v>1883.3615089253385</v>
      </c>
      <c r="O3" s="9">
        <f>(宠物成长!$C$1+宠物成长!$C$2/宠物成长!$C$3*宠物成长!$E$30)*(1+VLOOKUP(宠物属性点预览!O$2,宠物成长!$F$4:$K$25,4,FALSE)+0)+(VLOOKUP(宠物属性点预览!$B3,宠物成长!$D$30:$E$129,2,FALSE)-宠物成长!$E$30)*宠物成长!$C$2/宠物成长!$C$3*(1+VLOOKUP(宠物属性点预览!O$2,宠物成长!$F$5:$K$25,3,FALSE)+0)</f>
        <v>2121.8230473868766</v>
      </c>
      <c r="P3" s="9">
        <f>(宠物成长!$C$1+宠物成长!$C$2/宠物成长!$C$3*宠物成长!$E$30)*(1+VLOOKUP(宠物属性点预览!P$2,宠物成长!$F$4:$K$25,4,FALSE)+0)+(VLOOKUP(宠物属性点预览!$B3,宠物成长!$D$30:$E$129,2,FALSE)-宠物成长!$E$30)*宠物成长!$C$2/宠物成长!$C$3*(1+VLOOKUP(宠物属性点预览!P$2,宠物成长!$F$5:$K$25,3,FALSE)+0)</f>
        <v>2361.1212930009119</v>
      </c>
      <c r="Q3" s="9">
        <f>(宠物成长!$C$1+宠物成长!$C$2/宠物成长!$C$3*宠物成长!$E$30)*(1+VLOOKUP(宠物属性点预览!Q$2,宠物成长!$F$4:$K$25,4,FALSE)+0)+(VLOOKUP(宠物属性点预览!$B3,宠物成长!$D$30:$E$129,2,FALSE)-宠物成长!$E$30)*宠物成长!$C$2/宠物成长!$C$3*(1+VLOOKUP(宠物属性点预览!Q$2,宠物成长!$F$5:$K$25,3,FALSE)+0)</f>
        <v>2601.1212930009119</v>
      </c>
      <c r="R3" s="9">
        <f>(宠物成长!$C$1+宠物成长!$C$2/宠物成长!$C$3*宠物成长!$E$30)*(1+VLOOKUP(宠物属性点预览!R$2,宠物成长!$F$4:$K$25,4,FALSE)+0)+(VLOOKUP(宠物属性点预览!$B3,宠物成长!$D$30:$E$129,2,FALSE)-宠物成长!$E$30)*宠物成长!$C$2/宠物成长!$C$3*(1+VLOOKUP(宠物属性点预览!R$2,宠物成长!$F$5:$K$25,3,FALSE)+0)</f>
        <v>2841.718307926285</v>
      </c>
      <c r="S3" s="9">
        <f>(宠物成长!$C$1+宠物成长!$C$2/宠物成长!$C$3*宠物成长!$E$30)*(1+VLOOKUP(宠物属性点预览!S$2,宠物成长!$F$4:$K$25,4,FALSE)+0)+(VLOOKUP(宠物属性点预览!$B3,宠物成长!$D$30:$E$129,2,FALSE)-宠物成长!$E$30)*宠物成长!$C$2/宠物成长!$C$3*(1+VLOOKUP(宠物属性点预览!S$2,宠物成长!$F$5:$K$25,3,FALSE)+0)</f>
        <v>3082.8294190373958</v>
      </c>
      <c r="T3" s="83">
        <f>C3</f>
        <v>62</v>
      </c>
      <c r="V3" s="9">
        <f>(宠物成长!$C$1+宠物成长!$C$2/宠物成长!$C$3*宠物成长!$E$30)*(1+宠物成长!$I$5+VLOOKUP(宠物属性点预览!V$2,宠物成长!$O$5:$R$10,3,FALSE))+(VLOOKUP(宠物属性点预览!$B3,宠物成长!$D$30:$E$129,2,FALSE)-宠物成长!$E$30)*宠物成长!$C$2/宠物成长!$C$3*(1+宠物成长!$H$5+VLOOKUP(宠物属性点预览!V$2,宠物成长!$O$5:$R$10,2,FALSE))</f>
        <v>62</v>
      </c>
      <c r="W3" s="9">
        <f>(宠物成长!$C$1+宠物成长!$C$2/宠物成长!$C$3*宠物成长!$E$30)*(1+宠物成长!$I$5+VLOOKUP(宠物属性点预览!W$2,宠物成长!$O$5:$R$10,3,FALSE))+(VLOOKUP(宠物属性点预览!$B3,宠物成长!$D$30:$E$129,2,FALSE)-宠物成长!$E$30)*宠物成长!$C$2/宠物成长!$C$3*(1+宠物成长!$H$5+VLOOKUP(宠物属性点预览!W$2,宠物成长!$O$5:$R$10,2,FALSE))</f>
        <v>372</v>
      </c>
      <c r="X3" s="9">
        <f>(宠物成长!$C$1+宠物成长!$C$2/宠物成长!$C$3*宠物成长!$E$30)*(1+宠物成长!$I$5+VLOOKUP(宠物属性点预览!X$2,宠物成长!$O$5:$R$10,3,FALSE))+(VLOOKUP(宠物属性点预览!$B3,宠物成长!$D$30:$E$129,2,FALSE)-宠物成长!$E$30)*宠物成长!$C$2/宠物成长!$C$3*(1+宠物成长!$H$5+VLOOKUP(宠物属性点预览!X$2,宠物成长!$O$5:$R$10,2,FALSE))</f>
        <v>744</v>
      </c>
      <c r="Y3" s="9">
        <f>(宠物成长!$C$1+宠物成长!$C$2/宠物成长!$C$3*宠物成长!$E$30)*(1+宠物成长!$I$5+VLOOKUP(宠物属性点预览!Y$2,宠物成长!$O$5:$R$10,3,FALSE))+(VLOOKUP(宠物属性点预览!$B3,宠物成长!$D$30:$E$129,2,FALSE)-宠物成长!$E$30)*宠物成长!$C$2/宠物成长!$C$3*(1+宠物成长!$H$5+VLOOKUP(宠物属性点预览!Y$2,宠物成长!$O$5:$R$10,2,FALSE))</f>
        <v>1178</v>
      </c>
      <c r="Z3" s="9">
        <f>(宠物成长!$C$1+宠物成长!$C$2/宠物成长!$C$3*宠物成长!$E$30)*(1+宠物成长!$I$5+VLOOKUP(宠物属性点预览!Z$2,宠物成长!$O$5:$R$10,3,FALSE))+(VLOOKUP(宠物属性点预览!$B3,宠物成长!$D$30:$E$129,2,FALSE)-宠物成长!$E$30)*宠物成长!$C$2/宠物成长!$C$3*(1+宠物成长!$H$5+VLOOKUP(宠物属性点预览!Z$2,宠物成长!$O$5:$R$10,2,FALSE))</f>
        <v>1612</v>
      </c>
    </row>
    <row r="4" spans="2:27" x14ac:dyDescent="0.15">
      <c r="B4" s="1">
        <v>2</v>
      </c>
      <c r="C4" s="9">
        <f>(宠物成长!$C$1+宠物成长!$C$2/宠物成长!$C$3*宠物成长!$E$30)*(1+VLOOKUP(宠物属性点预览!C$2,宠物成长!$F$4:$K$25,4,FALSE)+0)+(VLOOKUP(宠物属性点预览!$B4,宠物成长!$D$30:$E$129,2,FALSE)-宠物成长!$E$30)*宠物成长!$C$2/宠物成长!$C$3*(1+VLOOKUP(宠物属性点预览!C$2,宠物成长!$F$5:$K$25,3,FALSE)+0)</f>
        <v>65.5</v>
      </c>
      <c r="D4" s="9">
        <f>(宠物成长!$C$1+宠物成长!$C$2/宠物成长!$C$3*宠物成长!$E$30)*(1+VLOOKUP(宠物属性点预览!D$2,宠物成长!$F$4:$K$25,4,FALSE)+0)+(VLOOKUP(宠物属性点预览!$B4,宠物成长!$D$30:$E$129,2,FALSE)-宠物成长!$E$30)*宠物成长!$C$2/宠物成长!$C$3*(1+VLOOKUP(宠物属性点预览!D$2,宠物成长!$F$5:$K$25,3,FALSE)+0)</f>
        <v>112</v>
      </c>
      <c r="E4" s="9">
        <f>(宠物成长!$C$1+宠物成长!$C$2/宠物成长!$C$3*宠物成长!$E$30)*(1+VLOOKUP(宠物属性点预览!E$2,宠物成长!$F$4:$K$25,4,FALSE)+0)+(VLOOKUP(宠物属性点预览!$B4,宠物成长!$D$30:$E$129,2,FALSE)-宠物成长!$E$30)*宠物成长!$C$2/宠物成长!$C$3*(1+VLOOKUP(宠物属性点预览!E$2,宠物成长!$F$5:$K$25,3,FALSE)+0)</f>
        <v>177.1</v>
      </c>
      <c r="F4" s="9">
        <f>(宠物成长!$C$1+宠物成长!$C$2/宠物成长!$C$3*宠物成长!$E$30)*(1+VLOOKUP(宠物属性点预览!F$2,宠物成长!$F$4:$K$25,4,FALSE)+0)+(VLOOKUP(宠物属性点预览!$B4,宠物成长!$D$30:$E$129,2,FALSE)-宠物成长!$E$30)*宠物成长!$C$2/宠物成长!$C$3*(1+VLOOKUP(宠物属性点预览!F$2,宠物成长!$F$5:$K$25,3,FALSE)+0)</f>
        <v>263.90000000000003</v>
      </c>
      <c r="G4" s="9">
        <f>(宠物成长!$C$1+宠物成长!$C$2/宠物成长!$C$3*宠物成长!$E$30)*(1+VLOOKUP(宠物属性点预览!G$2,宠物成长!$F$4:$K$25,4,FALSE)+0)+(VLOOKUP(宠物属性点预览!$B4,宠物成长!$D$30:$E$129,2,FALSE)-宠物成长!$E$30)*宠物成长!$C$2/宠物成长!$C$3*(1+VLOOKUP(宠物属性点预览!G$2,宠物成长!$F$5:$K$25,3,FALSE)+0)</f>
        <v>363.59999999999997</v>
      </c>
      <c r="H4" s="9">
        <f>(宠物成长!$C$1+宠物成长!$C$2/宠物成长!$C$3*宠物成长!$E$30)*(1+VLOOKUP(宠物属性点预览!H$2,宠物成长!$F$4:$K$25,4,FALSE)+0)+(VLOOKUP(宠物属性点预览!$B4,宠物成长!$D$30:$E$129,2,FALSE)-宠物成长!$E$30)*宠物成长!$C$2/宠物成长!$C$3*(1+VLOOKUP(宠物属性点预览!H$2,宠物成长!$F$5:$K$25,3,FALSE)+0)</f>
        <v>512.9</v>
      </c>
      <c r="I4" s="9">
        <f>(宠物成长!$C$1+宠物成长!$C$2/宠物成长!$C$3*宠物成长!$E$30)*(1+VLOOKUP(宠物属性点预览!I$2,宠物成长!$F$4:$K$25,4,FALSE)+0)+(VLOOKUP(宠物属性点预览!$B4,宠物成长!$D$30:$E$129,2,FALSE)-宠物成长!$E$30)*宠物成长!$C$2/宠物成长!$C$3*(1+VLOOKUP(宠物属性点预览!I$2,宠物成长!$F$5:$K$25,3,FALSE)+0)</f>
        <v>718</v>
      </c>
      <c r="J4" s="9">
        <f>(宠物成长!$C$1+宠物成长!$C$2/宠物成长!$C$3*宠物成长!$E$30)*(1+VLOOKUP(宠物属性点预览!J$2,宠物成长!$F$4:$K$25,4,FALSE)+0)+(VLOOKUP(宠物属性点预览!$B4,宠物成长!$D$30:$E$129,2,FALSE)-宠物成长!$E$30)*宠物成长!$C$2/宠物成长!$C$3*(1+VLOOKUP(宠物属性点预览!J$2,宠物成长!$F$5:$K$25,3,FALSE)+0)</f>
        <v>948.12962962962968</v>
      </c>
      <c r="K4" s="9">
        <f>(宠物成长!$C$1+宠物成长!$C$2/宠物成长!$C$3*宠物成长!$E$30)*(1+VLOOKUP(宠物属性点预览!K$2,宠物成长!$F$4:$K$25,4,FALSE)+0)+(VLOOKUP(宠物属性点预览!$B4,宠物成长!$D$30:$E$129,2,FALSE)-宠物成长!$E$30)*宠物成长!$C$2/宠物成长!$C$3*(1+VLOOKUP(宠物属性点预览!K$2,宠物成长!$F$5:$K$25,3,FALSE)+0)</f>
        <v>1181.1296296296296</v>
      </c>
      <c r="L4" s="9">
        <f>(宠物成长!$C$1+宠物成长!$C$2/宠物成长!$C$3*宠物成长!$E$30)*(1+VLOOKUP(宠物属性点预览!L$2,宠物成长!$F$4:$K$25,4,FALSE)+0)+(VLOOKUP(宠物属性点预览!$B4,宠物成长!$D$30:$E$129,2,FALSE)-宠物成长!$E$30)*宠物成长!$C$2/宠物成长!$C$3*(1+VLOOKUP(宠物属性点预览!L$2,宠物成长!$F$5:$K$25,3,FALSE)+0)</f>
        <v>1416.2242242242241</v>
      </c>
      <c r="M4" s="9">
        <f>(宠物成长!$C$1+宠物成长!$C$2/宠物成长!$C$3*宠物成长!$E$30)*(1+VLOOKUP(宠物属性点预览!M$2,宠物成长!$F$4:$K$25,4,FALSE)+0)+(VLOOKUP(宠物属性点预览!$B4,宠物成长!$D$30:$E$129,2,FALSE)-宠物成长!$E$30)*宠物成长!$C$2/宠物成长!$C$3*(1+VLOOKUP(宠物属性点预览!M$2,宠物成长!$F$5:$K$25,3,FALSE)+0)</f>
        <v>1652.9147004147003</v>
      </c>
      <c r="N4" s="9">
        <f>(宠物成长!$C$1+宠物成长!$C$2/宠物成长!$C$3*宠物成长!$E$30)*(1+VLOOKUP(宠物属性点预览!N$2,宠物成长!$F$4:$K$25,4,FALSE)+0)+(VLOOKUP(宠物属性点预览!$B4,宠物成长!$D$30:$E$129,2,FALSE)-宠物成长!$E$30)*宠物成长!$C$2/宠物成长!$C$3*(1+VLOOKUP(宠物属性点预览!N$2,宠物成长!$F$5:$K$25,3,FALSE)+0)</f>
        <v>1890.8615089253385</v>
      </c>
      <c r="O4" s="9">
        <f>(宠物成长!$C$1+宠物成长!$C$2/宠物成长!$C$3*宠物成长!$E$30)*(1+VLOOKUP(宠物属性点预览!O$2,宠物成长!$F$4:$K$25,4,FALSE)+0)+(VLOOKUP(宠物属性点预览!$B4,宠物成长!$D$30:$E$129,2,FALSE)-宠物成长!$E$30)*宠物成长!$C$2/宠物成长!$C$3*(1+VLOOKUP(宠物属性点预览!O$2,宠物成长!$F$5:$K$25,3,FALSE)+0)</f>
        <v>2129.8230473868766</v>
      </c>
      <c r="P4" s="9">
        <f>(宠物成长!$C$1+宠物成长!$C$2/宠物成长!$C$3*宠物成长!$E$30)*(1+VLOOKUP(宠物属性点预览!P$2,宠物成长!$F$4:$K$25,4,FALSE)+0)+(VLOOKUP(宠物属性点预览!$B4,宠物成长!$D$30:$E$129,2,FALSE)-宠物成长!$E$30)*宠物成长!$C$2/宠物成长!$C$3*(1+VLOOKUP(宠物属性点预览!P$2,宠物成长!$F$5:$K$25,3,FALSE)+0)</f>
        <v>2369.6212930009119</v>
      </c>
      <c r="Q4" s="9">
        <f>(宠物成长!$C$1+宠物成长!$C$2/宠物成长!$C$3*宠物成长!$E$30)*(1+VLOOKUP(宠物属性点预览!Q$2,宠物成长!$F$4:$K$25,4,FALSE)+0)+(VLOOKUP(宠物属性点预览!$B4,宠物成长!$D$30:$E$129,2,FALSE)-宠物成长!$E$30)*宠物成长!$C$2/宠物成长!$C$3*(1+VLOOKUP(宠物属性点预览!Q$2,宠物成长!$F$5:$K$25,3,FALSE)+0)</f>
        <v>2610.1212930009119</v>
      </c>
      <c r="R4" s="9">
        <f>(宠物成长!$C$1+宠物成长!$C$2/宠物成长!$C$3*宠物成长!$E$30)*(1+VLOOKUP(宠物属性点预览!R$2,宠物成长!$F$4:$K$25,4,FALSE)+0)+(VLOOKUP(宠物属性点预览!$B4,宠物成长!$D$30:$E$129,2,FALSE)-宠物成长!$E$30)*宠物成长!$C$2/宠物成长!$C$3*(1+VLOOKUP(宠物属性点预览!R$2,宠物成长!$F$5:$K$25,3,FALSE)+0)</f>
        <v>2851.218307926285</v>
      </c>
      <c r="S4" s="9">
        <f>(宠物成长!$C$1+宠物成长!$C$2/宠物成长!$C$3*宠物成长!$E$30)*(1+VLOOKUP(宠物属性点预览!S$2,宠物成长!$F$4:$K$25,4,FALSE)+0)+(VLOOKUP(宠物属性点预览!$B4,宠物成长!$D$30:$E$129,2,FALSE)-宠物成长!$E$30)*宠物成长!$C$2/宠物成长!$C$3*(1+VLOOKUP(宠物属性点预览!S$2,宠物成长!$F$5:$K$25,3,FALSE)+0)</f>
        <v>3092.8294190373958</v>
      </c>
      <c r="T4" s="83">
        <f t="shared" ref="T4:T7" si="0">C4</f>
        <v>65.5</v>
      </c>
      <c r="V4" s="9">
        <f>(宠物成长!$C$1+宠物成长!$C$2/宠物成长!$C$3*宠物成长!$E$30)*(1+宠物成长!$I$5+VLOOKUP(宠物属性点预览!V$2,宠物成长!$O$5:$R$10,3,FALSE))+(VLOOKUP(宠物属性点预览!$B4,宠物成长!$D$30:$E$129,2,FALSE)-宠物成长!$E$30)*宠物成长!$C$2/宠物成长!$C$3*(1+宠物成长!$H$5+VLOOKUP(宠物属性点预览!V$2,宠物成长!$O$5:$R$10,2,FALSE))</f>
        <v>65.5</v>
      </c>
      <c r="W4" s="9">
        <f>(宠物成长!$C$1+宠物成长!$C$2/宠物成长!$C$3*宠物成长!$E$30)*(1+宠物成长!$I$5+VLOOKUP(宠物属性点预览!W$2,宠物成长!$O$5:$R$10,3,FALSE))+(VLOOKUP(宠物属性点预览!$B4,宠物成长!$D$30:$E$129,2,FALSE)-宠物成长!$E$30)*宠物成长!$C$2/宠物成长!$C$3*(1+宠物成长!$H$5+VLOOKUP(宠物属性点预览!W$2,宠物成长!$O$5:$R$10,2,FALSE))</f>
        <v>376.5</v>
      </c>
      <c r="X4" s="9">
        <f>(宠物成长!$C$1+宠物成长!$C$2/宠物成长!$C$3*宠物成长!$E$30)*(1+宠物成长!$I$5+VLOOKUP(宠物属性点预览!X$2,宠物成长!$O$5:$R$10,3,FALSE))+(VLOOKUP(宠物属性点预览!$B4,宠物成长!$D$30:$E$129,2,FALSE)-宠物成长!$E$30)*宠物成长!$C$2/宠物成长!$C$3*(1+宠物成长!$H$5+VLOOKUP(宠物属性点预览!X$2,宠物成长!$O$5:$R$10,2,FALSE))</f>
        <v>749.5</v>
      </c>
      <c r="Y4" s="9">
        <f>(宠物成长!$C$1+宠物成长!$C$2/宠物成长!$C$3*宠物成长!$E$30)*(1+宠物成长!$I$5+VLOOKUP(宠物属性点预览!Y$2,宠物成长!$O$5:$R$10,3,FALSE))+(VLOOKUP(宠物属性点预览!$B4,宠物成长!$D$30:$E$129,2,FALSE)-宠物成长!$E$30)*宠物成长!$C$2/宠物成长!$C$3*(1+宠物成长!$H$5+VLOOKUP(宠物属性点预览!Y$2,宠物成长!$O$5:$R$10,2,FALSE))</f>
        <v>1184.5</v>
      </c>
      <c r="Z4" s="9">
        <f>(宠物成长!$C$1+宠物成长!$C$2/宠物成长!$C$3*宠物成长!$E$30)*(1+宠物成长!$I$5+VLOOKUP(宠物属性点预览!Z$2,宠物成长!$O$5:$R$10,3,FALSE))+(VLOOKUP(宠物属性点预览!$B4,宠物成长!$D$30:$E$129,2,FALSE)-宠物成长!$E$30)*宠物成长!$C$2/宠物成长!$C$3*(1+宠物成长!$H$5+VLOOKUP(宠物属性点预览!Z$2,宠物成长!$O$5:$R$10,2,FALSE))</f>
        <v>1619.5</v>
      </c>
    </row>
    <row r="5" spans="2:27" x14ac:dyDescent="0.15">
      <c r="B5" s="1">
        <v>3</v>
      </c>
      <c r="C5" s="9">
        <f>(宠物成长!$C$1+宠物成长!$C$2/宠物成长!$C$3*宠物成长!$E$30)*(1+VLOOKUP(宠物属性点预览!C$2,宠物成长!$F$4:$K$25,4,FALSE)+0)+(VLOOKUP(宠物属性点预览!$B5,宠物成长!$D$30:$E$129,2,FALSE)-宠物成长!$E$30)*宠物成长!$C$2/宠物成长!$C$3*(1+VLOOKUP(宠物属性点预览!C$2,宠物成长!$F$5:$K$25,3,FALSE)+0)</f>
        <v>69</v>
      </c>
      <c r="D5" s="9">
        <f>(宠物成长!$C$1+宠物成长!$C$2/宠物成长!$C$3*宠物成长!$E$30)*(1+VLOOKUP(宠物属性点预览!D$2,宠物成长!$F$4:$K$25,4,FALSE)+0)+(VLOOKUP(宠物属性点预览!$B5,宠物成长!$D$30:$E$129,2,FALSE)-宠物成长!$E$30)*宠物成长!$C$2/宠物成长!$C$3*(1+VLOOKUP(宠物属性点预览!D$2,宠物成长!$F$5:$K$25,3,FALSE)+0)</f>
        <v>115.5</v>
      </c>
      <c r="E5" s="9">
        <f>(宠物成长!$C$1+宠物成长!$C$2/宠物成长!$C$3*宠物成长!$E$30)*(1+VLOOKUP(宠物属性点预览!E$2,宠物成长!$F$4:$K$25,4,FALSE)+0)+(VLOOKUP(宠物属性点预览!$B5,宠物成长!$D$30:$E$129,2,FALSE)-宠物成长!$E$30)*宠物成长!$C$2/宠物成长!$C$3*(1+VLOOKUP(宠物属性点预览!E$2,宠物成长!$F$5:$K$25,3,FALSE)+0)</f>
        <v>180.6</v>
      </c>
      <c r="F5" s="9">
        <f>(宠物成长!$C$1+宠物成长!$C$2/宠物成长!$C$3*宠物成长!$E$30)*(1+VLOOKUP(宠物属性点预览!F$2,宠物成长!$F$4:$K$25,4,FALSE)+0)+(VLOOKUP(宠物属性点预览!$B5,宠物成长!$D$30:$E$129,2,FALSE)-宠物成长!$E$30)*宠物成长!$C$2/宠物成长!$C$3*(1+VLOOKUP(宠物属性点预览!F$2,宠物成长!$F$5:$K$25,3,FALSE)+0)</f>
        <v>267.40000000000003</v>
      </c>
      <c r="G5" s="9">
        <f>(宠物成长!$C$1+宠物成长!$C$2/宠物成长!$C$3*宠物成长!$E$30)*(1+VLOOKUP(宠物属性点预览!G$2,宠物成长!$F$4:$K$25,4,FALSE)+0)+(VLOOKUP(宠物属性点预览!$B5,宠物成长!$D$30:$E$129,2,FALSE)-宠物成长!$E$30)*宠物成长!$C$2/宠物成长!$C$3*(1+VLOOKUP(宠物属性点预览!G$2,宠物成长!$F$5:$K$25,3,FALSE)+0)</f>
        <v>367.59999999999997</v>
      </c>
      <c r="H5" s="9">
        <f>(宠物成长!$C$1+宠物成长!$C$2/宠物成长!$C$3*宠物成长!$E$30)*(1+VLOOKUP(宠物属性点预览!H$2,宠物成长!$F$4:$K$25,4,FALSE)+0)+(VLOOKUP(宠物属性点预览!$B5,宠物成长!$D$30:$E$129,2,FALSE)-宠物成长!$E$30)*宠物成长!$C$2/宠物成长!$C$3*(1+VLOOKUP(宠物属性点预览!H$2,宠物成长!$F$5:$K$25,3,FALSE)+0)</f>
        <v>517.4</v>
      </c>
      <c r="I5" s="9">
        <f>(宠物成长!$C$1+宠物成长!$C$2/宠物成长!$C$3*宠物成长!$E$30)*(1+VLOOKUP(宠物属性点预览!I$2,宠物成长!$F$4:$K$25,4,FALSE)+0)+(VLOOKUP(宠物属性点预览!$B5,宠物成长!$D$30:$E$129,2,FALSE)-宠物成长!$E$30)*宠物成长!$C$2/宠物成长!$C$3*(1+VLOOKUP(宠物属性点预览!I$2,宠物成长!$F$5:$K$25,3,FALSE)+0)</f>
        <v>723</v>
      </c>
      <c r="J5" s="9">
        <f>(宠物成长!$C$1+宠物成长!$C$2/宠物成长!$C$3*宠物成长!$E$30)*(1+VLOOKUP(宠物属性点预览!J$2,宠物成长!$F$4:$K$25,4,FALSE)+0)+(VLOOKUP(宠物属性点预览!$B5,宠物成长!$D$30:$E$129,2,FALSE)-宠物成长!$E$30)*宠物成长!$C$2/宠物成长!$C$3*(1+VLOOKUP(宠物属性点预览!J$2,宠物成长!$F$5:$K$25,3,FALSE)+0)</f>
        <v>953.62962962962968</v>
      </c>
      <c r="K5" s="9">
        <f>(宠物成长!$C$1+宠物成长!$C$2/宠物成长!$C$3*宠物成长!$E$30)*(1+VLOOKUP(宠物属性点预览!K$2,宠物成长!$F$4:$K$25,4,FALSE)+0)+(VLOOKUP(宠物属性点预览!$B5,宠物成长!$D$30:$E$129,2,FALSE)-宠物成长!$E$30)*宠物成长!$C$2/宠物成长!$C$3*(1+VLOOKUP(宠物属性点预览!K$2,宠物成长!$F$5:$K$25,3,FALSE)+0)</f>
        <v>1187.1296296296296</v>
      </c>
      <c r="L5" s="9">
        <f>(宠物成长!$C$1+宠物成长!$C$2/宠物成长!$C$3*宠物成长!$E$30)*(1+VLOOKUP(宠物属性点预览!L$2,宠物成长!$F$4:$K$25,4,FALSE)+0)+(VLOOKUP(宠物属性点预览!$B5,宠物成长!$D$30:$E$129,2,FALSE)-宠物成长!$E$30)*宠物成长!$C$2/宠物成长!$C$3*(1+VLOOKUP(宠物属性点预览!L$2,宠物成长!$F$5:$K$25,3,FALSE)+0)</f>
        <v>1422.7242242242241</v>
      </c>
      <c r="M5" s="9">
        <f>(宠物成长!$C$1+宠物成长!$C$2/宠物成长!$C$3*宠物成长!$E$30)*(1+VLOOKUP(宠物属性点预览!M$2,宠物成长!$F$4:$K$25,4,FALSE)+0)+(VLOOKUP(宠物属性点预览!$B5,宠物成长!$D$30:$E$129,2,FALSE)-宠物成长!$E$30)*宠物成长!$C$2/宠物成长!$C$3*(1+VLOOKUP(宠物属性点预览!M$2,宠物成长!$F$5:$K$25,3,FALSE)+0)</f>
        <v>1659.9147004147003</v>
      </c>
      <c r="N5" s="9">
        <f>(宠物成长!$C$1+宠物成长!$C$2/宠物成长!$C$3*宠物成长!$E$30)*(1+VLOOKUP(宠物属性点预览!N$2,宠物成长!$F$4:$K$25,4,FALSE)+0)+(VLOOKUP(宠物属性点预览!$B5,宠物成长!$D$30:$E$129,2,FALSE)-宠物成长!$E$30)*宠物成长!$C$2/宠物成长!$C$3*(1+VLOOKUP(宠物属性点预览!N$2,宠物成长!$F$5:$K$25,3,FALSE)+0)</f>
        <v>1898.3615089253385</v>
      </c>
      <c r="O5" s="9">
        <f>(宠物成长!$C$1+宠物成长!$C$2/宠物成长!$C$3*宠物成长!$E$30)*(1+VLOOKUP(宠物属性点预览!O$2,宠物成长!$F$4:$K$25,4,FALSE)+0)+(VLOOKUP(宠物属性点预览!$B5,宠物成长!$D$30:$E$129,2,FALSE)-宠物成长!$E$30)*宠物成长!$C$2/宠物成长!$C$3*(1+VLOOKUP(宠物属性点预览!O$2,宠物成长!$F$5:$K$25,3,FALSE)+0)</f>
        <v>2137.8230473868766</v>
      </c>
      <c r="P5" s="9">
        <f>(宠物成长!$C$1+宠物成长!$C$2/宠物成长!$C$3*宠物成长!$E$30)*(1+VLOOKUP(宠物属性点预览!P$2,宠物成长!$F$4:$K$25,4,FALSE)+0)+(VLOOKUP(宠物属性点预览!$B5,宠物成长!$D$30:$E$129,2,FALSE)-宠物成长!$E$30)*宠物成长!$C$2/宠物成长!$C$3*(1+VLOOKUP(宠物属性点预览!P$2,宠物成长!$F$5:$K$25,3,FALSE)+0)</f>
        <v>2378.1212930009119</v>
      </c>
      <c r="Q5" s="9">
        <f>(宠物成长!$C$1+宠物成长!$C$2/宠物成长!$C$3*宠物成长!$E$30)*(1+VLOOKUP(宠物属性点预览!Q$2,宠物成长!$F$4:$K$25,4,FALSE)+0)+(VLOOKUP(宠物属性点预览!$B5,宠物成长!$D$30:$E$129,2,FALSE)-宠物成长!$E$30)*宠物成长!$C$2/宠物成长!$C$3*(1+VLOOKUP(宠物属性点预览!Q$2,宠物成长!$F$5:$K$25,3,FALSE)+0)</f>
        <v>2619.1212930009119</v>
      </c>
      <c r="R5" s="9">
        <f>(宠物成长!$C$1+宠物成长!$C$2/宠物成长!$C$3*宠物成长!$E$30)*(1+VLOOKUP(宠物属性点预览!R$2,宠物成长!$F$4:$K$25,4,FALSE)+0)+(VLOOKUP(宠物属性点预览!$B5,宠物成长!$D$30:$E$129,2,FALSE)-宠物成长!$E$30)*宠物成长!$C$2/宠物成长!$C$3*(1+VLOOKUP(宠物属性点预览!R$2,宠物成长!$F$5:$K$25,3,FALSE)+0)</f>
        <v>2860.718307926285</v>
      </c>
      <c r="S5" s="9">
        <f>(宠物成长!$C$1+宠物成长!$C$2/宠物成长!$C$3*宠物成长!$E$30)*(1+VLOOKUP(宠物属性点预览!S$2,宠物成长!$F$4:$K$25,4,FALSE)+0)+(VLOOKUP(宠物属性点预览!$B5,宠物成长!$D$30:$E$129,2,FALSE)-宠物成长!$E$30)*宠物成长!$C$2/宠物成长!$C$3*(1+VLOOKUP(宠物属性点预览!S$2,宠物成长!$F$5:$K$25,3,FALSE)+0)</f>
        <v>3102.8294190373958</v>
      </c>
      <c r="T5" s="83">
        <f t="shared" si="0"/>
        <v>69</v>
      </c>
      <c r="V5" s="9">
        <f>(宠物成长!$C$1+宠物成长!$C$2/宠物成长!$C$3*宠物成长!$E$30)*(1+宠物成长!$I$5+VLOOKUP(宠物属性点预览!V$2,宠物成长!$O$5:$R$10,3,FALSE))+(VLOOKUP(宠物属性点预览!$B5,宠物成长!$D$30:$E$129,2,FALSE)-宠物成长!$E$30)*宠物成长!$C$2/宠物成长!$C$3*(1+宠物成长!$H$5+VLOOKUP(宠物属性点预览!V$2,宠物成长!$O$5:$R$10,2,FALSE))</f>
        <v>69</v>
      </c>
      <c r="W5" s="9">
        <f>(宠物成长!$C$1+宠物成长!$C$2/宠物成长!$C$3*宠物成长!$E$30)*(1+宠物成长!$I$5+VLOOKUP(宠物属性点预览!W$2,宠物成长!$O$5:$R$10,3,FALSE))+(VLOOKUP(宠物属性点预览!$B5,宠物成长!$D$30:$E$129,2,FALSE)-宠物成长!$E$30)*宠物成长!$C$2/宠物成长!$C$3*(1+宠物成长!$H$5+VLOOKUP(宠物属性点预览!W$2,宠物成长!$O$5:$R$10,2,FALSE))</f>
        <v>381</v>
      </c>
      <c r="X5" s="9">
        <f>(宠物成长!$C$1+宠物成长!$C$2/宠物成长!$C$3*宠物成长!$E$30)*(1+宠物成长!$I$5+VLOOKUP(宠物属性点预览!X$2,宠物成长!$O$5:$R$10,3,FALSE))+(VLOOKUP(宠物属性点预览!$B5,宠物成长!$D$30:$E$129,2,FALSE)-宠物成长!$E$30)*宠物成长!$C$2/宠物成长!$C$3*(1+宠物成长!$H$5+VLOOKUP(宠物属性点预览!X$2,宠物成长!$O$5:$R$10,2,FALSE))</f>
        <v>755</v>
      </c>
      <c r="Y5" s="9">
        <f>(宠物成长!$C$1+宠物成长!$C$2/宠物成长!$C$3*宠物成长!$E$30)*(1+宠物成长!$I$5+VLOOKUP(宠物属性点预览!Y$2,宠物成长!$O$5:$R$10,3,FALSE))+(VLOOKUP(宠物属性点预览!$B5,宠物成长!$D$30:$E$129,2,FALSE)-宠物成长!$E$30)*宠物成长!$C$2/宠物成长!$C$3*(1+宠物成长!$H$5+VLOOKUP(宠物属性点预览!Y$2,宠物成长!$O$5:$R$10,2,FALSE))</f>
        <v>1191</v>
      </c>
      <c r="Z5" s="9">
        <f>(宠物成长!$C$1+宠物成长!$C$2/宠物成长!$C$3*宠物成长!$E$30)*(1+宠物成长!$I$5+VLOOKUP(宠物属性点预览!Z$2,宠物成长!$O$5:$R$10,3,FALSE))+(VLOOKUP(宠物属性点预览!$B5,宠物成长!$D$30:$E$129,2,FALSE)-宠物成长!$E$30)*宠物成长!$C$2/宠物成长!$C$3*(1+宠物成长!$H$5+VLOOKUP(宠物属性点预览!Z$2,宠物成长!$O$5:$R$10,2,FALSE))</f>
        <v>1627</v>
      </c>
    </row>
    <row r="6" spans="2:27" x14ac:dyDescent="0.15">
      <c r="B6" s="1">
        <v>4</v>
      </c>
      <c r="C6" s="9">
        <f>(宠物成长!$C$1+宠物成长!$C$2/宠物成长!$C$3*宠物成长!$E$30)*(1+VLOOKUP(宠物属性点预览!C$2,宠物成长!$F$4:$K$25,4,FALSE)+0)+(VLOOKUP(宠物属性点预览!$B6,宠物成长!$D$30:$E$129,2,FALSE)-宠物成长!$E$30)*宠物成长!$C$2/宠物成长!$C$3*(1+VLOOKUP(宠物属性点预览!C$2,宠物成长!$F$5:$K$25,3,FALSE)+0)</f>
        <v>72.5</v>
      </c>
      <c r="D6" s="9">
        <f>(宠物成长!$C$1+宠物成长!$C$2/宠物成长!$C$3*宠物成长!$E$30)*(1+VLOOKUP(宠物属性点预览!D$2,宠物成长!$F$4:$K$25,4,FALSE)+0)+(VLOOKUP(宠物属性点预览!$B6,宠物成长!$D$30:$E$129,2,FALSE)-宠物成长!$E$30)*宠物成长!$C$2/宠物成长!$C$3*(1+VLOOKUP(宠物属性点预览!D$2,宠物成长!$F$5:$K$25,3,FALSE)+0)</f>
        <v>119</v>
      </c>
      <c r="E6" s="9">
        <f>(宠物成长!$C$1+宠物成长!$C$2/宠物成长!$C$3*宠物成长!$E$30)*(1+VLOOKUP(宠物属性点预览!E$2,宠物成长!$F$4:$K$25,4,FALSE)+0)+(VLOOKUP(宠物属性点预览!$B6,宠物成长!$D$30:$E$129,2,FALSE)-宠物成长!$E$30)*宠物成长!$C$2/宠物成长!$C$3*(1+VLOOKUP(宠物属性点预览!E$2,宠物成长!$F$5:$K$25,3,FALSE)+0)</f>
        <v>184.1</v>
      </c>
      <c r="F6" s="9">
        <f>(宠物成长!$C$1+宠物成长!$C$2/宠物成长!$C$3*宠物成长!$E$30)*(1+VLOOKUP(宠物属性点预览!F$2,宠物成长!$F$4:$K$25,4,FALSE)+0)+(VLOOKUP(宠物属性点预览!$B6,宠物成长!$D$30:$E$129,2,FALSE)-宠物成长!$E$30)*宠物成长!$C$2/宠物成长!$C$3*(1+VLOOKUP(宠物属性点预览!F$2,宠物成长!$F$5:$K$25,3,FALSE)+0)</f>
        <v>270.90000000000003</v>
      </c>
      <c r="G6" s="9">
        <f>(宠物成长!$C$1+宠物成长!$C$2/宠物成长!$C$3*宠物成长!$E$30)*(1+VLOOKUP(宠物属性点预览!G$2,宠物成长!$F$4:$K$25,4,FALSE)+0)+(VLOOKUP(宠物属性点预览!$B6,宠物成长!$D$30:$E$129,2,FALSE)-宠物成长!$E$30)*宠物成长!$C$2/宠物成长!$C$3*(1+VLOOKUP(宠物属性点预览!G$2,宠物成长!$F$5:$K$25,3,FALSE)+0)</f>
        <v>371.59999999999997</v>
      </c>
      <c r="H6" s="9">
        <f>(宠物成长!$C$1+宠物成长!$C$2/宠物成长!$C$3*宠物成长!$E$30)*(1+VLOOKUP(宠物属性点预览!H$2,宠物成长!$F$4:$K$25,4,FALSE)+0)+(VLOOKUP(宠物属性点预览!$B6,宠物成长!$D$30:$E$129,2,FALSE)-宠物成长!$E$30)*宠物成长!$C$2/宠物成长!$C$3*(1+VLOOKUP(宠物属性点预览!H$2,宠物成长!$F$5:$K$25,3,FALSE)+0)</f>
        <v>521.9</v>
      </c>
      <c r="I6" s="9">
        <f>(宠物成长!$C$1+宠物成长!$C$2/宠物成长!$C$3*宠物成长!$E$30)*(1+VLOOKUP(宠物属性点预览!I$2,宠物成长!$F$4:$K$25,4,FALSE)+0)+(VLOOKUP(宠物属性点预览!$B6,宠物成长!$D$30:$E$129,2,FALSE)-宠物成长!$E$30)*宠物成长!$C$2/宠物成长!$C$3*(1+VLOOKUP(宠物属性点预览!I$2,宠物成长!$F$5:$K$25,3,FALSE)+0)</f>
        <v>728</v>
      </c>
      <c r="J6" s="9">
        <f>(宠物成长!$C$1+宠物成长!$C$2/宠物成长!$C$3*宠物成长!$E$30)*(1+VLOOKUP(宠物属性点预览!J$2,宠物成长!$F$4:$K$25,4,FALSE)+0)+(VLOOKUP(宠物属性点预览!$B6,宠物成长!$D$30:$E$129,2,FALSE)-宠物成长!$E$30)*宠物成长!$C$2/宠物成长!$C$3*(1+VLOOKUP(宠物属性点预览!J$2,宠物成长!$F$5:$K$25,3,FALSE)+0)</f>
        <v>959.12962962962968</v>
      </c>
      <c r="K6" s="9">
        <f>(宠物成长!$C$1+宠物成长!$C$2/宠物成长!$C$3*宠物成长!$E$30)*(1+VLOOKUP(宠物属性点预览!K$2,宠物成长!$F$4:$K$25,4,FALSE)+0)+(VLOOKUP(宠物属性点预览!$B6,宠物成长!$D$30:$E$129,2,FALSE)-宠物成长!$E$30)*宠物成长!$C$2/宠物成长!$C$3*(1+VLOOKUP(宠物属性点预览!K$2,宠物成长!$F$5:$K$25,3,FALSE)+0)</f>
        <v>1193.1296296296296</v>
      </c>
      <c r="L6" s="9">
        <f>(宠物成长!$C$1+宠物成长!$C$2/宠物成长!$C$3*宠物成长!$E$30)*(1+VLOOKUP(宠物属性点预览!L$2,宠物成长!$F$4:$K$25,4,FALSE)+0)+(VLOOKUP(宠物属性点预览!$B6,宠物成长!$D$30:$E$129,2,FALSE)-宠物成长!$E$30)*宠物成长!$C$2/宠物成长!$C$3*(1+VLOOKUP(宠物属性点预览!L$2,宠物成长!$F$5:$K$25,3,FALSE)+0)</f>
        <v>1429.2242242242241</v>
      </c>
      <c r="M6" s="9">
        <f>(宠物成长!$C$1+宠物成长!$C$2/宠物成长!$C$3*宠物成长!$E$30)*(1+VLOOKUP(宠物属性点预览!M$2,宠物成长!$F$4:$K$25,4,FALSE)+0)+(VLOOKUP(宠物属性点预览!$B6,宠物成长!$D$30:$E$129,2,FALSE)-宠物成长!$E$30)*宠物成长!$C$2/宠物成长!$C$3*(1+VLOOKUP(宠物属性点预览!M$2,宠物成长!$F$5:$K$25,3,FALSE)+0)</f>
        <v>1666.9147004147003</v>
      </c>
      <c r="N6" s="9">
        <f>(宠物成长!$C$1+宠物成长!$C$2/宠物成长!$C$3*宠物成长!$E$30)*(1+VLOOKUP(宠物属性点预览!N$2,宠物成长!$F$4:$K$25,4,FALSE)+0)+(VLOOKUP(宠物属性点预览!$B6,宠物成长!$D$30:$E$129,2,FALSE)-宠物成长!$E$30)*宠物成长!$C$2/宠物成长!$C$3*(1+VLOOKUP(宠物属性点预览!N$2,宠物成长!$F$5:$K$25,3,FALSE)+0)</f>
        <v>1905.8615089253385</v>
      </c>
      <c r="O6" s="9">
        <f>(宠物成长!$C$1+宠物成长!$C$2/宠物成长!$C$3*宠物成长!$E$30)*(1+VLOOKUP(宠物属性点预览!O$2,宠物成长!$F$4:$K$25,4,FALSE)+0)+(VLOOKUP(宠物属性点预览!$B6,宠物成长!$D$30:$E$129,2,FALSE)-宠物成长!$E$30)*宠物成长!$C$2/宠物成长!$C$3*(1+VLOOKUP(宠物属性点预览!O$2,宠物成长!$F$5:$K$25,3,FALSE)+0)</f>
        <v>2145.8230473868766</v>
      </c>
      <c r="P6" s="9">
        <f>(宠物成长!$C$1+宠物成长!$C$2/宠物成长!$C$3*宠物成长!$E$30)*(1+VLOOKUP(宠物属性点预览!P$2,宠物成长!$F$4:$K$25,4,FALSE)+0)+(VLOOKUP(宠物属性点预览!$B6,宠物成长!$D$30:$E$129,2,FALSE)-宠物成长!$E$30)*宠物成长!$C$2/宠物成长!$C$3*(1+VLOOKUP(宠物属性点预览!P$2,宠物成长!$F$5:$K$25,3,FALSE)+0)</f>
        <v>2386.6212930009119</v>
      </c>
      <c r="Q6" s="9">
        <f>(宠物成长!$C$1+宠物成长!$C$2/宠物成长!$C$3*宠物成长!$E$30)*(1+VLOOKUP(宠物属性点预览!Q$2,宠物成长!$F$4:$K$25,4,FALSE)+0)+(VLOOKUP(宠物属性点预览!$B6,宠物成长!$D$30:$E$129,2,FALSE)-宠物成长!$E$30)*宠物成长!$C$2/宠物成长!$C$3*(1+VLOOKUP(宠物属性点预览!Q$2,宠物成长!$F$5:$K$25,3,FALSE)+0)</f>
        <v>2628.1212930009119</v>
      </c>
      <c r="R6" s="9">
        <f>(宠物成长!$C$1+宠物成长!$C$2/宠物成长!$C$3*宠物成长!$E$30)*(1+VLOOKUP(宠物属性点预览!R$2,宠物成长!$F$4:$K$25,4,FALSE)+0)+(VLOOKUP(宠物属性点预览!$B6,宠物成长!$D$30:$E$129,2,FALSE)-宠物成长!$E$30)*宠物成长!$C$2/宠物成长!$C$3*(1+VLOOKUP(宠物属性点预览!R$2,宠物成长!$F$5:$K$25,3,FALSE)+0)</f>
        <v>2870.218307926285</v>
      </c>
      <c r="S6" s="9">
        <f>(宠物成长!$C$1+宠物成长!$C$2/宠物成长!$C$3*宠物成长!$E$30)*(1+VLOOKUP(宠物属性点预览!S$2,宠物成长!$F$4:$K$25,4,FALSE)+0)+(VLOOKUP(宠物属性点预览!$B6,宠物成长!$D$30:$E$129,2,FALSE)-宠物成长!$E$30)*宠物成长!$C$2/宠物成长!$C$3*(1+VLOOKUP(宠物属性点预览!S$2,宠物成长!$F$5:$K$25,3,FALSE)+0)</f>
        <v>3112.8294190373958</v>
      </c>
      <c r="T6" s="83">
        <f t="shared" si="0"/>
        <v>72.5</v>
      </c>
      <c r="V6" s="9">
        <f>(宠物成长!$C$1+宠物成长!$C$2/宠物成长!$C$3*宠物成长!$E$30)*(1+宠物成长!$I$5+VLOOKUP(宠物属性点预览!V$2,宠物成长!$O$5:$R$10,3,FALSE))+(VLOOKUP(宠物属性点预览!$B6,宠物成长!$D$30:$E$129,2,FALSE)-宠物成长!$E$30)*宠物成长!$C$2/宠物成长!$C$3*(1+宠物成长!$H$5+VLOOKUP(宠物属性点预览!V$2,宠物成长!$O$5:$R$10,2,FALSE))</f>
        <v>72.5</v>
      </c>
      <c r="W6" s="9">
        <f>(宠物成长!$C$1+宠物成长!$C$2/宠物成长!$C$3*宠物成长!$E$30)*(1+宠物成长!$I$5+VLOOKUP(宠物属性点预览!W$2,宠物成长!$O$5:$R$10,3,FALSE))+(VLOOKUP(宠物属性点预览!$B6,宠物成长!$D$30:$E$129,2,FALSE)-宠物成长!$E$30)*宠物成长!$C$2/宠物成长!$C$3*(1+宠物成长!$H$5+VLOOKUP(宠物属性点预览!W$2,宠物成长!$O$5:$R$10,2,FALSE))</f>
        <v>385.5</v>
      </c>
      <c r="X6" s="9">
        <f>(宠物成长!$C$1+宠物成长!$C$2/宠物成长!$C$3*宠物成长!$E$30)*(1+宠物成长!$I$5+VLOOKUP(宠物属性点预览!X$2,宠物成长!$O$5:$R$10,3,FALSE))+(VLOOKUP(宠物属性点预览!$B6,宠物成长!$D$30:$E$129,2,FALSE)-宠物成长!$E$30)*宠物成长!$C$2/宠物成长!$C$3*(1+宠物成长!$H$5+VLOOKUP(宠物属性点预览!X$2,宠物成长!$O$5:$R$10,2,FALSE))</f>
        <v>760.5</v>
      </c>
      <c r="Y6" s="9">
        <f>(宠物成长!$C$1+宠物成长!$C$2/宠物成长!$C$3*宠物成长!$E$30)*(1+宠物成长!$I$5+VLOOKUP(宠物属性点预览!Y$2,宠物成长!$O$5:$R$10,3,FALSE))+(VLOOKUP(宠物属性点预览!$B6,宠物成长!$D$30:$E$129,2,FALSE)-宠物成长!$E$30)*宠物成长!$C$2/宠物成长!$C$3*(1+宠物成长!$H$5+VLOOKUP(宠物属性点预览!Y$2,宠物成长!$O$5:$R$10,2,FALSE))</f>
        <v>1197.5</v>
      </c>
      <c r="Z6" s="9">
        <f>(宠物成长!$C$1+宠物成长!$C$2/宠物成长!$C$3*宠物成长!$E$30)*(1+宠物成长!$I$5+VLOOKUP(宠物属性点预览!Z$2,宠物成长!$O$5:$R$10,3,FALSE))+(VLOOKUP(宠物属性点预览!$B6,宠物成长!$D$30:$E$129,2,FALSE)-宠物成长!$E$30)*宠物成长!$C$2/宠物成长!$C$3*(1+宠物成长!$H$5+VLOOKUP(宠物属性点预览!Z$2,宠物成长!$O$5:$R$10,2,FALSE))</f>
        <v>1634.5</v>
      </c>
    </row>
    <row r="7" spans="2:27" x14ac:dyDescent="0.15">
      <c r="B7" s="1">
        <v>5</v>
      </c>
      <c r="C7" s="9">
        <f>(宠物成长!$C$1+宠物成长!$C$2/宠物成长!$C$3*宠物成长!$E$30)*(1+VLOOKUP(宠物属性点预览!C$2,宠物成长!$F$4:$K$25,4,FALSE)+0)+(VLOOKUP(宠物属性点预览!$B7,宠物成长!$D$30:$E$129,2,FALSE)-宠物成长!$E$30)*宠物成长!$C$2/宠物成长!$C$3*(1+VLOOKUP(宠物属性点预览!C$2,宠物成长!$F$5:$K$25,3,FALSE)+0)</f>
        <v>76</v>
      </c>
      <c r="D7" s="83">
        <f>(宠物成长!$C$1+宠物成长!$C$2/宠物成长!$C$3*宠物成长!$E$30)*(1+VLOOKUP(宠物属性点预览!D$2,宠物成长!$F$4:$K$25,4,FALSE)+0)+(VLOOKUP(宠物属性点预览!$B7,宠物成长!$D$30:$E$129,2,FALSE)-宠物成长!$E$30)*宠物成长!$C$2/宠物成长!$C$3*(1+VLOOKUP(宠物属性点预览!D$2,宠物成长!$F$5:$K$25,3,FALSE)+0)</f>
        <v>122.5</v>
      </c>
      <c r="E7" s="9">
        <f>(宠物成长!$C$1+宠物成长!$C$2/宠物成长!$C$3*宠物成长!$E$30)*(1+VLOOKUP(宠物属性点预览!E$2,宠物成长!$F$4:$K$25,4,FALSE)+0)+(VLOOKUP(宠物属性点预览!$B7,宠物成长!$D$30:$E$129,2,FALSE)-宠物成长!$E$30)*宠物成长!$C$2/宠物成长!$C$3*(1+VLOOKUP(宠物属性点预览!E$2,宠物成长!$F$5:$K$25,3,FALSE)+0)</f>
        <v>187.6</v>
      </c>
      <c r="F7" s="9">
        <f>(宠物成长!$C$1+宠物成长!$C$2/宠物成长!$C$3*宠物成长!$E$30)*(1+VLOOKUP(宠物属性点预览!F$2,宠物成长!$F$4:$K$25,4,FALSE)+0)+(VLOOKUP(宠物属性点预览!$B7,宠物成长!$D$30:$E$129,2,FALSE)-宠物成长!$E$30)*宠物成长!$C$2/宠物成长!$C$3*(1+VLOOKUP(宠物属性点预览!F$2,宠物成长!$F$5:$K$25,3,FALSE)+0)</f>
        <v>274.40000000000003</v>
      </c>
      <c r="G7" s="9">
        <f>(宠物成长!$C$1+宠物成长!$C$2/宠物成长!$C$3*宠物成长!$E$30)*(1+VLOOKUP(宠物属性点预览!G$2,宠物成长!$F$4:$K$25,4,FALSE)+0)+(VLOOKUP(宠物属性点预览!$B7,宠物成长!$D$30:$E$129,2,FALSE)-宠物成长!$E$30)*宠物成长!$C$2/宠物成长!$C$3*(1+VLOOKUP(宠物属性点预览!G$2,宠物成长!$F$5:$K$25,3,FALSE)+0)</f>
        <v>375.59999999999997</v>
      </c>
      <c r="H7" s="9">
        <f>(宠物成长!$C$1+宠物成长!$C$2/宠物成长!$C$3*宠物成长!$E$30)*(1+VLOOKUP(宠物属性点预览!H$2,宠物成长!$F$4:$K$25,4,FALSE)+0)+(VLOOKUP(宠物属性点预览!$B7,宠物成长!$D$30:$E$129,2,FALSE)-宠物成长!$E$30)*宠物成长!$C$2/宠物成长!$C$3*(1+VLOOKUP(宠物属性点预览!H$2,宠物成长!$F$5:$K$25,3,FALSE)+0)</f>
        <v>526.4</v>
      </c>
      <c r="I7" s="9">
        <f>(宠物成长!$C$1+宠物成长!$C$2/宠物成长!$C$3*宠物成长!$E$30)*(1+VLOOKUP(宠物属性点预览!I$2,宠物成长!$F$4:$K$25,4,FALSE)+0)+(VLOOKUP(宠物属性点预览!$B7,宠物成长!$D$30:$E$129,2,FALSE)-宠物成长!$E$30)*宠物成长!$C$2/宠物成长!$C$3*(1+VLOOKUP(宠物属性点预览!I$2,宠物成长!$F$5:$K$25,3,FALSE)+0)</f>
        <v>733</v>
      </c>
      <c r="J7" s="9">
        <f>(宠物成长!$C$1+宠物成长!$C$2/宠物成长!$C$3*宠物成长!$E$30)*(1+VLOOKUP(宠物属性点预览!J$2,宠物成长!$F$4:$K$25,4,FALSE)+0)+(VLOOKUP(宠物属性点预览!$B7,宠物成长!$D$30:$E$129,2,FALSE)-宠物成长!$E$30)*宠物成长!$C$2/宠物成长!$C$3*(1+VLOOKUP(宠物属性点预览!J$2,宠物成长!$F$5:$K$25,3,FALSE)+0)</f>
        <v>964.62962962962968</v>
      </c>
      <c r="K7" s="9">
        <f>(宠物成长!$C$1+宠物成长!$C$2/宠物成长!$C$3*宠物成长!$E$30)*(1+VLOOKUP(宠物属性点预览!K$2,宠物成长!$F$4:$K$25,4,FALSE)+0)+(VLOOKUP(宠物属性点预览!$B7,宠物成长!$D$30:$E$129,2,FALSE)-宠物成长!$E$30)*宠物成长!$C$2/宠物成长!$C$3*(1+VLOOKUP(宠物属性点预览!K$2,宠物成长!$F$5:$K$25,3,FALSE)+0)</f>
        <v>1199.1296296296296</v>
      </c>
      <c r="L7" s="9">
        <f>(宠物成长!$C$1+宠物成长!$C$2/宠物成长!$C$3*宠物成长!$E$30)*(1+VLOOKUP(宠物属性点预览!L$2,宠物成长!$F$4:$K$25,4,FALSE)+0)+(VLOOKUP(宠物属性点预览!$B7,宠物成长!$D$30:$E$129,2,FALSE)-宠物成长!$E$30)*宠物成长!$C$2/宠物成长!$C$3*(1+VLOOKUP(宠物属性点预览!L$2,宠物成长!$F$5:$K$25,3,FALSE)+0)</f>
        <v>1435.7242242242241</v>
      </c>
      <c r="M7" s="9">
        <f>(宠物成长!$C$1+宠物成长!$C$2/宠物成长!$C$3*宠物成长!$E$30)*(1+VLOOKUP(宠物属性点预览!M$2,宠物成长!$F$4:$K$25,4,FALSE)+0)+(VLOOKUP(宠物属性点预览!$B7,宠物成长!$D$30:$E$129,2,FALSE)-宠物成长!$E$30)*宠物成长!$C$2/宠物成长!$C$3*(1+VLOOKUP(宠物属性点预览!M$2,宠物成长!$F$5:$K$25,3,FALSE)+0)</f>
        <v>1673.9147004147003</v>
      </c>
      <c r="N7" s="9">
        <f>(宠物成长!$C$1+宠物成长!$C$2/宠物成长!$C$3*宠物成长!$E$30)*(1+VLOOKUP(宠物属性点预览!N$2,宠物成长!$F$4:$K$25,4,FALSE)+0)+(VLOOKUP(宠物属性点预览!$B7,宠物成长!$D$30:$E$129,2,FALSE)-宠物成长!$E$30)*宠物成长!$C$2/宠物成长!$C$3*(1+VLOOKUP(宠物属性点预览!N$2,宠物成长!$F$5:$K$25,3,FALSE)+0)</f>
        <v>1913.3615089253385</v>
      </c>
      <c r="O7" s="9">
        <f>(宠物成长!$C$1+宠物成长!$C$2/宠物成长!$C$3*宠物成长!$E$30)*(1+VLOOKUP(宠物属性点预览!O$2,宠物成长!$F$4:$K$25,4,FALSE)+0)+(VLOOKUP(宠物属性点预览!$B7,宠物成长!$D$30:$E$129,2,FALSE)-宠物成长!$E$30)*宠物成长!$C$2/宠物成长!$C$3*(1+VLOOKUP(宠物属性点预览!O$2,宠物成长!$F$5:$K$25,3,FALSE)+0)</f>
        <v>2153.8230473868766</v>
      </c>
      <c r="P7" s="9">
        <f>(宠物成长!$C$1+宠物成长!$C$2/宠物成长!$C$3*宠物成长!$E$30)*(1+VLOOKUP(宠物属性点预览!P$2,宠物成长!$F$4:$K$25,4,FALSE)+0)+(VLOOKUP(宠物属性点预览!$B7,宠物成长!$D$30:$E$129,2,FALSE)-宠物成长!$E$30)*宠物成长!$C$2/宠物成长!$C$3*(1+VLOOKUP(宠物属性点预览!P$2,宠物成长!$F$5:$K$25,3,FALSE)+0)</f>
        <v>2395.1212930009119</v>
      </c>
      <c r="Q7" s="9">
        <f>(宠物成长!$C$1+宠物成长!$C$2/宠物成长!$C$3*宠物成长!$E$30)*(1+VLOOKUP(宠物属性点预览!Q$2,宠物成长!$F$4:$K$25,4,FALSE)+0)+(VLOOKUP(宠物属性点预览!$B7,宠物成长!$D$30:$E$129,2,FALSE)-宠物成长!$E$30)*宠物成长!$C$2/宠物成长!$C$3*(1+VLOOKUP(宠物属性点预览!Q$2,宠物成长!$F$5:$K$25,3,FALSE)+0)</f>
        <v>2637.1212930009119</v>
      </c>
      <c r="R7" s="9">
        <f>(宠物成长!$C$1+宠物成长!$C$2/宠物成长!$C$3*宠物成长!$E$30)*(1+VLOOKUP(宠物属性点预览!R$2,宠物成长!$F$4:$K$25,4,FALSE)+0)+(VLOOKUP(宠物属性点预览!$B7,宠物成长!$D$30:$E$129,2,FALSE)-宠物成长!$E$30)*宠物成长!$C$2/宠物成长!$C$3*(1+VLOOKUP(宠物属性点预览!R$2,宠物成长!$F$5:$K$25,3,FALSE)+0)</f>
        <v>2879.718307926285</v>
      </c>
      <c r="S7" s="9">
        <f>(宠物成长!$C$1+宠物成长!$C$2/宠物成长!$C$3*宠物成长!$E$30)*(1+VLOOKUP(宠物属性点预览!S$2,宠物成长!$F$4:$K$25,4,FALSE)+0)+(VLOOKUP(宠物属性点预览!$B7,宠物成长!$D$30:$E$129,2,FALSE)-宠物成长!$E$30)*宠物成长!$C$2/宠物成长!$C$3*(1+VLOOKUP(宠物属性点预览!S$2,宠物成长!$F$5:$K$25,3,FALSE)+0)</f>
        <v>3122.8294190373958</v>
      </c>
      <c r="T7" s="83">
        <f t="shared" si="0"/>
        <v>76</v>
      </c>
      <c r="U7" s="9">
        <f>D7</f>
        <v>122.5</v>
      </c>
      <c r="V7" s="9">
        <f>(宠物成长!$C$1+宠物成长!$C$2/宠物成长!$C$3*宠物成长!$E$30)*(1+宠物成长!$I$6+VLOOKUP(宠物属性点预览!V$2,宠物成长!$O$5:$R$10,3,FALSE))+(VLOOKUP(宠物属性点预览!$B7,宠物成长!$D$30:$E$129,2,FALSE)-宠物成长!$E$30)*宠物成长!$C$2/宠物成长!$C$3*(1+宠物成长!$H$6+VLOOKUP(宠物属性点预览!V$2,宠物成长!$O$5:$R$10,2,FALSE))</f>
        <v>122.5</v>
      </c>
      <c r="W7" s="9">
        <f>(宠物成长!$C$1+宠物成长!$C$2/宠物成长!$C$3*宠物成长!$E$30)*(1+宠物成长!$I$6+VLOOKUP(宠物属性点预览!W$2,宠物成长!$O$5:$R$10,3,FALSE))+(VLOOKUP(宠物属性点预览!$B7,宠物成长!$D$30:$E$129,2,FALSE)-宠物成长!$E$30)*宠物成长!$C$2/宠物成长!$C$3*(1+宠物成长!$H$6+VLOOKUP(宠物属性点预览!W$2,宠物成长!$O$5:$R$10,2,FALSE))</f>
        <v>436.5</v>
      </c>
      <c r="X7" s="9">
        <f>(宠物成长!$C$1+宠物成长!$C$2/宠物成长!$C$3*宠物成长!$E$30)*(1+宠物成长!$I$6+VLOOKUP(宠物属性点预览!X$2,宠物成长!$O$5:$R$10,3,FALSE))+(VLOOKUP(宠物属性点预览!$B7,宠物成长!$D$30:$E$129,2,FALSE)-宠物成长!$E$30)*宠物成长!$C$2/宠物成长!$C$3*(1+宠物成长!$H$6+VLOOKUP(宠物属性点预览!X$2,宠物成长!$O$5:$R$10,2,FALSE))</f>
        <v>812.5</v>
      </c>
      <c r="Y7" s="9">
        <f>(宠物成长!$C$1+宠物成长!$C$2/宠物成长!$C$3*宠物成长!$E$30)*(1+宠物成长!$I$6+VLOOKUP(宠物属性点预览!Y$2,宠物成长!$O$5:$R$10,3,FALSE))+(VLOOKUP(宠物属性点预览!$B7,宠物成长!$D$30:$E$129,2,FALSE)-宠物成长!$E$30)*宠物成长!$C$2/宠物成长!$C$3*(1+宠物成长!$H$6+VLOOKUP(宠物属性点预览!Y$2,宠物成长!$O$5:$R$10,2,FALSE))</f>
        <v>1250.5</v>
      </c>
      <c r="Z7" s="9">
        <f>(宠物成长!$C$1+宠物成长!$C$2/宠物成长!$C$3*宠物成长!$E$30)*(1+宠物成长!$I$6+VLOOKUP(宠物属性点预览!Z$2,宠物成长!$O$5:$R$10,3,FALSE))+(VLOOKUP(宠物属性点预览!$B7,宠物成长!$D$30:$E$129,2,FALSE)-宠物成长!$E$30)*宠物成长!$C$2/宠物成长!$C$3*(1+宠物成长!$H$6+VLOOKUP(宠物属性点预览!Z$2,宠物成长!$O$5:$R$10,2,FALSE))</f>
        <v>1688.5</v>
      </c>
      <c r="AA7" s="1">
        <f>U7/T7</f>
        <v>1.611842105263158</v>
      </c>
    </row>
    <row r="8" spans="2:27" x14ac:dyDescent="0.15">
      <c r="B8" s="1">
        <v>6</v>
      </c>
      <c r="C8" s="9">
        <f>(宠物成长!$C$1+宠物成长!$C$2/宠物成长!$C$3*宠物成长!$E$30)*(1+VLOOKUP(宠物属性点预览!C$2,宠物成长!$F$4:$K$25,4,FALSE)+0)+(VLOOKUP(宠物属性点预览!$B8,宠物成长!$D$30:$E$129,2,FALSE)-宠物成长!$E$30)*宠物成长!$C$2/宠物成长!$C$3*(1+VLOOKUP(宠物属性点预览!C$2,宠物成长!$F$5:$K$25,3,FALSE)+0)</f>
        <v>79.5</v>
      </c>
      <c r="D8" s="9">
        <f>(宠物成长!$C$1+宠物成长!$C$2/宠物成长!$C$3*宠物成长!$E$30)*(1+VLOOKUP(宠物属性点预览!D$2,宠物成长!$F$4:$K$25,4,FALSE)+0)+(VLOOKUP(宠物属性点预览!$B8,宠物成长!$D$30:$E$129,2,FALSE)-宠物成长!$E$30)*宠物成长!$C$2/宠物成长!$C$3*(1+VLOOKUP(宠物属性点预览!D$2,宠物成长!$F$5:$K$25,3,FALSE)+0)</f>
        <v>126</v>
      </c>
      <c r="E8" s="9">
        <f>(宠物成长!$C$1+宠物成长!$C$2/宠物成长!$C$3*宠物成长!$E$30)*(1+VLOOKUP(宠物属性点预览!E$2,宠物成长!$F$4:$K$25,4,FALSE)+0)+(VLOOKUP(宠物属性点预览!$B8,宠物成长!$D$30:$E$129,2,FALSE)-宠物成长!$E$30)*宠物成长!$C$2/宠物成长!$C$3*(1+VLOOKUP(宠物属性点预览!E$2,宠物成长!$F$5:$K$25,3,FALSE)+0)</f>
        <v>191.1</v>
      </c>
      <c r="F8" s="9">
        <f>(宠物成长!$C$1+宠物成长!$C$2/宠物成长!$C$3*宠物成长!$E$30)*(1+VLOOKUP(宠物属性点预览!F$2,宠物成长!$F$4:$K$25,4,FALSE)+0)+(VLOOKUP(宠物属性点预览!$B8,宠物成长!$D$30:$E$129,2,FALSE)-宠物成长!$E$30)*宠物成长!$C$2/宠物成长!$C$3*(1+VLOOKUP(宠物属性点预览!F$2,宠物成长!$F$5:$K$25,3,FALSE)+0)</f>
        <v>277.90000000000003</v>
      </c>
      <c r="G8" s="9">
        <f>(宠物成长!$C$1+宠物成长!$C$2/宠物成长!$C$3*宠物成长!$E$30)*(1+VLOOKUP(宠物属性点预览!G$2,宠物成长!$F$4:$K$25,4,FALSE)+0)+(VLOOKUP(宠物属性点预览!$B8,宠物成长!$D$30:$E$129,2,FALSE)-宠物成长!$E$30)*宠物成长!$C$2/宠物成长!$C$3*(1+VLOOKUP(宠物属性点预览!G$2,宠物成长!$F$5:$K$25,3,FALSE)+0)</f>
        <v>379.59999999999997</v>
      </c>
      <c r="H8" s="9">
        <f>(宠物成长!$C$1+宠物成长!$C$2/宠物成长!$C$3*宠物成长!$E$30)*(1+VLOOKUP(宠物属性点预览!H$2,宠物成长!$F$4:$K$25,4,FALSE)+0)+(VLOOKUP(宠物属性点预览!$B8,宠物成长!$D$30:$E$129,2,FALSE)-宠物成长!$E$30)*宠物成长!$C$2/宠物成长!$C$3*(1+VLOOKUP(宠物属性点预览!H$2,宠物成长!$F$5:$K$25,3,FALSE)+0)</f>
        <v>530.9</v>
      </c>
      <c r="I8" s="9">
        <f>(宠物成长!$C$1+宠物成长!$C$2/宠物成长!$C$3*宠物成长!$E$30)*(1+VLOOKUP(宠物属性点预览!I$2,宠物成长!$F$4:$K$25,4,FALSE)+0)+(VLOOKUP(宠物属性点预览!$B8,宠物成长!$D$30:$E$129,2,FALSE)-宠物成长!$E$30)*宠物成长!$C$2/宠物成长!$C$3*(1+VLOOKUP(宠物属性点预览!I$2,宠物成长!$F$5:$K$25,3,FALSE)+0)</f>
        <v>738</v>
      </c>
      <c r="J8" s="9">
        <f>(宠物成长!$C$1+宠物成长!$C$2/宠物成长!$C$3*宠物成长!$E$30)*(1+VLOOKUP(宠物属性点预览!J$2,宠物成长!$F$4:$K$25,4,FALSE)+0)+(VLOOKUP(宠物属性点预览!$B8,宠物成长!$D$30:$E$129,2,FALSE)-宠物成长!$E$30)*宠物成长!$C$2/宠物成长!$C$3*(1+VLOOKUP(宠物属性点预览!J$2,宠物成长!$F$5:$K$25,3,FALSE)+0)</f>
        <v>970.12962962962968</v>
      </c>
      <c r="K8" s="9">
        <f>(宠物成长!$C$1+宠物成长!$C$2/宠物成长!$C$3*宠物成长!$E$30)*(1+VLOOKUP(宠物属性点预览!K$2,宠物成长!$F$4:$K$25,4,FALSE)+0)+(VLOOKUP(宠物属性点预览!$B8,宠物成长!$D$30:$E$129,2,FALSE)-宠物成长!$E$30)*宠物成长!$C$2/宠物成长!$C$3*(1+VLOOKUP(宠物属性点预览!K$2,宠物成长!$F$5:$K$25,3,FALSE)+0)</f>
        <v>1205.1296296296296</v>
      </c>
      <c r="L8" s="9">
        <f>(宠物成长!$C$1+宠物成长!$C$2/宠物成长!$C$3*宠物成长!$E$30)*(1+VLOOKUP(宠物属性点预览!L$2,宠物成长!$F$4:$K$25,4,FALSE)+0)+(VLOOKUP(宠物属性点预览!$B8,宠物成长!$D$30:$E$129,2,FALSE)-宠物成长!$E$30)*宠物成长!$C$2/宠物成长!$C$3*(1+VLOOKUP(宠物属性点预览!L$2,宠物成长!$F$5:$K$25,3,FALSE)+0)</f>
        <v>1442.2242242242241</v>
      </c>
      <c r="M8" s="9">
        <f>(宠物成长!$C$1+宠物成长!$C$2/宠物成长!$C$3*宠物成长!$E$30)*(1+VLOOKUP(宠物属性点预览!M$2,宠物成长!$F$4:$K$25,4,FALSE)+0)+(VLOOKUP(宠物属性点预览!$B8,宠物成长!$D$30:$E$129,2,FALSE)-宠物成长!$E$30)*宠物成长!$C$2/宠物成长!$C$3*(1+VLOOKUP(宠物属性点预览!M$2,宠物成长!$F$5:$K$25,3,FALSE)+0)</f>
        <v>1680.9147004147003</v>
      </c>
      <c r="N8" s="9">
        <f>(宠物成长!$C$1+宠物成长!$C$2/宠物成长!$C$3*宠物成长!$E$30)*(1+VLOOKUP(宠物属性点预览!N$2,宠物成长!$F$4:$K$25,4,FALSE)+0)+(VLOOKUP(宠物属性点预览!$B8,宠物成长!$D$30:$E$129,2,FALSE)-宠物成长!$E$30)*宠物成长!$C$2/宠物成长!$C$3*(1+VLOOKUP(宠物属性点预览!N$2,宠物成长!$F$5:$K$25,3,FALSE)+0)</f>
        <v>1920.8615089253385</v>
      </c>
      <c r="O8" s="9">
        <f>(宠物成长!$C$1+宠物成长!$C$2/宠物成长!$C$3*宠物成长!$E$30)*(1+VLOOKUP(宠物属性点预览!O$2,宠物成长!$F$4:$K$25,4,FALSE)+0)+(VLOOKUP(宠物属性点预览!$B8,宠物成长!$D$30:$E$129,2,FALSE)-宠物成长!$E$30)*宠物成长!$C$2/宠物成长!$C$3*(1+VLOOKUP(宠物属性点预览!O$2,宠物成长!$F$5:$K$25,3,FALSE)+0)</f>
        <v>2161.8230473868766</v>
      </c>
      <c r="P8" s="9">
        <f>(宠物成长!$C$1+宠物成长!$C$2/宠物成长!$C$3*宠物成长!$E$30)*(1+VLOOKUP(宠物属性点预览!P$2,宠物成长!$F$4:$K$25,4,FALSE)+0)+(VLOOKUP(宠物属性点预览!$B8,宠物成长!$D$30:$E$129,2,FALSE)-宠物成长!$E$30)*宠物成长!$C$2/宠物成长!$C$3*(1+VLOOKUP(宠物属性点预览!P$2,宠物成长!$F$5:$K$25,3,FALSE)+0)</f>
        <v>2403.6212930009119</v>
      </c>
      <c r="Q8" s="9">
        <f>(宠物成长!$C$1+宠物成长!$C$2/宠物成长!$C$3*宠物成长!$E$30)*(1+VLOOKUP(宠物属性点预览!Q$2,宠物成长!$F$4:$K$25,4,FALSE)+0)+(VLOOKUP(宠物属性点预览!$B8,宠物成长!$D$30:$E$129,2,FALSE)-宠物成长!$E$30)*宠物成长!$C$2/宠物成长!$C$3*(1+VLOOKUP(宠物属性点预览!Q$2,宠物成长!$F$5:$K$25,3,FALSE)+0)</f>
        <v>2646.1212930009119</v>
      </c>
      <c r="R8" s="9">
        <f>(宠物成长!$C$1+宠物成长!$C$2/宠物成长!$C$3*宠物成长!$E$30)*(1+VLOOKUP(宠物属性点预览!R$2,宠物成长!$F$4:$K$25,4,FALSE)+0)+(VLOOKUP(宠物属性点预览!$B8,宠物成长!$D$30:$E$129,2,FALSE)-宠物成长!$E$30)*宠物成长!$C$2/宠物成长!$C$3*(1+VLOOKUP(宠物属性点预览!R$2,宠物成长!$F$5:$K$25,3,FALSE)+0)</f>
        <v>2889.218307926285</v>
      </c>
      <c r="S8" s="9">
        <f>(宠物成长!$C$1+宠物成长!$C$2/宠物成长!$C$3*宠物成长!$E$30)*(1+VLOOKUP(宠物属性点预览!S$2,宠物成长!$F$4:$K$25,4,FALSE)+0)+(VLOOKUP(宠物属性点预览!$B8,宠物成长!$D$30:$E$129,2,FALSE)-宠物成长!$E$30)*宠物成长!$C$2/宠物成长!$C$3*(1+VLOOKUP(宠物属性点预览!S$2,宠物成长!$F$5:$K$25,3,FALSE)+0)</f>
        <v>3132.8294190373958</v>
      </c>
      <c r="T8" s="83">
        <f>D8</f>
        <v>126</v>
      </c>
      <c r="V8" s="9">
        <f>(宠物成长!$C$1+宠物成长!$C$2/宠物成长!$C$3*宠物成长!$E$30)*(1+宠物成长!$I$6+VLOOKUP(宠物属性点预览!V$2,宠物成长!$O$5:$R$10,3,FALSE))+(VLOOKUP(宠物属性点预览!$B8,宠物成长!$D$30:$E$129,2,FALSE)-宠物成长!$E$30)*宠物成长!$C$2/宠物成长!$C$3*(1+宠物成长!$H$6+VLOOKUP(宠物属性点预览!V$2,宠物成长!$O$5:$R$10,2,FALSE))</f>
        <v>126</v>
      </c>
      <c r="W8" s="9">
        <f>(宠物成长!$C$1+宠物成长!$C$2/宠物成长!$C$3*宠物成长!$E$30)*(1+宠物成长!$I$6+VLOOKUP(宠物属性点预览!W$2,宠物成长!$O$5:$R$10,3,FALSE))+(VLOOKUP(宠物属性点预览!$B8,宠物成长!$D$30:$E$129,2,FALSE)-宠物成长!$E$30)*宠物成长!$C$2/宠物成长!$C$3*(1+宠物成长!$H$6+VLOOKUP(宠物属性点预览!W$2,宠物成长!$O$5:$R$10,2,FALSE))</f>
        <v>441</v>
      </c>
      <c r="X8" s="9">
        <f>(宠物成长!$C$1+宠物成长!$C$2/宠物成长!$C$3*宠物成长!$E$30)*(1+宠物成长!$I$6+VLOOKUP(宠物属性点预览!X$2,宠物成长!$O$5:$R$10,3,FALSE))+(VLOOKUP(宠物属性点预览!$B8,宠物成长!$D$30:$E$129,2,FALSE)-宠物成长!$E$30)*宠物成长!$C$2/宠物成长!$C$3*(1+宠物成长!$H$6+VLOOKUP(宠物属性点预览!X$2,宠物成长!$O$5:$R$10,2,FALSE))</f>
        <v>818</v>
      </c>
      <c r="Y8" s="9">
        <f>(宠物成长!$C$1+宠物成长!$C$2/宠物成长!$C$3*宠物成长!$E$30)*(1+宠物成长!$I$6+VLOOKUP(宠物属性点预览!Y$2,宠物成长!$O$5:$R$10,3,FALSE))+(VLOOKUP(宠物属性点预览!$B8,宠物成长!$D$30:$E$129,2,FALSE)-宠物成长!$E$30)*宠物成长!$C$2/宠物成长!$C$3*(1+宠物成长!$H$6+VLOOKUP(宠物属性点预览!Y$2,宠物成长!$O$5:$R$10,2,FALSE))</f>
        <v>1257</v>
      </c>
      <c r="Z8" s="9">
        <f>(宠物成长!$C$1+宠物成长!$C$2/宠物成长!$C$3*宠物成长!$E$30)*(1+宠物成长!$I$6+VLOOKUP(宠物属性点预览!Z$2,宠物成长!$O$5:$R$10,3,FALSE))+(VLOOKUP(宠物属性点预览!$B8,宠物成长!$D$30:$E$129,2,FALSE)-宠物成长!$E$30)*宠物成长!$C$2/宠物成长!$C$3*(1+宠物成长!$H$6+VLOOKUP(宠物属性点预览!Z$2,宠物成长!$O$5:$R$10,2,FALSE))</f>
        <v>1696</v>
      </c>
      <c r="AA8" s="1">
        <f t="shared" ref="AA8:AA36" si="1">U8/T8</f>
        <v>0</v>
      </c>
    </row>
    <row r="9" spans="2:27" x14ac:dyDescent="0.15">
      <c r="B9" s="1">
        <v>7</v>
      </c>
      <c r="C9" s="9">
        <f>(宠物成长!$C$1+宠物成长!$C$2/宠物成长!$C$3*宠物成长!$E$30)*(1+VLOOKUP(宠物属性点预览!C$2,宠物成长!$F$4:$K$25,4,FALSE)+0)+(VLOOKUP(宠物属性点预览!$B9,宠物成长!$D$30:$E$129,2,FALSE)-宠物成长!$E$30)*宠物成长!$C$2/宠物成长!$C$3*(1+VLOOKUP(宠物属性点预览!C$2,宠物成长!$F$5:$K$25,3,FALSE)+0)</f>
        <v>83</v>
      </c>
      <c r="D9" s="9">
        <f>(宠物成长!$C$1+宠物成长!$C$2/宠物成长!$C$3*宠物成长!$E$30)*(1+VLOOKUP(宠物属性点预览!D$2,宠物成长!$F$4:$K$25,4,FALSE)+0)+(VLOOKUP(宠物属性点预览!$B9,宠物成长!$D$30:$E$129,2,FALSE)-宠物成长!$E$30)*宠物成长!$C$2/宠物成长!$C$3*(1+VLOOKUP(宠物属性点预览!D$2,宠物成长!$F$5:$K$25,3,FALSE)+0)</f>
        <v>129.5</v>
      </c>
      <c r="E9" s="9">
        <f>(宠物成长!$C$1+宠物成长!$C$2/宠物成长!$C$3*宠物成长!$E$30)*(1+VLOOKUP(宠物属性点预览!E$2,宠物成长!$F$4:$K$25,4,FALSE)+0)+(VLOOKUP(宠物属性点预览!$B9,宠物成长!$D$30:$E$129,2,FALSE)-宠物成长!$E$30)*宠物成长!$C$2/宠物成长!$C$3*(1+VLOOKUP(宠物属性点预览!E$2,宠物成长!$F$5:$K$25,3,FALSE)+0)</f>
        <v>194.6</v>
      </c>
      <c r="F9" s="9">
        <f>(宠物成长!$C$1+宠物成长!$C$2/宠物成长!$C$3*宠物成长!$E$30)*(1+VLOOKUP(宠物属性点预览!F$2,宠物成长!$F$4:$K$25,4,FALSE)+0)+(VLOOKUP(宠物属性点预览!$B9,宠物成长!$D$30:$E$129,2,FALSE)-宠物成长!$E$30)*宠物成长!$C$2/宠物成长!$C$3*(1+VLOOKUP(宠物属性点预览!F$2,宠物成长!$F$5:$K$25,3,FALSE)+0)</f>
        <v>281.40000000000003</v>
      </c>
      <c r="G9" s="9">
        <f>(宠物成长!$C$1+宠物成长!$C$2/宠物成长!$C$3*宠物成长!$E$30)*(1+VLOOKUP(宠物属性点预览!G$2,宠物成长!$F$4:$K$25,4,FALSE)+0)+(VLOOKUP(宠物属性点预览!$B9,宠物成长!$D$30:$E$129,2,FALSE)-宠物成长!$E$30)*宠物成长!$C$2/宠物成长!$C$3*(1+VLOOKUP(宠物属性点预览!G$2,宠物成长!$F$5:$K$25,3,FALSE)+0)</f>
        <v>383.59999999999997</v>
      </c>
      <c r="H9" s="9">
        <f>(宠物成长!$C$1+宠物成长!$C$2/宠物成长!$C$3*宠物成长!$E$30)*(1+VLOOKUP(宠物属性点预览!H$2,宠物成长!$F$4:$K$25,4,FALSE)+0)+(VLOOKUP(宠物属性点预览!$B9,宠物成长!$D$30:$E$129,2,FALSE)-宠物成长!$E$30)*宠物成长!$C$2/宠物成长!$C$3*(1+VLOOKUP(宠物属性点预览!H$2,宠物成长!$F$5:$K$25,3,FALSE)+0)</f>
        <v>535.4</v>
      </c>
      <c r="I9" s="9">
        <f>(宠物成长!$C$1+宠物成长!$C$2/宠物成长!$C$3*宠物成长!$E$30)*(1+VLOOKUP(宠物属性点预览!I$2,宠物成长!$F$4:$K$25,4,FALSE)+0)+(VLOOKUP(宠物属性点预览!$B9,宠物成长!$D$30:$E$129,2,FALSE)-宠物成长!$E$30)*宠物成长!$C$2/宠物成长!$C$3*(1+VLOOKUP(宠物属性点预览!I$2,宠物成长!$F$5:$K$25,3,FALSE)+0)</f>
        <v>743</v>
      </c>
      <c r="J9" s="9">
        <f>(宠物成长!$C$1+宠物成长!$C$2/宠物成长!$C$3*宠物成长!$E$30)*(1+VLOOKUP(宠物属性点预览!J$2,宠物成长!$F$4:$K$25,4,FALSE)+0)+(VLOOKUP(宠物属性点预览!$B9,宠物成长!$D$30:$E$129,2,FALSE)-宠物成长!$E$30)*宠物成长!$C$2/宠物成长!$C$3*(1+VLOOKUP(宠物属性点预览!J$2,宠物成长!$F$5:$K$25,3,FALSE)+0)</f>
        <v>975.62962962962968</v>
      </c>
      <c r="K9" s="9">
        <f>(宠物成长!$C$1+宠物成长!$C$2/宠物成长!$C$3*宠物成长!$E$30)*(1+VLOOKUP(宠物属性点预览!K$2,宠物成长!$F$4:$K$25,4,FALSE)+0)+(VLOOKUP(宠物属性点预览!$B9,宠物成长!$D$30:$E$129,2,FALSE)-宠物成长!$E$30)*宠物成长!$C$2/宠物成长!$C$3*(1+VLOOKUP(宠物属性点预览!K$2,宠物成长!$F$5:$K$25,3,FALSE)+0)</f>
        <v>1211.1296296296296</v>
      </c>
      <c r="L9" s="9">
        <f>(宠物成长!$C$1+宠物成长!$C$2/宠物成长!$C$3*宠物成长!$E$30)*(1+VLOOKUP(宠物属性点预览!L$2,宠物成长!$F$4:$K$25,4,FALSE)+0)+(VLOOKUP(宠物属性点预览!$B9,宠物成长!$D$30:$E$129,2,FALSE)-宠物成长!$E$30)*宠物成长!$C$2/宠物成长!$C$3*(1+VLOOKUP(宠物属性点预览!L$2,宠物成长!$F$5:$K$25,3,FALSE)+0)</f>
        <v>1448.7242242242241</v>
      </c>
      <c r="M9" s="9">
        <f>(宠物成长!$C$1+宠物成长!$C$2/宠物成长!$C$3*宠物成长!$E$30)*(1+VLOOKUP(宠物属性点预览!M$2,宠物成长!$F$4:$K$25,4,FALSE)+0)+(VLOOKUP(宠物属性点预览!$B9,宠物成长!$D$30:$E$129,2,FALSE)-宠物成长!$E$30)*宠物成长!$C$2/宠物成长!$C$3*(1+VLOOKUP(宠物属性点预览!M$2,宠物成长!$F$5:$K$25,3,FALSE)+0)</f>
        <v>1687.9147004147003</v>
      </c>
      <c r="N9" s="9">
        <f>(宠物成长!$C$1+宠物成长!$C$2/宠物成长!$C$3*宠物成长!$E$30)*(1+VLOOKUP(宠物属性点预览!N$2,宠物成长!$F$4:$K$25,4,FALSE)+0)+(VLOOKUP(宠物属性点预览!$B9,宠物成长!$D$30:$E$129,2,FALSE)-宠物成长!$E$30)*宠物成长!$C$2/宠物成长!$C$3*(1+VLOOKUP(宠物属性点预览!N$2,宠物成长!$F$5:$K$25,3,FALSE)+0)</f>
        <v>1928.3615089253385</v>
      </c>
      <c r="O9" s="9">
        <f>(宠物成长!$C$1+宠物成长!$C$2/宠物成长!$C$3*宠物成长!$E$30)*(1+VLOOKUP(宠物属性点预览!O$2,宠物成长!$F$4:$K$25,4,FALSE)+0)+(VLOOKUP(宠物属性点预览!$B9,宠物成长!$D$30:$E$129,2,FALSE)-宠物成长!$E$30)*宠物成长!$C$2/宠物成长!$C$3*(1+VLOOKUP(宠物属性点预览!O$2,宠物成长!$F$5:$K$25,3,FALSE)+0)</f>
        <v>2169.8230473868766</v>
      </c>
      <c r="P9" s="9">
        <f>(宠物成长!$C$1+宠物成长!$C$2/宠物成长!$C$3*宠物成长!$E$30)*(1+VLOOKUP(宠物属性点预览!P$2,宠物成长!$F$4:$K$25,4,FALSE)+0)+(VLOOKUP(宠物属性点预览!$B9,宠物成长!$D$30:$E$129,2,FALSE)-宠物成长!$E$30)*宠物成长!$C$2/宠物成长!$C$3*(1+VLOOKUP(宠物属性点预览!P$2,宠物成长!$F$5:$K$25,3,FALSE)+0)</f>
        <v>2412.1212930009119</v>
      </c>
      <c r="Q9" s="9">
        <f>(宠物成长!$C$1+宠物成长!$C$2/宠物成长!$C$3*宠物成长!$E$30)*(1+VLOOKUP(宠物属性点预览!Q$2,宠物成长!$F$4:$K$25,4,FALSE)+0)+(VLOOKUP(宠物属性点预览!$B9,宠物成长!$D$30:$E$129,2,FALSE)-宠物成长!$E$30)*宠物成长!$C$2/宠物成长!$C$3*(1+VLOOKUP(宠物属性点预览!Q$2,宠物成长!$F$5:$K$25,3,FALSE)+0)</f>
        <v>2655.1212930009119</v>
      </c>
      <c r="R9" s="9">
        <f>(宠物成长!$C$1+宠物成长!$C$2/宠物成长!$C$3*宠物成长!$E$30)*(1+VLOOKUP(宠物属性点预览!R$2,宠物成长!$F$4:$K$25,4,FALSE)+0)+(VLOOKUP(宠物属性点预览!$B9,宠物成长!$D$30:$E$129,2,FALSE)-宠物成长!$E$30)*宠物成长!$C$2/宠物成长!$C$3*(1+VLOOKUP(宠物属性点预览!R$2,宠物成长!$F$5:$K$25,3,FALSE)+0)</f>
        <v>2898.718307926285</v>
      </c>
      <c r="S9" s="9">
        <f>(宠物成长!$C$1+宠物成长!$C$2/宠物成长!$C$3*宠物成长!$E$30)*(1+VLOOKUP(宠物属性点预览!S$2,宠物成长!$F$4:$K$25,4,FALSE)+0)+(VLOOKUP(宠物属性点预览!$B9,宠物成长!$D$30:$E$129,2,FALSE)-宠物成长!$E$30)*宠物成长!$C$2/宠物成长!$C$3*(1+VLOOKUP(宠物属性点预览!S$2,宠物成长!$F$5:$K$25,3,FALSE)+0)</f>
        <v>3142.8294190373958</v>
      </c>
      <c r="T9" s="83">
        <f t="shared" ref="T9:T12" si="2">D9</f>
        <v>129.5</v>
      </c>
      <c r="V9" s="9">
        <f>(宠物成长!$C$1+宠物成长!$C$2/宠物成长!$C$3*宠物成长!$E$30)*(1+宠物成长!$I$6+VLOOKUP(宠物属性点预览!V$2,宠物成长!$O$5:$R$10,3,FALSE))+(VLOOKUP(宠物属性点预览!$B9,宠物成长!$D$30:$E$129,2,FALSE)-宠物成长!$E$30)*宠物成长!$C$2/宠物成长!$C$3*(1+宠物成长!$H$6+VLOOKUP(宠物属性点预览!V$2,宠物成长!$O$5:$R$10,2,FALSE))</f>
        <v>129.5</v>
      </c>
      <c r="W9" s="9">
        <f>(宠物成长!$C$1+宠物成长!$C$2/宠物成长!$C$3*宠物成长!$E$30)*(1+宠物成长!$I$6+VLOOKUP(宠物属性点预览!W$2,宠物成长!$O$5:$R$10,3,FALSE))+(VLOOKUP(宠物属性点预览!$B9,宠物成长!$D$30:$E$129,2,FALSE)-宠物成长!$E$30)*宠物成长!$C$2/宠物成长!$C$3*(1+宠物成长!$H$6+VLOOKUP(宠物属性点预览!W$2,宠物成长!$O$5:$R$10,2,FALSE))</f>
        <v>445.5</v>
      </c>
      <c r="X9" s="9">
        <f>(宠物成长!$C$1+宠物成长!$C$2/宠物成长!$C$3*宠物成长!$E$30)*(1+宠物成长!$I$6+VLOOKUP(宠物属性点预览!X$2,宠物成长!$O$5:$R$10,3,FALSE))+(VLOOKUP(宠物属性点预览!$B9,宠物成长!$D$30:$E$129,2,FALSE)-宠物成长!$E$30)*宠物成长!$C$2/宠物成长!$C$3*(1+宠物成长!$H$6+VLOOKUP(宠物属性点预览!X$2,宠物成长!$O$5:$R$10,2,FALSE))</f>
        <v>823.5</v>
      </c>
      <c r="Y9" s="9">
        <f>(宠物成长!$C$1+宠物成长!$C$2/宠物成长!$C$3*宠物成长!$E$30)*(1+宠物成长!$I$6+VLOOKUP(宠物属性点预览!Y$2,宠物成长!$O$5:$R$10,3,FALSE))+(VLOOKUP(宠物属性点预览!$B9,宠物成长!$D$30:$E$129,2,FALSE)-宠物成长!$E$30)*宠物成长!$C$2/宠物成长!$C$3*(1+宠物成长!$H$6+VLOOKUP(宠物属性点预览!Y$2,宠物成长!$O$5:$R$10,2,FALSE))</f>
        <v>1263.5</v>
      </c>
      <c r="Z9" s="9">
        <f>(宠物成长!$C$1+宠物成长!$C$2/宠物成长!$C$3*宠物成长!$E$30)*(1+宠物成长!$I$6+VLOOKUP(宠物属性点预览!Z$2,宠物成长!$O$5:$R$10,3,FALSE))+(VLOOKUP(宠物属性点预览!$B9,宠物成长!$D$30:$E$129,2,FALSE)-宠物成长!$E$30)*宠物成长!$C$2/宠物成长!$C$3*(1+宠物成长!$H$6+VLOOKUP(宠物属性点预览!Z$2,宠物成长!$O$5:$R$10,2,FALSE))</f>
        <v>1703.5</v>
      </c>
      <c r="AA9" s="1">
        <f t="shared" si="1"/>
        <v>0</v>
      </c>
    </row>
    <row r="10" spans="2:27" x14ac:dyDescent="0.15">
      <c r="B10" s="1">
        <v>8</v>
      </c>
      <c r="C10" s="9">
        <f>(宠物成长!$C$1+宠物成长!$C$2/宠物成长!$C$3*宠物成长!$E$30)*(1+VLOOKUP(宠物属性点预览!C$2,宠物成长!$F$4:$K$25,4,FALSE)+0)+(VLOOKUP(宠物属性点预览!$B10,宠物成长!$D$30:$E$129,2,FALSE)-宠物成长!$E$30)*宠物成长!$C$2/宠物成长!$C$3*(1+VLOOKUP(宠物属性点预览!C$2,宠物成长!$F$5:$K$25,3,FALSE)+0)</f>
        <v>86.5</v>
      </c>
      <c r="D10" s="9">
        <f>(宠物成长!$C$1+宠物成长!$C$2/宠物成长!$C$3*宠物成长!$E$30)*(1+VLOOKUP(宠物属性点预览!D$2,宠物成长!$F$4:$K$25,4,FALSE)+0)+(VLOOKUP(宠物属性点预览!$B10,宠物成长!$D$30:$E$129,2,FALSE)-宠物成长!$E$30)*宠物成长!$C$2/宠物成长!$C$3*(1+VLOOKUP(宠物属性点预览!D$2,宠物成长!$F$5:$K$25,3,FALSE)+0)</f>
        <v>133</v>
      </c>
      <c r="E10" s="9">
        <f>(宠物成长!$C$1+宠物成长!$C$2/宠物成长!$C$3*宠物成长!$E$30)*(1+VLOOKUP(宠物属性点预览!E$2,宠物成长!$F$4:$K$25,4,FALSE)+0)+(VLOOKUP(宠物属性点预览!$B10,宠物成长!$D$30:$E$129,2,FALSE)-宠物成长!$E$30)*宠物成长!$C$2/宠物成长!$C$3*(1+VLOOKUP(宠物属性点预览!E$2,宠物成长!$F$5:$K$25,3,FALSE)+0)</f>
        <v>198.1</v>
      </c>
      <c r="F10" s="9">
        <f>(宠物成长!$C$1+宠物成长!$C$2/宠物成长!$C$3*宠物成长!$E$30)*(1+VLOOKUP(宠物属性点预览!F$2,宠物成长!$F$4:$K$25,4,FALSE)+0)+(VLOOKUP(宠物属性点预览!$B10,宠物成长!$D$30:$E$129,2,FALSE)-宠物成长!$E$30)*宠物成长!$C$2/宠物成长!$C$3*(1+VLOOKUP(宠物属性点预览!F$2,宠物成长!$F$5:$K$25,3,FALSE)+0)</f>
        <v>284.90000000000003</v>
      </c>
      <c r="G10" s="9">
        <f>(宠物成长!$C$1+宠物成长!$C$2/宠物成长!$C$3*宠物成长!$E$30)*(1+VLOOKUP(宠物属性点预览!G$2,宠物成长!$F$4:$K$25,4,FALSE)+0)+(VLOOKUP(宠物属性点预览!$B10,宠物成长!$D$30:$E$129,2,FALSE)-宠物成长!$E$30)*宠物成长!$C$2/宠物成长!$C$3*(1+VLOOKUP(宠物属性点预览!G$2,宠物成长!$F$5:$K$25,3,FALSE)+0)</f>
        <v>387.59999999999997</v>
      </c>
      <c r="H10" s="9">
        <f>(宠物成长!$C$1+宠物成长!$C$2/宠物成长!$C$3*宠物成长!$E$30)*(1+VLOOKUP(宠物属性点预览!H$2,宠物成长!$F$4:$K$25,4,FALSE)+0)+(VLOOKUP(宠物属性点预览!$B10,宠物成长!$D$30:$E$129,2,FALSE)-宠物成长!$E$30)*宠物成长!$C$2/宠物成长!$C$3*(1+VLOOKUP(宠物属性点预览!H$2,宠物成长!$F$5:$K$25,3,FALSE)+0)</f>
        <v>539.9</v>
      </c>
      <c r="I10" s="9">
        <f>(宠物成长!$C$1+宠物成长!$C$2/宠物成长!$C$3*宠物成长!$E$30)*(1+VLOOKUP(宠物属性点预览!I$2,宠物成长!$F$4:$K$25,4,FALSE)+0)+(VLOOKUP(宠物属性点预览!$B10,宠物成长!$D$30:$E$129,2,FALSE)-宠物成长!$E$30)*宠物成长!$C$2/宠物成长!$C$3*(1+VLOOKUP(宠物属性点预览!I$2,宠物成长!$F$5:$K$25,3,FALSE)+0)</f>
        <v>748</v>
      </c>
      <c r="J10" s="9">
        <f>(宠物成长!$C$1+宠物成长!$C$2/宠物成长!$C$3*宠物成长!$E$30)*(1+VLOOKUP(宠物属性点预览!J$2,宠物成长!$F$4:$K$25,4,FALSE)+0)+(VLOOKUP(宠物属性点预览!$B10,宠物成长!$D$30:$E$129,2,FALSE)-宠物成长!$E$30)*宠物成长!$C$2/宠物成长!$C$3*(1+VLOOKUP(宠物属性点预览!J$2,宠物成长!$F$5:$K$25,3,FALSE)+0)</f>
        <v>981.12962962962968</v>
      </c>
      <c r="K10" s="9">
        <f>(宠物成长!$C$1+宠物成长!$C$2/宠物成长!$C$3*宠物成长!$E$30)*(1+VLOOKUP(宠物属性点预览!K$2,宠物成长!$F$4:$K$25,4,FALSE)+0)+(VLOOKUP(宠物属性点预览!$B10,宠物成长!$D$30:$E$129,2,FALSE)-宠物成长!$E$30)*宠物成长!$C$2/宠物成长!$C$3*(1+VLOOKUP(宠物属性点预览!K$2,宠物成长!$F$5:$K$25,3,FALSE)+0)</f>
        <v>1217.1296296296296</v>
      </c>
      <c r="L10" s="9">
        <f>(宠物成长!$C$1+宠物成长!$C$2/宠物成长!$C$3*宠物成长!$E$30)*(1+VLOOKUP(宠物属性点预览!L$2,宠物成长!$F$4:$K$25,4,FALSE)+0)+(VLOOKUP(宠物属性点预览!$B10,宠物成长!$D$30:$E$129,2,FALSE)-宠物成长!$E$30)*宠物成长!$C$2/宠物成长!$C$3*(1+VLOOKUP(宠物属性点预览!L$2,宠物成长!$F$5:$K$25,3,FALSE)+0)</f>
        <v>1455.2242242242241</v>
      </c>
      <c r="M10" s="9">
        <f>(宠物成长!$C$1+宠物成长!$C$2/宠物成长!$C$3*宠物成长!$E$30)*(1+VLOOKUP(宠物属性点预览!M$2,宠物成长!$F$4:$K$25,4,FALSE)+0)+(VLOOKUP(宠物属性点预览!$B10,宠物成长!$D$30:$E$129,2,FALSE)-宠物成长!$E$30)*宠物成长!$C$2/宠物成长!$C$3*(1+VLOOKUP(宠物属性点预览!M$2,宠物成长!$F$5:$K$25,3,FALSE)+0)</f>
        <v>1694.9147004147003</v>
      </c>
      <c r="N10" s="9">
        <f>(宠物成长!$C$1+宠物成长!$C$2/宠物成长!$C$3*宠物成长!$E$30)*(1+VLOOKUP(宠物属性点预览!N$2,宠物成长!$F$4:$K$25,4,FALSE)+0)+(VLOOKUP(宠物属性点预览!$B10,宠物成长!$D$30:$E$129,2,FALSE)-宠物成长!$E$30)*宠物成长!$C$2/宠物成长!$C$3*(1+VLOOKUP(宠物属性点预览!N$2,宠物成长!$F$5:$K$25,3,FALSE)+0)</f>
        <v>1935.8615089253385</v>
      </c>
      <c r="O10" s="9">
        <f>(宠物成长!$C$1+宠物成长!$C$2/宠物成长!$C$3*宠物成长!$E$30)*(1+VLOOKUP(宠物属性点预览!O$2,宠物成长!$F$4:$K$25,4,FALSE)+0)+(VLOOKUP(宠物属性点预览!$B10,宠物成长!$D$30:$E$129,2,FALSE)-宠物成长!$E$30)*宠物成长!$C$2/宠物成长!$C$3*(1+VLOOKUP(宠物属性点预览!O$2,宠物成长!$F$5:$K$25,3,FALSE)+0)</f>
        <v>2177.8230473868766</v>
      </c>
      <c r="P10" s="9">
        <f>(宠物成长!$C$1+宠物成长!$C$2/宠物成长!$C$3*宠物成长!$E$30)*(1+VLOOKUP(宠物属性点预览!P$2,宠物成长!$F$4:$K$25,4,FALSE)+0)+(VLOOKUP(宠物属性点预览!$B10,宠物成长!$D$30:$E$129,2,FALSE)-宠物成长!$E$30)*宠物成长!$C$2/宠物成长!$C$3*(1+VLOOKUP(宠物属性点预览!P$2,宠物成长!$F$5:$K$25,3,FALSE)+0)</f>
        <v>2420.6212930009119</v>
      </c>
      <c r="Q10" s="9">
        <f>(宠物成长!$C$1+宠物成长!$C$2/宠物成长!$C$3*宠物成长!$E$30)*(1+VLOOKUP(宠物属性点预览!Q$2,宠物成长!$F$4:$K$25,4,FALSE)+0)+(VLOOKUP(宠物属性点预览!$B10,宠物成长!$D$30:$E$129,2,FALSE)-宠物成长!$E$30)*宠物成长!$C$2/宠物成长!$C$3*(1+VLOOKUP(宠物属性点预览!Q$2,宠物成长!$F$5:$K$25,3,FALSE)+0)</f>
        <v>2664.1212930009119</v>
      </c>
      <c r="R10" s="9">
        <f>(宠物成长!$C$1+宠物成长!$C$2/宠物成长!$C$3*宠物成长!$E$30)*(1+VLOOKUP(宠物属性点预览!R$2,宠物成长!$F$4:$K$25,4,FALSE)+0)+(VLOOKUP(宠物属性点预览!$B10,宠物成长!$D$30:$E$129,2,FALSE)-宠物成长!$E$30)*宠物成长!$C$2/宠物成长!$C$3*(1+VLOOKUP(宠物属性点预览!R$2,宠物成长!$F$5:$K$25,3,FALSE)+0)</f>
        <v>2908.218307926285</v>
      </c>
      <c r="S10" s="9">
        <f>(宠物成长!$C$1+宠物成长!$C$2/宠物成长!$C$3*宠物成长!$E$30)*(1+VLOOKUP(宠物属性点预览!S$2,宠物成长!$F$4:$K$25,4,FALSE)+0)+(VLOOKUP(宠物属性点预览!$B10,宠物成长!$D$30:$E$129,2,FALSE)-宠物成长!$E$30)*宠物成长!$C$2/宠物成长!$C$3*(1+VLOOKUP(宠物属性点预览!S$2,宠物成长!$F$5:$K$25,3,FALSE)+0)</f>
        <v>3152.8294190373958</v>
      </c>
      <c r="T10" s="83">
        <f t="shared" si="2"/>
        <v>133</v>
      </c>
      <c r="V10" s="9">
        <f>(宠物成长!$C$1+宠物成长!$C$2/宠物成长!$C$3*宠物成长!$E$30)*(1+宠物成长!$I$6+VLOOKUP(宠物属性点预览!V$2,宠物成长!$O$5:$R$10,3,FALSE))+(VLOOKUP(宠物属性点预览!$B10,宠物成长!$D$30:$E$129,2,FALSE)-宠物成长!$E$30)*宠物成长!$C$2/宠物成长!$C$3*(1+宠物成长!$H$6+VLOOKUP(宠物属性点预览!V$2,宠物成长!$O$5:$R$10,2,FALSE))</f>
        <v>133</v>
      </c>
      <c r="W10" s="9">
        <f>(宠物成长!$C$1+宠物成长!$C$2/宠物成长!$C$3*宠物成长!$E$30)*(1+宠物成长!$I$6+VLOOKUP(宠物属性点预览!W$2,宠物成长!$O$5:$R$10,3,FALSE))+(VLOOKUP(宠物属性点预览!$B10,宠物成长!$D$30:$E$129,2,FALSE)-宠物成长!$E$30)*宠物成长!$C$2/宠物成长!$C$3*(1+宠物成长!$H$6+VLOOKUP(宠物属性点预览!W$2,宠物成长!$O$5:$R$10,2,FALSE))</f>
        <v>450</v>
      </c>
      <c r="X10" s="9">
        <f>(宠物成长!$C$1+宠物成长!$C$2/宠物成长!$C$3*宠物成长!$E$30)*(1+宠物成长!$I$6+VLOOKUP(宠物属性点预览!X$2,宠物成长!$O$5:$R$10,3,FALSE))+(VLOOKUP(宠物属性点预览!$B10,宠物成长!$D$30:$E$129,2,FALSE)-宠物成长!$E$30)*宠物成长!$C$2/宠物成长!$C$3*(1+宠物成长!$H$6+VLOOKUP(宠物属性点预览!X$2,宠物成长!$O$5:$R$10,2,FALSE))</f>
        <v>829</v>
      </c>
      <c r="Y10" s="9">
        <f>(宠物成长!$C$1+宠物成长!$C$2/宠物成长!$C$3*宠物成长!$E$30)*(1+宠物成长!$I$6+VLOOKUP(宠物属性点预览!Y$2,宠物成长!$O$5:$R$10,3,FALSE))+(VLOOKUP(宠物属性点预览!$B10,宠物成长!$D$30:$E$129,2,FALSE)-宠物成长!$E$30)*宠物成长!$C$2/宠物成长!$C$3*(1+宠物成长!$H$6+VLOOKUP(宠物属性点预览!Y$2,宠物成长!$O$5:$R$10,2,FALSE))</f>
        <v>1270</v>
      </c>
      <c r="Z10" s="9">
        <f>(宠物成长!$C$1+宠物成长!$C$2/宠物成长!$C$3*宠物成长!$E$30)*(1+宠物成长!$I$6+VLOOKUP(宠物属性点预览!Z$2,宠物成长!$O$5:$R$10,3,FALSE))+(VLOOKUP(宠物属性点预览!$B10,宠物成长!$D$30:$E$129,2,FALSE)-宠物成长!$E$30)*宠物成长!$C$2/宠物成长!$C$3*(1+宠物成长!$H$6+VLOOKUP(宠物属性点预览!Z$2,宠物成长!$O$5:$R$10,2,FALSE))</f>
        <v>1711</v>
      </c>
      <c r="AA10" s="1">
        <f t="shared" si="1"/>
        <v>0</v>
      </c>
    </row>
    <row r="11" spans="2:27" x14ac:dyDescent="0.15">
      <c r="B11" s="1">
        <v>9</v>
      </c>
      <c r="C11" s="9">
        <f>(宠物成长!$C$1+宠物成长!$C$2/宠物成长!$C$3*宠物成长!$E$30)*(1+VLOOKUP(宠物属性点预览!C$2,宠物成长!$F$4:$K$25,4,FALSE)+0)+(VLOOKUP(宠物属性点预览!$B11,宠物成长!$D$30:$E$129,2,FALSE)-宠物成长!$E$30)*宠物成长!$C$2/宠物成长!$C$3*(1+VLOOKUP(宠物属性点预览!C$2,宠物成长!$F$5:$K$25,3,FALSE)+0)</f>
        <v>90</v>
      </c>
      <c r="D11" s="9">
        <f>(宠物成长!$C$1+宠物成长!$C$2/宠物成长!$C$3*宠物成长!$E$30)*(1+VLOOKUP(宠物属性点预览!D$2,宠物成长!$F$4:$K$25,4,FALSE)+0)+(VLOOKUP(宠物属性点预览!$B11,宠物成长!$D$30:$E$129,2,FALSE)-宠物成长!$E$30)*宠物成长!$C$2/宠物成长!$C$3*(1+VLOOKUP(宠物属性点预览!D$2,宠物成长!$F$5:$K$25,3,FALSE)+0)</f>
        <v>136.5</v>
      </c>
      <c r="E11" s="9">
        <f>(宠物成长!$C$1+宠物成长!$C$2/宠物成长!$C$3*宠物成长!$E$30)*(1+VLOOKUP(宠物属性点预览!E$2,宠物成长!$F$4:$K$25,4,FALSE)+0)+(VLOOKUP(宠物属性点预览!$B11,宠物成长!$D$30:$E$129,2,FALSE)-宠物成长!$E$30)*宠物成长!$C$2/宠物成长!$C$3*(1+VLOOKUP(宠物属性点预览!E$2,宠物成长!$F$5:$K$25,3,FALSE)+0)</f>
        <v>201.6</v>
      </c>
      <c r="F11" s="9">
        <f>(宠物成长!$C$1+宠物成长!$C$2/宠物成长!$C$3*宠物成长!$E$30)*(1+VLOOKUP(宠物属性点预览!F$2,宠物成长!$F$4:$K$25,4,FALSE)+0)+(VLOOKUP(宠物属性点预览!$B11,宠物成长!$D$30:$E$129,2,FALSE)-宠物成长!$E$30)*宠物成长!$C$2/宠物成长!$C$3*(1+VLOOKUP(宠物属性点预览!F$2,宠物成长!$F$5:$K$25,3,FALSE)+0)</f>
        <v>288.40000000000003</v>
      </c>
      <c r="G11" s="9">
        <f>(宠物成长!$C$1+宠物成长!$C$2/宠物成长!$C$3*宠物成长!$E$30)*(1+VLOOKUP(宠物属性点预览!G$2,宠物成长!$F$4:$K$25,4,FALSE)+0)+(VLOOKUP(宠物属性点预览!$B11,宠物成长!$D$30:$E$129,2,FALSE)-宠物成长!$E$30)*宠物成长!$C$2/宠物成长!$C$3*(1+VLOOKUP(宠物属性点预览!G$2,宠物成长!$F$5:$K$25,3,FALSE)+0)</f>
        <v>391.59999999999997</v>
      </c>
      <c r="H11" s="9">
        <f>(宠物成长!$C$1+宠物成长!$C$2/宠物成长!$C$3*宠物成长!$E$30)*(1+VLOOKUP(宠物属性点预览!H$2,宠物成长!$F$4:$K$25,4,FALSE)+0)+(VLOOKUP(宠物属性点预览!$B11,宠物成长!$D$30:$E$129,2,FALSE)-宠物成长!$E$30)*宠物成长!$C$2/宠物成长!$C$3*(1+VLOOKUP(宠物属性点预览!H$2,宠物成长!$F$5:$K$25,3,FALSE)+0)</f>
        <v>544.4</v>
      </c>
      <c r="I11" s="9">
        <f>(宠物成长!$C$1+宠物成长!$C$2/宠物成长!$C$3*宠物成长!$E$30)*(1+VLOOKUP(宠物属性点预览!I$2,宠物成长!$F$4:$K$25,4,FALSE)+0)+(VLOOKUP(宠物属性点预览!$B11,宠物成长!$D$30:$E$129,2,FALSE)-宠物成长!$E$30)*宠物成长!$C$2/宠物成长!$C$3*(1+VLOOKUP(宠物属性点预览!I$2,宠物成长!$F$5:$K$25,3,FALSE)+0)</f>
        <v>753</v>
      </c>
      <c r="J11" s="9">
        <f>(宠物成长!$C$1+宠物成长!$C$2/宠物成长!$C$3*宠物成长!$E$30)*(1+VLOOKUP(宠物属性点预览!J$2,宠物成长!$F$4:$K$25,4,FALSE)+0)+(VLOOKUP(宠物属性点预览!$B11,宠物成长!$D$30:$E$129,2,FALSE)-宠物成长!$E$30)*宠物成长!$C$2/宠物成长!$C$3*(1+VLOOKUP(宠物属性点预览!J$2,宠物成长!$F$5:$K$25,3,FALSE)+0)</f>
        <v>986.62962962962968</v>
      </c>
      <c r="K11" s="9">
        <f>(宠物成长!$C$1+宠物成长!$C$2/宠物成长!$C$3*宠物成长!$E$30)*(1+VLOOKUP(宠物属性点预览!K$2,宠物成长!$F$4:$K$25,4,FALSE)+0)+(VLOOKUP(宠物属性点预览!$B11,宠物成长!$D$30:$E$129,2,FALSE)-宠物成长!$E$30)*宠物成长!$C$2/宠物成长!$C$3*(1+VLOOKUP(宠物属性点预览!K$2,宠物成长!$F$5:$K$25,3,FALSE)+0)</f>
        <v>1223.1296296296296</v>
      </c>
      <c r="L11" s="9">
        <f>(宠物成长!$C$1+宠物成长!$C$2/宠物成长!$C$3*宠物成长!$E$30)*(1+VLOOKUP(宠物属性点预览!L$2,宠物成长!$F$4:$K$25,4,FALSE)+0)+(VLOOKUP(宠物属性点预览!$B11,宠物成长!$D$30:$E$129,2,FALSE)-宠物成长!$E$30)*宠物成长!$C$2/宠物成长!$C$3*(1+VLOOKUP(宠物属性点预览!L$2,宠物成长!$F$5:$K$25,3,FALSE)+0)</f>
        <v>1461.7242242242241</v>
      </c>
      <c r="M11" s="9">
        <f>(宠物成长!$C$1+宠物成长!$C$2/宠物成长!$C$3*宠物成长!$E$30)*(1+VLOOKUP(宠物属性点预览!M$2,宠物成长!$F$4:$K$25,4,FALSE)+0)+(VLOOKUP(宠物属性点预览!$B11,宠物成长!$D$30:$E$129,2,FALSE)-宠物成长!$E$30)*宠物成长!$C$2/宠物成长!$C$3*(1+VLOOKUP(宠物属性点预览!M$2,宠物成长!$F$5:$K$25,3,FALSE)+0)</f>
        <v>1701.9147004147003</v>
      </c>
      <c r="N11" s="9">
        <f>(宠物成长!$C$1+宠物成长!$C$2/宠物成长!$C$3*宠物成长!$E$30)*(1+VLOOKUP(宠物属性点预览!N$2,宠物成长!$F$4:$K$25,4,FALSE)+0)+(VLOOKUP(宠物属性点预览!$B11,宠物成长!$D$30:$E$129,2,FALSE)-宠物成长!$E$30)*宠物成长!$C$2/宠物成长!$C$3*(1+VLOOKUP(宠物属性点预览!N$2,宠物成长!$F$5:$K$25,3,FALSE)+0)</f>
        <v>1943.3615089253385</v>
      </c>
      <c r="O11" s="9">
        <f>(宠物成长!$C$1+宠物成长!$C$2/宠物成长!$C$3*宠物成长!$E$30)*(1+VLOOKUP(宠物属性点预览!O$2,宠物成长!$F$4:$K$25,4,FALSE)+0)+(VLOOKUP(宠物属性点预览!$B11,宠物成长!$D$30:$E$129,2,FALSE)-宠物成长!$E$30)*宠物成长!$C$2/宠物成长!$C$3*(1+VLOOKUP(宠物属性点预览!O$2,宠物成长!$F$5:$K$25,3,FALSE)+0)</f>
        <v>2185.8230473868766</v>
      </c>
      <c r="P11" s="9">
        <f>(宠物成长!$C$1+宠物成长!$C$2/宠物成长!$C$3*宠物成长!$E$30)*(1+VLOOKUP(宠物属性点预览!P$2,宠物成长!$F$4:$K$25,4,FALSE)+0)+(VLOOKUP(宠物属性点预览!$B11,宠物成长!$D$30:$E$129,2,FALSE)-宠物成长!$E$30)*宠物成长!$C$2/宠物成长!$C$3*(1+VLOOKUP(宠物属性点预览!P$2,宠物成长!$F$5:$K$25,3,FALSE)+0)</f>
        <v>2429.1212930009119</v>
      </c>
      <c r="Q11" s="9">
        <f>(宠物成长!$C$1+宠物成长!$C$2/宠物成长!$C$3*宠物成长!$E$30)*(1+VLOOKUP(宠物属性点预览!Q$2,宠物成长!$F$4:$K$25,4,FALSE)+0)+(VLOOKUP(宠物属性点预览!$B11,宠物成长!$D$30:$E$129,2,FALSE)-宠物成长!$E$30)*宠物成长!$C$2/宠物成长!$C$3*(1+VLOOKUP(宠物属性点预览!Q$2,宠物成长!$F$5:$K$25,3,FALSE)+0)</f>
        <v>2673.1212930009119</v>
      </c>
      <c r="R11" s="9">
        <f>(宠物成长!$C$1+宠物成长!$C$2/宠物成长!$C$3*宠物成长!$E$30)*(1+VLOOKUP(宠物属性点预览!R$2,宠物成长!$F$4:$K$25,4,FALSE)+0)+(VLOOKUP(宠物属性点预览!$B11,宠物成长!$D$30:$E$129,2,FALSE)-宠物成长!$E$30)*宠物成长!$C$2/宠物成长!$C$3*(1+VLOOKUP(宠物属性点预览!R$2,宠物成长!$F$5:$K$25,3,FALSE)+0)</f>
        <v>2917.718307926285</v>
      </c>
      <c r="S11" s="9">
        <f>(宠物成长!$C$1+宠物成长!$C$2/宠物成长!$C$3*宠物成长!$E$30)*(1+VLOOKUP(宠物属性点预览!S$2,宠物成长!$F$4:$K$25,4,FALSE)+0)+(VLOOKUP(宠物属性点预览!$B11,宠物成长!$D$30:$E$129,2,FALSE)-宠物成长!$E$30)*宠物成长!$C$2/宠物成长!$C$3*(1+VLOOKUP(宠物属性点预览!S$2,宠物成长!$F$5:$K$25,3,FALSE)+0)</f>
        <v>3162.8294190373958</v>
      </c>
      <c r="T11" s="83">
        <f t="shared" si="2"/>
        <v>136.5</v>
      </c>
      <c r="V11" s="9">
        <f>(宠物成长!$C$1+宠物成长!$C$2/宠物成长!$C$3*宠物成长!$E$30)*(1+宠物成长!$I$6+VLOOKUP(宠物属性点预览!V$2,宠物成长!$O$5:$R$10,3,FALSE))+(VLOOKUP(宠物属性点预览!$B11,宠物成长!$D$30:$E$129,2,FALSE)-宠物成长!$E$30)*宠物成长!$C$2/宠物成长!$C$3*(1+宠物成长!$H$6+VLOOKUP(宠物属性点预览!V$2,宠物成长!$O$5:$R$10,2,FALSE))</f>
        <v>136.5</v>
      </c>
      <c r="W11" s="9">
        <f>(宠物成长!$C$1+宠物成长!$C$2/宠物成长!$C$3*宠物成长!$E$30)*(1+宠物成长!$I$6+VLOOKUP(宠物属性点预览!W$2,宠物成长!$O$5:$R$10,3,FALSE))+(VLOOKUP(宠物属性点预览!$B11,宠物成长!$D$30:$E$129,2,FALSE)-宠物成长!$E$30)*宠物成长!$C$2/宠物成长!$C$3*(1+宠物成长!$H$6+VLOOKUP(宠物属性点预览!W$2,宠物成长!$O$5:$R$10,2,FALSE))</f>
        <v>454.5</v>
      </c>
      <c r="X11" s="9">
        <f>(宠物成长!$C$1+宠物成长!$C$2/宠物成长!$C$3*宠物成长!$E$30)*(1+宠物成长!$I$6+VLOOKUP(宠物属性点预览!X$2,宠物成长!$O$5:$R$10,3,FALSE))+(VLOOKUP(宠物属性点预览!$B11,宠物成长!$D$30:$E$129,2,FALSE)-宠物成长!$E$30)*宠物成长!$C$2/宠物成长!$C$3*(1+宠物成长!$H$6+VLOOKUP(宠物属性点预览!X$2,宠物成长!$O$5:$R$10,2,FALSE))</f>
        <v>834.5</v>
      </c>
      <c r="Y11" s="9">
        <f>(宠物成长!$C$1+宠物成长!$C$2/宠物成长!$C$3*宠物成长!$E$30)*(1+宠物成长!$I$6+VLOOKUP(宠物属性点预览!Y$2,宠物成长!$O$5:$R$10,3,FALSE))+(VLOOKUP(宠物属性点预览!$B11,宠物成长!$D$30:$E$129,2,FALSE)-宠物成长!$E$30)*宠物成长!$C$2/宠物成长!$C$3*(1+宠物成长!$H$6+VLOOKUP(宠物属性点预览!Y$2,宠物成长!$O$5:$R$10,2,FALSE))</f>
        <v>1276.5</v>
      </c>
      <c r="Z11" s="9">
        <f>(宠物成长!$C$1+宠物成长!$C$2/宠物成长!$C$3*宠物成长!$E$30)*(1+宠物成长!$I$6+VLOOKUP(宠物属性点预览!Z$2,宠物成长!$O$5:$R$10,3,FALSE))+(VLOOKUP(宠物属性点预览!$B11,宠物成长!$D$30:$E$129,2,FALSE)-宠物成长!$E$30)*宠物成长!$C$2/宠物成长!$C$3*(1+宠物成长!$H$6+VLOOKUP(宠物属性点预览!Z$2,宠物成长!$O$5:$R$10,2,FALSE))</f>
        <v>1718.5</v>
      </c>
      <c r="AA11" s="1">
        <f t="shared" si="1"/>
        <v>0</v>
      </c>
    </row>
    <row r="12" spans="2:27" x14ac:dyDescent="0.15">
      <c r="B12" s="1">
        <v>10</v>
      </c>
      <c r="C12" s="9">
        <f>(宠物成长!$C$1+宠物成长!$C$2/宠物成长!$C$3*宠物成长!$E$30)*(1+VLOOKUP(宠物属性点预览!C$2,宠物成长!$F$4:$K$25,4,FALSE)+0)+(VLOOKUP(宠物属性点预览!$B12,宠物成长!$D$30:$E$129,2,FALSE)-宠物成长!$E$30)*宠物成长!$C$2/宠物成长!$C$3*(1+VLOOKUP(宠物属性点预览!C$2,宠物成长!$F$5:$K$25,3,FALSE)+0)</f>
        <v>93.5</v>
      </c>
      <c r="D12" s="9">
        <f>(宠物成长!$C$1+宠物成长!$C$2/宠物成长!$C$3*宠物成长!$E$30)*(1+VLOOKUP(宠物属性点预览!D$2,宠物成长!$F$4:$K$25,4,FALSE)+0)+(VLOOKUP(宠物属性点预览!$B12,宠物成长!$D$30:$E$129,2,FALSE)-宠物成长!$E$30)*宠物成长!$C$2/宠物成长!$C$3*(1+VLOOKUP(宠物属性点预览!D$2,宠物成长!$F$5:$K$25,3,FALSE)+0)</f>
        <v>140</v>
      </c>
      <c r="E12" s="83">
        <f>(宠物成长!$C$1+宠物成长!$C$2/宠物成长!$C$3*宠物成长!$E$30)*(1+VLOOKUP(宠物属性点预览!E$2,宠物成长!$F$4:$K$25,4,FALSE)+0)+(VLOOKUP(宠物属性点预览!$B12,宠物成长!$D$30:$E$129,2,FALSE)-宠物成长!$E$30)*宠物成长!$C$2/宠物成长!$C$3*(1+VLOOKUP(宠物属性点预览!E$2,宠物成长!$F$5:$K$25,3,FALSE)+0)</f>
        <v>205.1</v>
      </c>
      <c r="F12" s="9">
        <f>(宠物成长!$C$1+宠物成长!$C$2/宠物成长!$C$3*宠物成长!$E$30)*(1+VLOOKUP(宠物属性点预览!F$2,宠物成长!$F$4:$K$25,4,FALSE)+0)+(VLOOKUP(宠物属性点预览!$B12,宠物成长!$D$30:$E$129,2,FALSE)-宠物成长!$E$30)*宠物成长!$C$2/宠物成长!$C$3*(1+VLOOKUP(宠物属性点预览!F$2,宠物成长!$F$5:$K$25,3,FALSE)+0)</f>
        <v>291.90000000000003</v>
      </c>
      <c r="G12" s="9">
        <f>(宠物成长!$C$1+宠物成长!$C$2/宠物成长!$C$3*宠物成长!$E$30)*(1+VLOOKUP(宠物属性点预览!G$2,宠物成长!$F$4:$K$25,4,FALSE)+0)+(VLOOKUP(宠物属性点预览!$B12,宠物成长!$D$30:$E$129,2,FALSE)-宠物成长!$E$30)*宠物成长!$C$2/宠物成长!$C$3*(1+VLOOKUP(宠物属性点预览!G$2,宠物成长!$F$5:$K$25,3,FALSE)+0)</f>
        <v>395.59999999999997</v>
      </c>
      <c r="H12" s="9">
        <f>(宠物成长!$C$1+宠物成长!$C$2/宠物成长!$C$3*宠物成长!$E$30)*(1+VLOOKUP(宠物属性点预览!H$2,宠物成长!$F$4:$K$25,4,FALSE)+0)+(VLOOKUP(宠物属性点预览!$B12,宠物成长!$D$30:$E$129,2,FALSE)-宠物成长!$E$30)*宠物成长!$C$2/宠物成长!$C$3*(1+VLOOKUP(宠物属性点预览!H$2,宠物成长!$F$5:$K$25,3,FALSE)+0)</f>
        <v>548.9</v>
      </c>
      <c r="I12" s="9">
        <f>(宠物成长!$C$1+宠物成长!$C$2/宠物成长!$C$3*宠物成长!$E$30)*(1+VLOOKUP(宠物属性点预览!I$2,宠物成长!$F$4:$K$25,4,FALSE)+0)+(VLOOKUP(宠物属性点预览!$B12,宠物成长!$D$30:$E$129,2,FALSE)-宠物成长!$E$30)*宠物成长!$C$2/宠物成长!$C$3*(1+VLOOKUP(宠物属性点预览!I$2,宠物成长!$F$5:$K$25,3,FALSE)+0)</f>
        <v>758</v>
      </c>
      <c r="J12" s="9">
        <f>(宠物成长!$C$1+宠物成长!$C$2/宠物成长!$C$3*宠物成长!$E$30)*(1+VLOOKUP(宠物属性点预览!J$2,宠物成长!$F$4:$K$25,4,FALSE)+0)+(VLOOKUP(宠物属性点预览!$B12,宠物成长!$D$30:$E$129,2,FALSE)-宠物成长!$E$30)*宠物成长!$C$2/宠物成长!$C$3*(1+VLOOKUP(宠物属性点预览!J$2,宠物成长!$F$5:$K$25,3,FALSE)+0)</f>
        <v>992.12962962962968</v>
      </c>
      <c r="K12" s="9">
        <f>(宠物成长!$C$1+宠物成长!$C$2/宠物成长!$C$3*宠物成长!$E$30)*(1+VLOOKUP(宠物属性点预览!K$2,宠物成长!$F$4:$K$25,4,FALSE)+0)+(VLOOKUP(宠物属性点预览!$B12,宠物成长!$D$30:$E$129,2,FALSE)-宠物成长!$E$30)*宠物成长!$C$2/宠物成长!$C$3*(1+VLOOKUP(宠物属性点预览!K$2,宠物成长!$F$5:$K$25,3,FALSE)+0)</f>
        <v>1229.1296296296296</v>
      </c>
      <c r="L12" s="9">
        <f>(宠物成长!$C$1+宠物成长!$C$2/宠物成长!$C$3*宠物成长!$E$30)*(1+VLOOKUP(宠物属性点预览!L$2,宠物成长!$F$4:$K$25,4,FALSE)+0)+(VLOOKUP(宠物属性点预览!$B12,宠物成长!$D$30:$E$129,2,FALSE)-宠物成长!$E$30)*宠物成长!$C$2/宠物成长!$C$3*(1+VLOOKUP(宠物属性点预览!L$2,宠物成长!$F$5:$K$25,3,FALSE)+0)</f>
        <v>1468.2242242242241</v>
      </c>
      <c r="M12" s="9">
        <f>(宠物成长!$C$1+宠物成长!$C$2/宠物成长!$C$3*宠物成长!$E$30)*(1+VLOOKUP(宠物属性点预览!M$2,宠物成长!$F$4:$K$25,4,FALSE)+0)+(VLOOKUP(宠物属性点预览!$B12,宠物成长!$D$30:$E$129,2,FALSE)-宠物成长!$E$30)*宠物成长!$C$2/宠物成长!$C$3*(1+VLOOKUP(宠物属性点预览!M$2,宠物成长!$F$5:$K$25,3,FALSE)+0)</f>
        <v>1708.9147004147003</v>
      </c>
      <c r="N12" s="9">
        <f>(宠物成长!$C$1+宠物成长!$C$2/宠物成长!$C$3*宠物成长!$E$30)*(1+VLOOKUP(宠物属性点预览!N$2,宠物成长!$F$4:$K$25,4,FALSE)+0)+(VLOOKUP(宠物属性点预览!$B12,宠物成长!$D$30:$E$129,2,FALSE)-宠物成长!$E$30)*宠物成长!$C$2/宠物成长!$C$3*(1+VLOOKUP(宠物属性点预览!N$2,宠物成长!$F$5:$K$25,3,FALSE)+0)</f>
        <v>1950.8615089253385</v>
      </c>
      <c r="O12" s="9">
        <f>(宠物成长!$C$1+宠物成长!$C$2/宠物成长!$C$3*宠物成长!$E$30)*(1+VLOOKUP(宠物属性点预览!O$2,宠物成长!$F$4:$K$25,4,FALSE)+0)+(VLOOKUP(宠物属性点预览!$B12,宠物成长!$D$30:$E$129,2,FALSE)-宠物成长!$E$30)*宠物成长!$C$2/宠物成长!$C$3*(1+VLOOKUP(宠物属性点预览!O$2,宠物成长!$F$5:$K$25,3,FALSE)+0)</f>
        <v>2193.8230473868766</v>
      </c>
      <c r="P12" s="9">
        <f>(宠物成长!$C$1+宠物成长!$C$2/宠物成长!$C$3*宠物成长!$E$30)*(1+VLOOKUP(宠物属性点预览!P$2,宠物成长!$F$4:$K$25,4,FALSE)+0)+(VLOOKUP(宠物属性点预览!$B12,宠物成长!$D$30:$E$129,2,FALSE)-宠物成长!$E$30)*宠物成长!$C$2/宠物成长!$C$3*(1+VLOOKUP(宠物属性点预览!P$2,宠物成长!$F$5:$K$25,3,FALSE)+0)</f>
        <v>2437.6212930009119</v>
      </c>
      <c r="Q12" s="9">
        <f>(宠物成长!$C$1+宠物成长!$C$2/宠物成长!$C$3*宠物成长!$E$30)*(1+VLOOKUP(宠物属性点预览!Q$2,宠物成长!$F$4:$K$25,4,FALSE)+0)+(VLOOKUP(宠物属性点预览!$B12,宠物成长!$D$30:$E$129,2,FALSE)-宠物成长!$E$30)*宠物成长!$C$2/宠物成长!$C$3*(1+VLOOKUP(宠物属性点预览!Q$2,宠物成长!$F$5:$K$25,3,FALSE)+0)</f>
        <v>2682.1212930009119</v>
      </c>
      <c r="R12" s="9">
        <f>(宠物成长!$C$1+宠物成长!$C$2/宠物成长!$C$3*宠物成长!$E$30)*(1+VLOOKUP(宠物属性点预览!R$2,宠物成长!$F$4:$K$25,4,FALSE)+0)+(VLOOKUP(宠物属性点预览!$B12,宠物成长!$D$30:$E$129,2,FALSE)-宠物成长!$E$30)*宠物成长!$C$2/宠物成长!$C$3*(1+VLOOKUP(宠物属性点预览!R$2,宠物成长!$F$5:$K$25,3,FALSE)+0)</f>
        <v>2927.218307926285</v>
      </c>
      <c r="S12" s="9">
        <f>(宠物成长!$C$1+宠物成长!$C$2/宠物成长!$C$3*宠物成长!$E$30)*(1+VLOOKUP(宠物属性点预览!S$2,宠物成长!$F$4:$K$25,4,FALSE)+0)+(VLOOKUP(宠物属性点预览!$B12,宠物成长!$D$30:$E$129,2,FALSE)-宠物成长!$E$30)*宠物成长!$C$2/宠物成长!$C$3*(1+VLOOKUP(宠物属性点预览!S$2,宠物成长!$F$5:$K$25,3,FALSE)+0)</f>
        <v>3172.8294190373958</v>
      </c>
      <c r="T12" s="83">
        <f t="shared" si="2"/>
        <v>140</v>
      </c>
      <c r="U12" s="9">
        <f>E12</f>
        <v>205.1</v>
      </c>
      <c r="V12" s="9">
        <f>(宠物成长!$C$1+宠物成长!$C$2/宠物成长!$C$3*宠物成长!$E$30)*(1+宠物成长!$I$7+VLOOKUP(宠物属性点预览!V$2,宠物成长!$O$5:$R$10,3,FALSE))+(VLOOKUP(宠物属性点预览!$B12,宠物成长!$D$30:$E$129,2,FALSE)-宠物成长!$E$30)*宠物成长!$C$2/宠物成长!$C$3*(1+宠物成长!$H$7+VLOOKUP(宠物属性点预览!V$2,宠物成长!$O$5:$R$10,2,FALSE))</f>
        <v>205.1</v>
      </c>
      <c r="W12" s="9">
        <f>(宠物成长!$C$1+宠物成长!$C$2/宠物成长!$C$3*宠物成长!$E$30)*(1+宠物成长!$I$7+VLOOKUP(宠物属性点预览!W$2,宠物成长!$O$5:$R$10,3,FALSE))+(VLOOKUP(宠物属性点预览!$B12,宠物成长!$D$30:$E$129,2,FALSE)-宠物成长!$E$30)*宠物成长!$C$2/宠物成长!$C$3*(1+宠物成长!$H$7+VLOOKUP(宠物属性点预览!W$2,宠物成长!$O$5:$R$10,2,FALSE))</f>
        <v>524.09999999999991</v>
      </c>
      <c r="X12" s="9">
        <f>(宠物成长!$C$1+宠物成长!$C$2/宠物成长!$C$3*宠物成长!$E$30)*(1+宠物成长!$I$7+VLOOKUP(宠物属性点预览!X$2,宠物成长!$O$5:$R$10,3,FALSE))+(VLOOKUP(宠物属性点预览!$B12,宠物成长!$D$30:$E$129,2,FALSE)-宠物成长!$E$30)*宠物成长!$C$2/宠物成长!$C$3*(1+宠物成长!$H$7+VLOOKUP(宠物属性点预览!X$2,宠物成长!$O$5:$R$10,2,FALSE))</f>
        <v>905.1</v>
      </c>
      <c r="Y12" s="9">
        <f>(宠物成长!$C$1+宠物成长!$C$2/宠物成长!$C$3*宠物成长!$E$30)*(1+宠物成长!$I$7+VLOOKUP(宠物属性点预览!Y$2,宠物成长!$O$5:$R$10,3,FALSE))+(VLOOKUP(宠物属性点预览!$B12,宠物成长!$D$30:$E$129,2,FALSE)-宠物成长!$E$30)*宠物成长!$C$2/宠物成长!$C$3*(1+宠物成长!$H$7+VLOOKUP(宠物属性点预览!Y$2,宠物成长!$O$5:$R$10,2,FALSE))</f>
        <v>1348.1000000000001</v>
      </c>
      <c r="Z12" s="9">
        <f>(宠物成长!$C$1+宠物成长!$C$2/宠物成长!$C$3*宠物成长!$E$30)*(1+宠物成长!$I$7+VLOOKUP(宠物属性点预览!Z$2,宠物成长!$O$5:$R$10,3,FALSE))+(VLOOKUP(宠物属性点预览!$B12,宠物成长!$D$30:$E$129,2,FALSE)-宠物成长!$E$30)*宠物成长!$C$2/宠物成长!$C$3*(1+宠物成长!$H$7+VLOOKUP(宠物属性点预览!Z$2,宠物成长!$O$5:$R$10,2,FALSE))</f>
        <v>1791.1000000000001</v>
      </c>
      <c r="AA12" s="1">
        <f t="shared" si="1"/>
        <v>1.4649999999999999</v>
      </c>
    </row>
    <row r="13" spans="2:27" x14ac:dyDescent="0.15">
      <c r="B13" s="1">
        <v>11</v>
      </c>
      <c r="C13" s="9">
        <f>(宠物成长!$C$1+宠物成长!$C$2/宠物成长!$C$3*宠物成长!$E$30)*(1+VLOOKUP(宠物属性点预览!C$2,宠物成长!$F$4:$K$25,4,FALSE)+0)+(VLOOKUP(宠物属性点预览!$B13,宠物成长!$D$30:$E$129,2,FALSE)-宠物成长!$E$30)*宠物成长!$C$2/宠物成长!$C$3*(1+VLOOKUP(宠物属性点预览!C$2,宠物成长!$F$5:$K$25,3,FALSE)+0)</f>
        <v>97</v>
      </c>
      <c r="D13" s="9">
        <f>(宠物成长!$C$1+宠物成长!$C$2/宠物成长!$C$3*宠物成长!$E$30)*(1+VLOOKUP(宠物属性点预览!D$2,宠物成长!$F$4:$K$25,4,FALSE)+0)+(VLOOKUP(宠物属性点预览!$B13,宠物成长!$D$30:$E$129,2,FALSE)-宠物成长!$E$30)*宠物成长!$C$2/宠物成长!$C$3*(1+VLOOKUP(宠物属性点预览!D$2,宠物成长!$F$5:$K$25,3,FALSE)+0)</f>
        <v>143.5</v>
      </c>
      <c r="E13" s="9">
        <f>(宠物成长!$C$1+宠物成长!$C$2/宠物成长!$C$3*宠物成长!$E$30)*(1+VLOOKUP(宠物属性点预览!E$2,宠物成长!$F$4:$K$25,4,FALSE)+0)+(VLOOKUP(宠物属性点预览!$B13,宠物成长!$D$30:$E$129,2,FALSE)-宠物成长!$E$30)*宠物成长!$C$2/宠物成长!$C$3*(1+VLOOKUP(宠物属性点预览!E$2,宠物成长!$F$5:$K$25,3,FALSE)+0)</f>
        <v>208.6</v>
      </c>
      <c r="F13" s="9">
        <f>(宠物成长!$C$1+宠物成长!$C$2/宠物成长!$C$3*宠物成长!$E$30)*(1+VLOOKUP(宠物属性点预览!F$2,宠物成长!$F$4:$K$25,4,FALSE)+0)+(VLOOKUP(宠物属性点预览!$B13,宠物成长!$D$30:$E$129,2,FALSE)-宠物成长!$E$30)*宠物成长!$C$2/宠物成长!$C$3*(1+VLOOKUP(宠物属性点预览!F$2,宠物成长!$F$5:$K$25,3,FALSE)+0)</f>
        <v>295.40000000000003</v>
      </c>
      <c r="G13" s="9">
        <f>(宠物成长!$C$1+宠物成长!$C$2/宠物成长!$C$3*宠物成长!$E$30)*(1+VLOOKUP(宠物属性点预览!G$2,宠物成长!$F$4:$K$25,4,FALSE)+0)+(VLOOKUP(宠物属性点预览!$B13,宠物成长!$D$30:$E$129,2,FALSE)-宠物成长!$E$30)*宠物成长!$C$2/宠物成长!$C$3*(1+VLOOKUP(宠物属性点预览!G$2,宠物成长!$F$5:$K$25,3,FALSE)+0)</f>
        <v>399.59999999999997</v>
      </c>
      <c r="H13" s="9">
        <f>(宠物成长!$C$1+宠物成长!$C$2/宠物成长!$C$3*宠物成长!$E$30)*(1+VLOOKUP(宠物属性点预览!H$2,宠物成长!$F$4:$K$25,4,FALSE)+0)+(VLOOKUP(宠物属性点预览!$B13,宠物成长!$D$30:$E$129,2,FALSE)-宠物成长!$E$30)*宠物成长!$C$2/宠物成长!$C$3*(1+VLOOKUP(宠物属性点预览!H$2,宠物成长!$F$5:$K$25,3,FALSE)+0)</f>
        <v>553.4</v>
      </c>
      <c r="I13" s="9">
        <f>(宠物成长!$C$1+宠物成长!$C$2/宠物成长!$C$3*宠物成长!$E$30)*(1+VLOOKUP(宠物属性点预览!I$2,宠物成长!$F$4:$K$25,4,FALSE)+0)+(VLOOKUP(宠物属性点预览!$B13,宠物成长!$D$30:$E$129,2,FALSE)-宠物成长!$E$30)*宠物成长!$C$2/宠物成长!$C$3*(1+VLOOKUP(宠物属性点预览!I$2,宠物成长!$F$5:$K$25,3,FALSE)+0)</f>
        <v>763</v>
      </c>
      <c r="J13" s="9">
        <f>(宠物成长!$C$1+宠物成长!$C$2/宠物成长!$C$3*宠物成长!$E$30)*(1+VLOOKUP(宠物属性点预览!J$2,宠物成长!$F$4:$K$25,4,FALSE)+0)+(VLOOKUP(宠物属性点预览!$B13,宠物成长!$D$30:$E$129,2,FALSE)-宠物成长!$E$30)*宠物成长!$C$2/宠物成长!$C$3*(1+VLOOKUP(宠物属性点预览!J$2,宠物成长!$F$5:$K$25,3,FALSE)+0)</f>
        <v>997.62962962962968</v>
      </c>
      <c r="K13" s="9">
        <f>(宠物成长!$C$1+宠物成长!$C$2/宠物成长!$C$3*宠物成长!$E$30)*(1+VLOOKUP(宠物属性点预览!K$2,宠物成长!$F$4:$K$25,4,FALSE)+0)+(VLOOKUP(宠物属性点预览!$B13,宠物成长!$D$30:$E$129,2,FALSE)-宠物成长!$E$30)*宠物成长!$C$2/宠物成长!$C$3*(1+VLOOKUP(宠物属性点预览!K$2,宠物成长!$F$5:$K$25,3,FALSE)+0)</f>
        <v>1235.1296296296296</v>
      </c>
      <c r="L13" s="9">
        <f>(宠物成长!$C$1+宠物成长!$C$2/宠物成长!$C$3*宠物成长!$E$30)*(1+VLOOKUP(宠物属性点预览!L$2,宠物成长!$F$4:$K$25,4,FALSE)+0)+(VLOOKUP(宠物属性点预览!$B13,宠物成长!$D$30:$E$129,2,FALSE)-宠物成长!$E$30)*宠物成长!$C$2/宠物成长!$C$3*(1+VLOOKUP(宠物属性点预览!L$2,宠物成长!$F$5:$K$25,3,FALSE)+0)</f>
        <v>1474.7242242242241</v>
      </c>
      <c r="M13" s="9">
        <f>(宠物成长!$C$1+宠物成长!$C$2/宠物成长!$C$3*宠物成长!$E$30)*(1+VLOOKUP(宠物属性点预览!M$2,宠物成长!$F$4:$K$25,4,FALSE)+0)+(VLOOKUP(宠物属性点预览!$B13,宠物成长!$D$30:$E$129,2,FALSE)-宠物成长!$E$30)*宠物成长!$C$2/宠物成长!$C$3*(1+VLOOKUP(宠物属性点预览!M$2,宠物成长!$F$5:$K$25,3,FALSE)+0)</f>
        <v>1715.9147004147003</v>
      </c>
      <c r="N13" s="9">
        <f>(宠物成长!$C$1+宠物成长!$C$2/宠物成长!$C$3*宠物成长!$E$30)*(1+VLOOKUP(宠物属性点预览!N$2,宠物成长!$F$4:$K$25,4,FALSE)+0)+(VLOOKUP(宠物属性点预览!$B13,宠物成长!$D$30:$E$129,2,FALSE)-宠物成长!$E$30)*宠物成长!$C$2/宠物成长!$C$3*(1+VLOOKUP(宠物属性点预览!N$2,宠物成长!$F$5:$K$25,3,FALSE)+0)</f>
        <v>1958.3615089253385</v>
      </c>
      <c r="O13" s="9">
        <f>(宠物成长!$C$1+宠物成长!$C$2/宠物成长!$C$3*宠物成长!$E$30)*(1+VLOOKUP(宠物属性点预览!O$2,宠物成长!$F$4:$K$25,4,FALSE)+0)+(VLOOKUP(宠物属性点预览!$B13,宠物成长!$D$30:$E$129,2,FALSE)-宠物成长!$E$30)*宠物成长!$C$2/宠物成长!$C$3*(1+VLOOKUP(宠物属性点预览!O$2,宠物成长!$F$5:$K$25,3,FALSE)+0)</f>
        <v>2201.8230473868766</v>
      </c>
      <c r="P13" s="9">
        <f>(宠物成长!$C$1+宠物成长!$C$2/宠物成长!$C$3*宠物成长!$E$30)*(1+VLOOKUP(宠物属性点预览!P$2,宠物成长!$F$4:$K$25,4,FALSE)+0)+(VLOOKUP(宠物属性点预览!$B13,宠物成长!$D$30:$E$129,2,FALSE)-宠物成长!$E$30)*宠物成长!$C$2/宠物成长!$C$3*(1+VLOOKUP(宠物属性点预览!P$2,宠物成长!$F$5:$K$25,3,FALSE)+0)</f>
        <v>2446.1212930009119</v>
      </c>
      <c r="Q13" s="9">
        <f>(宠物成长!$C$1+宠物成长!$C$2/宠物成长!$C$3*宠物成长!$E$30)*(1+VLOOKUP(宠物属性点预览!Q$2,宠物成长!$F$4:$K$25,4,FALSE)+0)+(VLOOKUP(宠物属性点预览!$B13,宠物成长!$D$30:$E$129,2,FALSE)-宠物成长!$E$30)*宠物成长!$C$2/宠物成长!$C$3*(1+VLOOKUP(宠物属性点预览!Q$2,宠物成长!$F$5:$K$25,3,FALSE)+0)</f>
        <v>2691.1212930009119</v>
      </c>
      <c r="R13" s="9">
        <f>(宠物成长!$C$1+宠物成长!$C$2/宠物成长!$C$3*宠物成长!$E$30)*(1+VLOOKUP(宠物属性点预览!R$2,宠物成长!$F$4:$K$25,4,FALSE)+0)+(VLOOKUP(宠物属性点预览!$B13,宠物成长!$D$30:$E$129,2,FALSE)-宠物成长!$E$30)*宠物成长!$C$2/宠物成长!$C$3*(1+VLOOKUP(宠物属性点预览!R$2,宠物成长!$F$5:$K$25,3,FALSE)+0)</f>
        <v>2936.718307926285</v>
      </c>
      <c r="S13" s="9">
        <f>(宠物成长!$C$1+宠物成长!$C$2/宠物成长!$C$3*宠物成长!$E$30)*(1+VLOOKUP(宠物属性点预览!S$2,宠物成长!$F$4:$K$25,4,FALSE)+0)+(VLOOKUP(宠物属性点预览!$B13,宠物成长!$D$30:$E$129,2,FALSE)-宠物成长!$E$30)*宠物成长!$C$2/宠物成长!$C$3*(1+VLOOKUP(宠物属性点预览!S$2,宠物成长!$F$5:$K$25,3,FALSE)+0)</f>
        <v>3182.8294190373958</v>
      </c>
      <c r="T13" s="83">
        <f>E13</f>
        <v>208.6</v>
      </c>
      <c r="V13" s="9">
        <f>(宠物成长!$C$1+宠物成长!$C$2/宠物成长!$C$3*宠物成长!$E$30)*(1+宠物成长!$I$7+VLOOKUP(宠物属性点预览!V$2,宠物成长!$O$5:$R$10,3,FALSE))+(VLOOKUP(宠物属性点预览!$B13,宠物成长!$D$30:$E$129,2,FALSE)-宠物成长!$E$30)*宠物成长!$C$2/宠物成长!$C$3*(1+宠物成长!$H$7+VLOOKUP(宠物属性点预览!V$2,宠物成长!$O$5:$R$10,2,FALSE))</f>
        <v>208.6</v>
      </c>
      <c r="W13" s="9">
        <f>(宠物成长!$C$1+宠物成长!$C$2/宠物成长!$C$3*宠物成长!$E$30)*(1+宠物成长!$I$7+VLOOKUP(宠物属性点预览!W$2,宠物成长!$O$5:$R$10,3,FALSE))+(VLOOKUP(宠物属性点预览!$B13,宠物成长!$D$30:$E$129,2,FALSE)-宠物成长!$E$30)*宠物成长!$C$2/宠物成长!$C$3*(1+宠物成长!$H$7+VLOOKUP(宠物属性点预览!W$2,宠物成长!$O$5:$R$10,2,FALSE))</f>
        <v>528.59999999999991</v>
      </c>
      <c r="X13" s="9">
        <f>(宠物成长!$C$1+宠物成长!$C$2/宠物成长!$C$3*宠物成长!$E$30)*(1+宠物成长!$I$7+VLOOKUP(宠物属性点预览!X$2,宠物成长!$O$5:$R$10,3,FALSE))+(VLOOKUP(宠物属性点预览!$B13,宠物成长!$D$30:$E$129,2,FALSE)-宠物成长!$E$30)*宠物成长!$C$2/宠物成长!$C$3*(1+宠物成长!$H$7+VLOOKUP(宠物属性点预览!X$2,宠物成长!$O$5:$R$10,2,FALSE))</f>
        <v>910.6</v>
      </c>
      <c r="Y13" s="9">
        <f>(宠物成长!$C$1+宠物成长!$C$2/宠物成长!$C$3*宠物成长!$E$30)*(1+宠物成长!$I$7+VLOOKUP(宠物属性点预览!Y$2,宠物成长!$O$5:$R$10,3,FALSE))+(VLOOKUP(宠物属性点预览!$B13,宠物成长!$D$30:$E$129,2,FALSE)-宠物成长!$E$30)*宠物成长!$C$2/宠物成长!$C$3*(1+宠物成长!$H$7+VLOOKUP(宠物属性点预览!Y$2,宠物成长!$O$5:$R$10,2,FALSE))</f>
        <v>1354.6000000000001</v>
      </c>
      <c r="Z13" s="9">
        <f>(宠物成长!$C$1+宠物成长!$C$2/宠物成长!$C$3*宠物成长!$E$30)*(1+宠物成长!$I$7+VLOOKUP(宠物属性点预览!Z$2,宠物成长!$O$5:$R$10,3,FALSE))+(VLOOKUP(宠物属性点预览!$B13,宠物成长!$D$30:$E$129,2,FALSE)-宠物成长!$E$30)*宠物成长!$C$2/宠物成长!$C$3*(1+宠物成长!$H$7+VLOOKUP(宠物属性点预览!Z$2,宠物成长!$O$5:$R$10,2,FALSE))</f>
        <v>1798.6000000000001</v>
      </c>
      <c r="AA13" s="1">
        <f t="shared" si="1"/>
        <v>0</v>
      </c>
    </row>
    <row r="14" spans="2:27" x14ac:dyDescent="0.15">
      <c r="B14" s="1">
        <v>12</v>
      </c>
      <c r="C14" s="9">
        <f>(宠物成长!$C$1+宠物成长!$C$2/宠物成长!$C$3*宠物成长!$E$30)*(1+VLOOKUP(宠物属性点预览!C$2,宠物成长!$F$4:$K$25,4,FALSE)+0)+(VLOOKUP(宠物属性点预览!$B14,宠物成长!$D$30:$E$129,2,FALSE)-宠物成长!$E$30)*宠物成长!$C$2/宠物成长!$C$3*(1+VLOOKUP(宠物属性点预览!C$2,宠物成长!$F$5:$K$25,3,FALSE)+0)</f>
        <v>100.5</v>
      </c>
      <c r="D14" s="9">
        <f>(宠物成长!$C$1+宠物成长!$C$2/宠物成长!$C$3*宠物成长!$E$30)*(1+VLOOKUP(宠物属性点预览!D$2,宠物成长!$F$4:$K$25,4,FALSE)+0)+(VLOOKUP(宠物属性点预览!$B14,宠物成长!$D$30:$E$129,2,FALSE)-宠物成长!$E$30)*宠物成长!$C$2/宠物成长!$C$3*(1+VLOOKUP(宠物属性点预览!D$2,宠物成长!$F$5:$K$25,3,FALSE)+0)</f>
        <v>147</v>
      </c>
      <c r="E14" s="9">
        <f>(宠物成长!$C$1+宠物成长!$C$2/宠物成长!$C$3*宠物成长!$E$30)*(1+VLOOKUP(宠物属性点预览!E$2,宠物成长!$F$4:$K$25,4,FALSE)+0)+(VLOOKUP(宠物属性点预览!$B14,宠物成长!$D$30:$E$129,2,FALSE)-宠物成长!$E$30)*宠物成长!$C$2/宠物成长!$C$3*(1+VLOOKUP(宠物属性点预览!E$2,宠物成长!$F$5:$K$25,3,FALSE)+0)</f>
        <v>212.1</v>
      </c>
      <c r="F14" s="9">
        <f>(宠物成长!$C$1+宠物成长!$C$2/宠物成长!$C$3*宠物成长!$E$30)*(1+VLOOKUP(宠物属性点预览!F$2,宠物成长!$F$4:$K$25,4,FALSE)+0)+(VLOOKUP(宠物属性点预览!$B14,宠物成长!$D$30:$E$129,2,FALSE)-宠物成长!$E$30)*宠物成长!$C$2/宠物成长!$C$3*(1+VLOOKUP(宠物属性点预览!F$2,宠物成长!$F$5:$K$25,3,FALSE)+0)</f>
        <v>298.90000000000003</v>
      </c>
      <c r="G14" s="9">
        <f>(宠物成长!$C$1+宠物成长!$C$2/宠物成长!$C$3*宠物成长!$E$30)*(1+VLOOKUP(宠物属性点预览!G$2,宠物成长!$F$4:$K$25,4,FALSE)+0)+(VLOOKUP(宠物属性点预览!$B14,宠物成长!$D$30:$E$129,2,FALSE)-宠物成长!$E$30)*宠物成长!$C$2/宠物成长!$C$3*(1+VLOOKUP(宠物属性点预览!G$2,宠物成长!$F$5:$K$25,3,FALSE)+0)</f>
        <v>403.59999999999997</v>
      </c>
      <c r="H14" s="9">
        <f>(宠物成长!$C$1+宠物成长!$C$2/宠物成长!$C$3*宠物成长!$E$30)*(1+VLOOKUP(宠物属性点预览!H$2,宠物成长!$F$4:$K$25,4,FALSE)+0)+(VLOOKUP(宠物属性点预览!$B14,宠物成长!$D$30:$E$129,2,FALSE)-宠物成长!$E$30)*宠物成长!$C$2/宠物成长!$C$3*(1+VLOOKUP(宠物属性点预览!H$2,宠物成长!$F$5:$K$25,3,FALSE)+0)</f>
        <v>557.9</v>
      </c>
      <c r="I14" s="9">
        <f>(宠物成长!$C$1+宠物成长!$C$2/宠物成长!$C$3*宠物成长!$E$30)*(1+VLOOKUP(宠物属性点预览!I$2,宠物成长!$F$4:$K$25,4,FALSE)+0)+(VLOOKUP(宠物属性点预览!$B14,宠物成长!$D$30:$E$129,2,FALSE)-宠物成长!$E$30)*宠物成长!$C$2/宠物成长!$C$3*(1+VLOOKUP(宠物属性点预览!I$2,宠物成长!$F$5:$K$25,3,FALSE)+0)</f>
        <v>768</v>
      </c>
      <c r="J14" s="9">
        <f>(宠物成长!$C$1+宠物成长!$C$2/宠物成长!$C$3*宠物成长!$E$30)*(1+VLOOKUP(宠物属性点预览!J$2,宠物成长!$F$4:$K$25,4,FALSE)+0)+(VLOOKUP(宠物属性点预览!$B14,宠物成长!$D$30:$E$129,2,FALSE)-宠物成长!$E$30)*宠物成长!$C$2/宠物成长!$C$3*(1+VLOOKUP(宠物属性点预览!J$2,宠物成长!$F$5:$K$25,3,FALSE)+0)</f>
        <v>1003.1296296296297</v>
      </c>
      <c r="K14" s="9">
        <f>(宠物成长!$C$1+宠物成长!$C$2/宠物成长!$C$3*宠物成长!$E$30)*(1+VLOOKUP(宠物属性点预览!K$2,宠物成长!$F$4:$K$25,4,FALSE)+0)+(VLOOKUP(宠物属性点预览!$B14,宠物成长!$D$30:$E$129,2,FALSE)-宠物成长!$E$30)*宠物成长!$C$2/宠物成长!$C$3*(1+VLOOKUP(宠物属性点预览!K$2,宠物成长!$F$5:$K$25,3,FALSE)+0)</f>
        <v>1241.1296296296296</v>
      </c>
      <c r="L14" s="9">
        <f>(宠物成长!$C$1+宠物成长!$C$2/宠物成长!$C$3*宠物成长!$E$30)*(1+VLOOKUP(宠物属性点预览!L$2,宠物成长!$F$4:$K$25,4,FALSE)+0)+(VLOOKUP(宠物属性点预览!$B14,宠物成长!$D$30:$E$129,2,FALSE)-宠物成长!$E$30)*宠物成长!$C$2/宠物成长!$C$3*(1+VLOOKUP(宠物属性点预览!L$2,宠物成长!$F$5:$K$25,3,FALSE)+0)</f>
        <v>1481.2242242242241</v>
      </c>
      <c r="M14" s="9">
        <f>(宠物成长!$C$1+宠物成长!$C$2/宠物成长!$C$3*宠物成长!$E$30)*(1+VLOOKUP(宠物属性点预览!M$2,宠物成长!$F$4:$K$25,4,FALSE)+0)+(VLOOKUP(宠物属性点预览!$B14,宠物成长!$D$30:$E$129,2,FALSE)-宠物成长!$E$30)*宠物成长!$C$2/宠物成长!$C$3*(1+VLOOKUP(宠物属性点预览!M$2,宠物成长!$F$5:$K$25,3,FALSE)+0)</f>
        <v>1722.9147004147003</v>
      </c>
      <c r="N14" s="9">
        <f>(宠物成长!$C$1+宠物成长!$C$2/宠物成长!$C$3*宠物成长!$E$30)*(1+VLOOKUP(宠物属性点预览!N$2,宠物成长!$F$4:$K$25,4,FALSE)+0)+(VLOOKUP(宠物属性点预览!$B14,宠物成长!$D$30:$E$129,2,FALSE)-宠物成长!$E$30)*宠物成长!$C$2/宠物成长!$C$3*(1+VLOOKUP(宠物属性点预览!N$2,宠物成长!$F$5:$K$25,3,FALSE)+0)</f>
        <v>1965.8615089253385</v>
      </c>
      <c r="O14" s="9">
        <f>(宠物成长!$C$1+宠物成长!$C$2/宠物成长!$C$3*宠物成长!$E$30)*(1+VLOOKUP(宠物属性点预览!O$2,宠物成长!$F$4:$K$25,4,FALSE)+0)+(VLOOKUP(宠物属性点预览!$B14,宠物成长!$D$30:$E$129,2,FALSE)-宠物成长!$E$30)*宠物成长!$C$2/宠物成长!$C$3*(1+VLOOKUP(宠物属性点预览!O$2,宠物成长!$F$5:$K$25,3,FALSE)+0)</f>
        <v>2209.8230473868766</v>
      </c>
      <c r="P14" s="9">
        <f>(宠物成长!$C$1+宠物成长!$C$2/宠物成长!$C$3*宠物成长!$E$30)*(1+VLOOKUP(宠物属性点预览!P$2,宠物成长!$F$4:$K$25,4,FALSE)+0)+(VLOOKUP(宠物属性点预览!$B14,宠物成长!$D$30:$E$129,2,FALSE)-宠物成长!$E$30)*宠物成长!$C$2/宠物成长!$C$3*(1+VLOOKUP(宠物属性点预览!P$2,宠物成长!$F$5:$K$25,3,FALSE)+0)</f>
        <v>2454.6212930009119</v>
      </c>
      <c r="Q14" s="9">
        <f>(宠物成长!$C$1+宠物成长!$C$2/宠物成长!$C$3*宠物成长!$E$30)*(1+VLOOKUP(宠物属性点预览!Q$2,宠物成长!$F$4:$K$25,4,FALSE)+0)+(VLOOKUP(宠物属性点预览!$B14,宠物成长!$D$30:$E$129,2,FALSE)-宠物成长!$E$30)*宠物成长!$C$2/宠物成长!$C$3*(1+VLOOKUP(宠物属性点预览!Q$2,宠物成长!$F$5:$K$25,3,FALSE)+0)</f>
        <v>2700.1212930009119</v>
      </c>
      <c r="R14" s="9">
        <f>(宠物成长!$C$1+宠物成长!$C$2/宠物成长!$C$3*宠物成长!$E$30)*(1+VLOOKUP(宠物属性点预览!R$2,宠物成长!$F$4:$K$25,4,FALSE)+0)+(VLOOKUP(宠物属性点预览!$B14,宠物成长!$D$30:$E$129,2,FALSE)-宠物成长!$E$30)*宠物成长!$C$2/宠物成长!$C$3*(1+VLOOKUP(宠物属性点预览!R$2,宠物成长!$F$5:$K$25,3,FALSE)+0)</f>
        <v>2946.218307926285</v>
      </c>
      <c r="S14" s="9">
        <f>(宠物成长!$C$1+宠物成长!$C$2/宠物成长!$C$3*宠物成长!$E$30)*(1+VLOOKUP(宠物属性点预览!S$2,宠物成长!$F$4:$K$25,4,FALSE)+0)+(VLOOKUP(宠物属性点预览!$B14,宠物成长!$D$30:$E$129,2,FALSE)-宠物成长!$E$30)*宠物成长!$C$2/宠物成长!$C$3*(1+VLOOKUP(宠物属性点预览!S$2,宠物成长!$F$5:$K$25,3,FALSE)+0)</f>
        <v>3192.8294190373958</v>
      </c>
      <c r="T14" s="83">
        <f t="shared" ref="T14:T17" si="3">E14</f>
        <v>212.1</v>
      </c>
      <c r="V14" s="9">
        <f>(宠物成长!$C$1+宠物成长!$C$2/宠物成长!$C$3*宠物成长!$E$30)*(1+宠物成长!$I$7+VLOOKUP(宠物属性点预览!V$2,宠物成长!$O$5:$R$10,3,FALSE))+(VLOOKUP(宠物属性点预览!$B14,宠物成长!$D$30:$E$129,2,FALSE)-宠物成长!$E$30)*宠物成长!$C$2/宠物成长!$C$3*(1+宠物成长!$H$7+VLOOKUP(宠物属性点预览!V$2,宠物成长!$O$5:$R$10,2,FALSE))</f>
        <v>212.1</v>
      </c>
      <c r="W14" s="9">
        <f>(宠物成长!$C$1+宠物成长!$C$2/宠物成长!$C$3*宠物成长!$E$30)*(1+宠物成长!$I$7+VLOOKUP(宠物属性点预览!W$2,宠物成长!$O$5:$R$10,3,FALSE))+(VLOOKUP(宠物属性点预览!$B14,宠物成长!$D$30:$E$129,2,FALSE)-宠物成长!$E$30)*宠物成长!$C$2/宠物成长!$C$3*(1+宠物成长!$H$7+VLOOKUP(宠物属性点预览!W$2,宠物成长!$O$5:$R$10,2,FALSE))</f>
        <v>533.09999999999991</v>
      </c>
      <c r="X14" s="9">
        <f>(宠物成长!$C$1+宠物成长!$C$2/宠物成长!$C$3*宠物成长!$E$30)*(1+宠物成长!$I$7+VLOOKUP(宠物属性点预览!X$2,宠物成长!$O$5:$R$10,3,FALSE))+(VLOOKUP(宠物属性点预览!$B14,宠物成长!$D$30:$E$129,2,FALSE)-宠物成长!$E$30)*宠物成长!$C$2/宠物成长!$C$3*(1+宠物成长!$H$7+VLOOKUP(宠物属性点预览!X$2,宠物成长!$O$5:$R$10,2,FALSE))</f>
        <v>916.1</v>
      </c>
      <c r="Y14" s="9">
        <f>(宠物成长!$C$1+宠物成长!$C$2/宠物成长!$C$3*宠物成长!$E$30)*(1+宠物成长!$I$7+VLOOKUP(宠物属性点预览!Y$2,宠物成长!$O$5:$R$10,3,FALSE))+(VLOOKUP(宠物属性点预览!$B14,宠物成长!$D$30:$E$129,2,FALSE)-宠物成长!$E$30)*宠物成长!$C$2/宠物成长!$C$3*(1+宠物成长!$H$7+VLOOKUP(宠物属性点预览!Y$2,宠物成长!$O$5:$R$10,2,FALSE))</f>
        <v>1361.1000000000001</v>
      </c>
      <c r="Z14" s="9">
        <f>(宠物成长!$C$1+宠物成长!$C$2/宠物成长!$C$3*宠物成长!$E$30)*(1+宠物成长!$I$7+VLOOKUP(宠物属性点预览!Z$2,宠物成长!$O$5:$R$10,3,FALSE))+(VLOOKUP(宠物属性点预览!$B14,宠物成长!$D$30:$E$129,2,FALSE)-宠物成长!$E$30)*宠物成长!$C$2/宠物成长!$C$3*(1+宠物成长!$H$7+VLOOKUP(宠物属性点预览!Z$2,宠物成长!$O$5:$R$10,2,FALSE))</f>
        <v>1806.1000000000001</v>
      </c>
      <c r="AA14" s="1">
        <f t="shared" si="1"/>
        <v>0</v>
      </c>
    </row>
    <row r="15" spans="2:27" x14ac:dyDescent="0.15">
      <c r="B15" s="1">
        <v>13</v>
      </c>
      <c r="C15" s="9">
        <f>(宠物成长!$C$1+宠物成长!$C$2/宠物成长!$C$3*宠物成长!$E$30)*(1+VLOOKUP(宠物属性点预览!C$2,宠物成长!$F$4:$K$25,4,FALSE)+0)+(VLOOKUP(宠物属性点预览!$B15,宠物成长!$D$30:$E$129,2,FALSE)-宠物成长!$E$30)*宠物成长!$C$2/宠物成长!$C$3*(1+VLOOKUP(宠物属性点预览!C$2,宠物成长!$F$5:$K$25,3,FALSE)+0)</f>
        <v>104</v>
      </c>
      <c r="D15" s="9">
        <f>(宠物成长!$C$1+宠物成长!$C$2/宠物成长!$C$3*宠物成长!$E$30)*(1+VLOOKUP(宠物属性点预览!D$2,宠物成长!$F$4:$K$25,4,FALSE)+0)+(VLOOKUP(宠物属性点预览!$B15,宠物成长!$D$30:$E$129,2,FALSE)-宠物成长!$E$30)*宠物成长!$C$2/宠物成长!$C$3*(1+VLOOKUP(宠物属性点预览!D$2,宠物成长!$F$5:$K$25,3,FALSE)+0)</f>
        <v>150.5</v>
      </c>
      <c r="E15" s="9">
        <f>(宠物成长!$C$1+宠物成长!$C$2/宠物成长!$C$3*宠物成长!$E$30)*(1+VLOOKUP(宠物属性点预览!E$2,宠物成长!$F$4:$K$25,4,FALSE)+0)+(VLOOKUP(宠物属性点预览!$B15,宠物成长!$D$30:$E$129,2,FALSE)-宠物成长!$E$30)*宠物成长!$C$2/宠物成长!$C$3*(1+VLOOKUP(宠物属性点预览!E$2,宠物成长!$F$5:$K$25,3,FALSE)+0)</f>
        <v>215.6</v>
      </c>
      <c r="F15" s="9">
        <f>(宠物成长!$C$1+宠物成长!$C$2/宠物成长!$C$3*宠物成长!$E$30)*(1+VLOOKUP(宠物属性点预览!F$2,宠物成长!$F$4:$K$25,4,FALSE)+0)+(VLOOKUP(宠物属性点预览!$B15,宠物成长!$D$30:$E$129,2,FALSE)-宠物成长!$E$30)*宠物成长!$C$2/宠物成长!$C$3*(1+VLOOKUP(宠物属性点预览!F$2,宠物成长!$F$5:$K$25,3,FALSE)+0)</f>
        <v>302.40000000000003</v>
      </c>
      <c r="G15" s="9">
        <f>(宠物成长!$C$1+宠物成长!$C$2/宠物成长!$C$3*宠物成长!$E$30)*(1+VLOOKUP(宠物属性点预览!G$2,宠物成长!$F$4:$K$25,4,FALSE)+0)+(VLOOKUP(宠物属性点预览!$B15,宠物成长!$D$30:$E$129,2,FALSE)-宠物成长!$E$30)*宠物成长!$C$2/宠物成长!$C$3*(1+VLOOKUP(宠物属性点预览!G$2,宠物成长!$F$5:$K$25,3,FALSE)+0)</f>
        <v>407.59999999999997</v>
      </c>
      <c r="H15" s="9">
        <f>(宠物成长!$C$1+宠物成长!$C$2/宠物成长!$C$3*宠物成长!$E$30)*(1+VLOOKUP(宠物属性点预览!H$2,宠物成长!$F$4:$K$25,4,FALSE)+0)+(VLOOKUP(宠物属性点预览!$B15,宠物成长!$D$30:$E$129,2,FALSE)-宠物成长!$E$30)*宠物成长!$C$2/宠物成长!$C$3*(1+VLOOKUP(宠物属性点预览!H$2,宠物成长!$F$5:$K$25,3,FALSE)+0)</f>
        <v>562.4</v>
      </c>
      <c r="I15" s="9">
        <f>(宠物成长!$C$1+宠物成长!$C$2/宠物成长!$C$3*宠物成长!$E$30)*(1+VLOOKUP(宠物属性点预览!I$2,宠物成长!$F$4:$K$25,4,FALSE)+0)+(VLOOKUP(宠物属性点预览!$B15,宠物成长!$D$30:$E$129,2,FALSE)-宠物成长!$E$30)*宠物成长!$C$2/宠物成长!$C$3*(1+VLOOKUP(宠物属性点预览!I$2,宠物成长!$F$5:$K$25,3,FALSE)+0)</f>
        <v>773</v>
      </c>
      <c r="J15" s="9">
        <f>(宠物成长!$C$1+宠物成长!$C$2/宠物成长!$C$3*宠物成长!$E$30)*(1+VLOOKUP(宠物属性点预览!J$2,宠物成长!$F$4:$K$25,4,FALSE)+0)+(VLOOKUP(宠物属性点预览!$B15,宠物成长!$D$30:$E$129,2,FALSE)-宠物成长!$E$30)*宠物成长!$C$2/宠物成长!$C$3*(1+VLOOKUP(宠物属性点预览!J$2,宠物成长!$F$5:$K$25,3,FALSE)+0)</f>
        <v>1008.6296296296297</v>
      </c>
      <c r="K15" s="9">
        <f>(宠物成长!$C$1+宠物成长!$C$2/宠物成长!$C$3*宠物成长!$E$30)*(1+VLOOKUP(宠物属性点预览!K$2,宠物成长!$F$4:$K$25,4,FALSE)+0)+(VLOOKUP(宠物属性点预览!$B15,宠物成长!$D$30:$E$129,2,FALSE)-宠物成长!$E$30)*宠物成长!$C$2/宠物成长!$C$3*(1+VLOOKUP(宠物属性点预览!K$2,宠物成长!$F$5:$K$25,3,FALSE)+0)</f>
        <v>1247.1296296296296</v>
      </c>
      <c r="L15" s="9">
        <f>(宠物成长!$C$1+宠物成长!$C$2/宠物成长!$C$3*宠物成长!$E$30)*(1+VLOOKUP(宠物属性点预览!L$2,宠物成长!$F$4:$K$25,4,FALSE)+0)+(VLOOKUP(宠物属性点预览!$B15,宠物成长!$D$30:$E$129,2,FALSE)-宠物成长!$E$30)*宠物成长!$C$2/宠物成长!$C$3*(1+VLOOKUP(宠物属性点预览!L$2,宠物成长!$F$5:$K$25,3,FALSE)+0)</f>
        <v>1487.7242242242241</v>
      </c>
      <c r="M15" s="9">
        <f>(宠物成长!$C$1+宠物成长!$C$2/宠物成长!$C$3*宠物成长!$E$30)*(1+VLOOKUP(宠物属性点预览!M$2,宠物成长!$F$4:$K$25,4,FALSE)+0)+(VLOOKUP(宠物属性点预览!$B15,宠物成长!$D$30:$E$129,2,FALSE)-宠物成长!$E$30)*宠物成长!$C$2/宠物成长!$C$3*(1+VLOOKUP(宠物属性点预览!M$2,宠物成长!$F$5:$K$25,3,FALSE)+0)</f>
        <v>1729.9147004147003</v>
      </c>
      <c r="N15" s="9">
        <f>(宠物成长!$C$1+宠物成长!$C$2/宠物成长!$C$3*宠物成长!$E$30)*(1+VLOOKUP(宠物属性点预览!N$2,宠物成长!$F$4:$K$25,4,FALSE)+0)+(VLOOKUP(宠物属性点预览!$B15,宠物成长!$D$30:$E$129,2,FALSE)-宠物成长!$E$30)*宠物成长!$C$2/宠物成长!$C$3*(1+VLOOKUP(宠物属性点预览!N$2,宠物成长!$F$5:$K$25,3,FALSE)+0)</f>
        <v>1973.3615089253385</v>
      </c>
      <c r="O15" s="9">
        <f>(宠物成长!$C$1+宠物成长!$C$2/宠物成长!$C$3*宠物成长!$E$30)*(1+VLOOKUP(宠物属性点预览!O$2,宠物成长!$F$4:$K$25,4,FALSE)+0)+(VLOOKUP(宠物属性点预览!$B15,宠物成长!$D$30:$E$129,2,FALSE)-宠物成长!$E$30)*宠物成长!$C$2/宠物成长!$C$3*(1+VLOOKUP(宠物属性点预览!O$2,宠物成长!$F$5:$K$25,3,FALSE)+0)</f>
        <v>2217.8230473868766</v>
      </c>
      <c r="P15" s="9">
        <f>(宠物成长!$C$1+宠物成长!$C$2/宠物成长!$C$3*宠物成长!$E$30)*(1+VLOOKUP(宠物属性点预览!P$2,宠物成长!$F$4:$K$25,4,FALSE)+0)+(VLOOKUP(宠物属性点预览!$B15,宠物成长!$D$30:$E$129,2,FALSE)-宠物成长!$E$30)*宠物成长!$C$2/宠物成长!$C$3*(1+VLOOKUP(宠物属性点预览!P$2,宠物成长!$F$5:$K$25,3,FALSE)+0)</f>
        <v>2463.1212930009119</v>
      </c>
      <c r="Q15" s="9">
        <f>(宠物成长!$C$1+宠物成长!$C$2/宠物成长!$C$3*宠物成长!$E$30)*(1+VLOOKUP(宠物属性点预览!Q$2,宠物成长!$F$4:$K$25,4,FALSE)+0)+(VLOOKUP(宠物属性点预览!$B15,宠物成长!$D$30:$E$129,2,FALSE)-宠物成长!$E$30)*宠物成长!$C$2/宠物成长!$C$3*(1+VLOOKUP(宠物属性点预览!Q$2,宠物成长!$F$5:$K$25,3,FALSE)+0)</f>
        <v>2709.1212930009119</v>
      </c>
      <c r="R15" s="9">
        <f>(宠物成长!$C$1+宠物成长!$C$2/宠物成长!$C$3*宠物成长!$E$30)*(1+VLOOKUP(宠物属性点预览!R$2,宠物成长!$F$4:$K$25,4,FALSE)+0)+(VLOOKUP(宠物属性点预览!$B15,宠物成长!$D$30:$E$129,2,FALSE)-宠物成长!$E$30)*宠物成长!$C$2/宠物成长!$C$3*(1+VLOOKUP(宠物属性点预览!R$2,宠物成长!$F$5:$K$25,3,FALSE)+0)</f>
        <v>2955.718307926285</v>
      </c>
      <c r="S15" s="9">
        <f>(宠物成长!$C$1+宠物成长!$C$2/宠物成长!$C$3*宠物成长!$E$30)*(1+VLOOKUP(宠物属性点预览!S$2,宠物成长!$F$4:$K$25,4,FALSE)+0)+(VLOOKUP(宠物属性点预览!$B15,宠物成长!$D$30:$E$129,2,FALSE)-宠物成长!$E$30)*宠物成长!$C$2/宠物成长!$C$3*(1+VLOOKUP(宠物属性点预览!S$2,宠物成长!$F$5:$K$25,3,FALSE)+0)</f>
        <v>3202.8294190373958</v>
      </c>
      <c r="T15" s="83">
        <f t="shared" si="3"/>
        <v>215.6</v>
      </c>
      <c r="V15" s="9">
        <f>(宠物成长!$C$1+宠物成长!$C$2/宠物成长!$C$3*宠物成长!$E$30)*(1+宠物成长!$I$7+VLOOKUP(宠物属性点预览!V$2,宠物成长!$O$5:$R$10,3,FALSE))+(VLOOKUP(宠物属性点预览!$B15,宠物成长!$D$30:$E$129,2,FALSE)-宠物成长!$E$30)*宠物成长!$C$2/宠物成长!$C$3*(1+宠物成长!$H$7+VLOOKUP(宠物属性点预览!V$2,宠物成长!$O$5:$R$10,2,FALSE))</f>
        <v>215.6</v>
      </c>
      <c r="W15" s="9">
        <f>(宠物成长!$C$1+宠物成长!$C$2/宠物成长!$C$3*宠物成长!$E$30)*(1+宠物成长!$I$7+VLOOKUP(宠物属性点预览!W$2,宠物成长!$O$5:$R$10,3,FALSE))+(VLOOKUP(宠物属性点预览!$B15,宠物成长!$D$30:$E$129,2,FALSE)-宠物成长!$E$30)*宠物成长!$C$2/宠物成长!$C$3*(1+宠物成长!$H$7+VLOOKUP(宠物属性点预览!W$2,宠物成长!$O$5:$R$10,2,FALSE))</f>
        <v>537.59999999999991</v>
      </c>
      <c r="X15" s="9">
        <f>(宠物成长!$C$1+宠物成长!$C$2/宠物成长!$C$3*宠物成长!$E$30)*(1+宠物成长!$I$7+VLOOKUP(宠物属性点预览!X$2,宠物成长!$O$5:$R$10,3,FALSE))+(VLOOKUP(宠物属性点预览!$B15,宠物成长!$D$30:$E$129,2,FALSE)-宠物成长!$E$30)*宠物成长!$C$2/宠物成长!$C$3*(1+宠物成长!$H$7+VLOOKUP(宠物属性点预览!X$2,宠物成长!$O$5:$R$10,2,FALSE))</f>
        <v>921.6</v>
      </c>
      <c r="Y15" s="9">
        <f>(宠物成长!$C$1+宠物成长!$C$2/宠物成长!$C$3*宠物成长!$E$30)*(1+宠物成长!$I$7+VLOOKUP(宠物属性点预览!Y$2,宠物成长!$O$5:$R$10,3,FALSE))+(VLOOKUP(宠物属性点预览!$B15,宠物成长!$D$30:$E$129,2,FALSE)-宠物成长!$E$30)*宠物成长!$C$2/宠物成长!$C$3*(1+宠物成长!$H$7+VLOOKUP(宠物属性点预览!Y$2,宠物成长!$O$5:$R$10,2,FALSE))</f>
        <v>1367.6000000000001</v>
      </c>
      <c r="Z15" s="9">
        <f>(宠物成长!$C$1+宠物成长!$C$2/宠物成长!$C$3*宠物成长!$E$30)*(1+宠物成长!$I$7+VLOOKUP(宠物属性点预览!Z$2,宠物成长!$O$5:$R$10,3,FALSE))+(VLOOKUP(宠物属性点预览!$B15,宠物成长!$D$30:$E$129,2,FALSE)-宠物成长!$E$30)*宠物成长!$C$2/宠物成长!$C$3*(1+宠物成长!$H$7+VLOOKUP(宠物属性点预览!Z$2,宠物成长!$O$5:$R$10,2,FALSE))</f>
        <v>1813.6000000000001</v>
      </c>
      <c r="AA15" s="1">
        <f t="shared" si="1"/>
        <v>0</v>
      </c>
    </row>
    <row r="16" spans="2:27" x14ac:dyDescent="0.15">
      <c r="B16" s="1">
        <v>14</v>
      </c>
      <c r="C16" s="9">
        <f>(宠物成长!$C$1+宠物成长!$C$2/宠物成长!$C$3*宠物成长!$E$30)*(1+VLOOKUP(宠物属性点预览!C$2,宠物成长!$F$4:$K$25,4,FALSE)+0)+(VLOOKUP(宠物属性点预览!$B16,宠物成长!$D$30:$E$129,2,FALSE)-宠物成长!$E$30)*宠物成长!$C$2/宠物成长!$C$3*(1+VLOOKUP(宠物属性点预览!C$2,宠物成长!$F$5:$K$25,3,FALSE)+0)</f>
        <v>107.5</v>
      </c>
      <c r="D16" s="9">
        <f>(宠物成长!$C$1+宠物成长!$C$2/宠物成长!$C$3*宠物成长!$E$30)*(1+VLOOKUP(宠物属性点预览!D$2,宠物成长!$F$4:$K$25,4,FALSE)+0)+(VLOOKUP(宠物属性点预览!$B16,宠物成长!$D$30:$E$129,2,FALSE)-宠物成长!$E$30)*宠物成长!$C$2/宠物成长!$C$3*(1+VLOOKUP(宠物属性点预览!D$2,宠物成长!$F$5:$K$25,3,FALSE)+0)</f>
        <v>154</v>
      </c>
      <c r="E16" s="9">
        <f>(宠物成长!$C$1+宠物成长!$C$2/宠物成长!$C$3*宠物成长!$E$30)*(1+VLOOKUP(宠物属性点预览!E$2,宠物成长!$F$4:$K$25,4,FALSE)+0)+(VLOOKUP(宠物属性点预览!$B16,宠物成长!$D$30:$E$129,2,FALSE)-宠物成长!$E$30)*宠物成长!$C$2/宠物成长!$C$3*(1+VLOOKUP(宠物属性点预览!E$2,宠物成长!$F$5:$K$25,3,FALSE)+0)</f>
        <v>219.1</v>
      </c>
      <c r="F16" s="9">
        <f>(宠物成长!$C$1+宠物成长!$C$2/宠物成长!$C$3*宠物成长!$E$30)*(1+VLOOKUP(宠物属性点预览!F$2,宠物成长!$F$4:$K$25,4,FALSE)+0)+(VLOOKUP(宠物属性点预览!$B16,宠物成长!$D$30:$E$129,2,FALSE)-宠物成长!$E$30)*宠物成长!$C$2/宠物成长!$C$3*(1+VLOOKUP(宠物属性点预览!F$2,宠物成长!$F$5:$K$25,3,FALSE)+0)</f>
        <v>305.90000000000003</v>
      </c>
      <c r="G16" s="9">
        <f>(宠物成长!$C$1+宠物成长!$C$2/宠物成长!$C$3*宠物成长!$E$30)*(1+VLOOKUP(宠物属性点预览!G$2,宠物成长!$F$4:$K$25,4,FALSE)+0)+(VLOOKUP(宠物属性点预览!$B16,宠物成长!$D$30:$E$129,2,FALSE)-宠物成长!$E$30)*宠物成长!$C$2/宠物成长!$C$3*(1+VLOOKUP(宠物属性点预览!G$2,宠物成长!$F$5:$K$25,3,FALSE)+0)</f>
        <v>411.59999999999997</v>
      </c>
      <c r="H16" s="9">
        <f>(宠物成长!$C$1+宠物成长!$C$2/宠物成长!$C$3*宠物成长!$E$30)*(1+VLOOKUP(宠物属性点预览!H$2,宠物成长!$F$4:$K$25,4,FALSE)+0)+(VLOOKUP(宠物属性点预览!$B16,宠物成长!$D$30:$E$129,2,FALSE)-宠物成长!$E$30)*宠物成长!$C$2/宠物成长!$C$3*(1+VLOOKUP(宠物属性点预览!H$2,宠物成长!$F$5:$K$25,3,FALSE)+0)</f>
        <v>566.9</v>
      </c>
      <c r="I16" s="9">
        <f>(宠物成长!$C$1+宠物成长!$C$2/宠物成长!$C$3*宠物成长!$E$30)*(1+VLOOKUP(宠物属性点预览!I$2,宠物成长!$F$4:$K$25,4,FALSE)+0)+(VLOOKUP(宠物属性点预览!$B16,宠物成长!$D$30:$E$129,2,FALSE)-宠物成长!$E$30)*宠物成长!$C$2/宠物成长!$C$3*(1+VLOOKUP(宠物属性点预览!I$2,宠物成长!$F$5:$K$25,3,FALSE)+0)</f>
        <v>778</v>
      </c>
      <c r="J16" s="9">
        <f>(宠物成长!$C$1+宠物成长!$C$2/宠物成长!$C$3*宠物成长!$E$30)*(1+VLOOKUP(宠物属性点预览!J$2,宠物成长!$F$4:$K$25,4,FALSE)+0)+(VLOOKUP(宠物属性点预览!$B16,宠物成长!$D$30:$E$129,2,FALSE)-宠物成长!$E$30)*宠物成长!$C$2/宠物成长!$C$3*(1+VLOOKUP(宠物属性点预览!J$2,宠物成长!$F$5:$K$25,3,FALSE)+0)</f>
        <v>1014.1296296296297</v>
      </c>
      <c r="K16" s="9">
        <f>(宠物成长!$C$1+宠物成长!$C$2/宠物成长!$C$3*宠物成长!$E$30)*(1+VLOOKUP(宠物属性点预览!K$2,宠物成长!$F$4:$K$25,4,FALSE)+0)+(VLOOKUP(宠物属性点预览!$B16,宠物成长!$D$30:$E$129,2,FALSE)-宠物成长!$E$30)*宠物成长!$C$2/宠物成长!$C$3*(1+VLOOKUP(宠物属性点预览!K$2,宠物成长!$F$5:$K$25,3,FALSE)+0)</f>
        <v>1253.1296296296296</v>
      </c>
      <c r="L16" s="9">
        <f>(宠物成长!$C$1+宠物成长!$C$2/宠物成长!$C$3*宠物成长!$E$30)*(1+VLOOKUP(宠物属性点预览!L$2,宠物成长!$F$4:$K$25,4,FALSE)+0)+(VLOOKUP(宠物属性点预览!$B16,宠物成长!$D$30:$E$129,2,FALSE)-宠物成长!$E$30)*宠物成长!$C$2/宠物成长!$C$3*(1+VLOOKUP(宠物属性点预览!L$2,宠物成长!$F$5:$K$25,3,FALSE)+0)</f>
        <v>1494.2242242242241</v>
      </c>
      <c r="M16" s="9">
        <f>(宠物成长!$C$1+宠物成长!$C$2/宠物成长!$C$3*宠物成长!$E$30)*(1+VLOOKUP(宠物属性点预览!M$2,宠物成长!$F$4:$K$25,4,FALSE)+0)+(VLOOKUP(宠物属性点预览!$B16,宠物成长!$D$30:$E$129,2,FALSE)-宠物成长!$E$30)*宠物成长!$C$2/宠物成长!$C$3*(1+VLOOKUP(宠物属性点预览!M$2,宠物成长!$F$5:$K$25,3,FALSE)+0)</f>
        <v>1736.9147004147003</v>
      </c>
      <c r="N16" s="9">
        <f>(宠物成长!$C$1+宠物成长!$C$2/宠物成长!$C$3*宠物成长!$E$30)*(1+VLOOKUP(宠物属性点预览!N$2,宠物成长!$F$4:$K$25,4,FALSE)+0)+(VLOOKUP(宠物属性点预览!$B16,宠物成长!$D$30:$E$129,2,FALSE)-宠物成长!$E$30)*宠物成长!$C$2/宠物成长!$C$3*(1+VLOOKUP(宠物属性点预览!N$2,宠物成长!$F$5:$K$25,3,FALSE)+0)</f>
        <v>1980.8615089253385</v>
      </c>
      <c r="O16" s="9">
        <f>(宠物成长!$C$1+宠物成长!$C$2/宠物成长!$C$3*宠物成长!$E$30)*(1+VLOOKUP(宠物属性点预览!O$2,宠物成长!$F$4:$K$25,4,FALSE)+0)+(VLOOKUP(宠物属性点预览!$B16,宠物成长!$D$30:$E$129,2,FALSE)-宠物成长!$E$30)*宠物成长!$C$2/宠物成长!$C$3*(1+VLOOKUP(宠物属性点预览!O$2,宠物成长!$F$5:$K$25,3,FALSE)+0)</f>
        <v>2225.8230473868766</v>
      </c>
      <c r="P16" s="9">
        <f>(宠物成长!$C$1+宠物成长!$C$2/宠物成长!$C$3*宠物成长!$E$30)*(1+VLOOKUP(宠物属性点预览!P$2,宠物成长!$F$4:$K$25,4,FALSE)+0)+(VLOOKUP(宠物属性点预览!$B16,宠物成长!$D$30:$E$129,2,FALSE)-宠物成长!$E$30)*宠物成长!$C$2/宠物成长!$C$3*(1+VLOOKUP(宠物属性点预览!P$2,宠物成长!$F$5:$K$25,3,FALSE)+0)</f>
        <v>2471.6212930009119</v>
      </c>
      <c r="Q16" s="9">
        <f>(宠物成长!$C$1+宠物成长!$C$2/宠物成长!$C$3*宠物成长!$E$30)*(1+VLOOKUP(宠物属性点预览!Q$2,宠物成长!$F$4:$K$25,4,FALSE)+0)+(VLOOKUP(宠物属性点预览!$B16,宠物成长!$D$30:$E$129,2,FALSE)-宠物成长!$E$30)*宠物成长!$C$2/宠物成长!$C$3*(1+VLOOKUP(宠物属性点预览!Q$2,宠物成长!$F$5:$K$25,3,FALSE)+0)</f>
        <v>2718.1212930009119</v>
      </c>
      <c r="R16" s="9">
        <f>(宠物成长!$C$1+宠物成长!$C$2/宠物成长!$C$3*宠物成长!$E$30)*(1+VLOOKUP(宠物属性点预览!R$2,宠物成长!$F$4:$K$25,4,FALSE)+0)+(VLOOKUP(宠物属性点预览!$B16,宠物成长!$D$30:$E$129,2,FALSE)-宠物成长!$E$30)*宠物成长!$C$2/宠物成长!$C$3*(1+VLOOKUP(宠物属性点预览!R$2,宠物成长!$F$5:$K$25,3,FALSE)+0)</f>
        <v>2965.218307926285</v>
      </c>
      <c r="S16" s="9">
        <f>(宠物成长!$C$1+宠物成长!$C$2/宠物成长!$C$3*宠物成长!$E$30)*(1+VLOOKUP(宠物属性点预览!S$2,宠物成长!$F$4:$K$25,4,FALSE)+0)+(VLOOKUP(宠物属性点预览!$B16,宠物成长!$D$30:$E$129,2,FALSE)-宠物成长!$E$30)*宠物成长!$C$2/宠物成长!$C$3*(1+VLOOKUP(宠物属性点预览!S$2,宠物成长!$F$5:$K$25,3,FALSE)+0)</f>
        <v>3212.8294190373958</v>
      </c>
      <c r="T16" s="83">
        <f t="shared" si="3"/>
        <v>219.1</v>
      </c>
      <c r="V16" s="9">
        <f>(宠物成长!$C$1+宠物成长!$C$2/宠物成长!$C$3*宠物成长!$E$30)*(1+宠物成长!$I$7+VLOOKUP(宠物属性点预览!V$2,宠物成长!$O$5:$R$10,3,FALSE))+(VLOOKUP(宠物属性点预览!$B16,宠物成长!$D$30:$E$129,2,FALSE)-宠物成长!$E$30)*宠物成长!$C$2/宠物成长!$C$3*(1+宠物成长!$H$7+VLOOKUP(宠物属性点预览!V$2,宠物成长!$O$5:$R$10,2,FALSE))</f>
        <v>219.1</v>
      </c>
      <c r="W16" s="9">
        <f>(宠物成长!$C$1+宠物成长!$C$2/宠物成长!$C$3*宠物成长!$E$30)*(1+宠物成长!$I$7+VLOOKUP(宠物属性点预览!W$2,宠物成长!$O$5:$R$10,3,FALSE))+(VLOOKUP(宠物属性点预览!$B16,宠物成长!$D$30:$E$129,2,FALSE)-宠物成长!$E$30)*宠物成长!$C$2/宠物成长!$C$3*(1+宠物成长!$H$7+VLOOKUP(宠物属性点预览!W$2,宠物成长!$O$5:$R$10,2,FALSE))</f>
        <v>542.09999999999991</v>
      </c>
      <c r="X16" s="9">
        <f>(宠物成长!$C$1+宠物成长!$C$2/宠物成长!$C$3*宠物成长!$E$30)*(1+宠物成长!$I$7+VLOOKUP(宠物属性点预览!X$2,宠物成长!$O$5:$R$10,3,FALSE))+(VLOOKUP(宠物属性点预览!$B16,宠物成长!$D$30:$E$129,2,FALSE)-宠物成长!$E$30)*宠物成长!$C$2/宠物成长!$C$3*(1+宠物成长!$H$7+VLOOKUP(宠物属性点预览!X$2,宠物成长!$O$5:$R$10,2,FALSE))</f>
        <v>927.1</v>
      </c>
      <c r="Y16" s="9">
        <f>(宠物成长!$C$1+宠物成长!$C$2/宠物成长!$C$3*宠物成长!$E$30)*(1+宠物成长!$I$7+VLOOKUP(宠物属性点预览!Y$2,宠物成长!$O$5:$R$10,3,FALSE))+(VLOOKUP(宠物属性点预览!$B16,宠物成长!$D$30:$E$129,2,FALSE)-宠物成长!$E$30)*宠物成长!$C$2/宠物成长!$C$3*(1+宠物成长!$H$7+VLOOKUP(宠物属性点预览!Y$2,宠物成长!$O$5:$R$10,2,FALSE))</f>
        <v>1374.1000000000001</v>
      </c>
      <c r="Z16" s="9">
        <f>(宠物成长!$C$1+宠物成长!$C$2/宠物成长!$C$3*宠物成长!$E$30)*(1+宠物成长!$I$7+VLOOKUP(宠物属性点预览!Z$2,宠物成长!$O$5:$R$10,3,FALSE))+(VLOOKUP(宠物属性点预览!$B16,宠物成长!$D$30:$E$129,2,FALSE)-宠物成长!$E$30)*宠物成长!$C$2/宠物成长!$C$3*(1+宠物成长!$H$7+VLOOKUP(宠物属性点预览!Z$2,宠物成长!$O$5:$R$10,2,FALSE))</f>
        <v>1821.1000000000001</v>
      </c>
      <c r="AA16" s="1">
        <f t="shared" si="1"/>
        <v>0</v>
      </c>
    </row>
    <row r="17" spans="2:27" x14ac:dyDescent="0.15">
      <c r="B17" s="1">
        <v>15</v>
      </c>
      <c r="C17" s="9">
        <f>(宠物成长!$C$1+宠物成长!$C$2/宠物成长!$C$3*宠物成长!$E$30)*(1+VLOOKUP(宠物属性点预览!C$2,宠物成长!$F$4:$K$25,4,FALSE)+0)+(VLOOKUP(宠物属性点预览!$B17,宠物成长!$D$30:$E$129,2,FALSE)-宠物成长!$E$30)*宠物成长!$C$2/宠物成长!$C$3*(1+VLOOKUP(宠物属性点预览!C$2,宠物成长!$F$5:$K$25,3,FALSE)+0)</f>
        <v>111</v>
      </c>
      <c r="D17" s="9">
        <f>(宠物成长!$C$1+宠物成长!$C$2/宠物成长!$C$3*宠物成长!$E$30)*(1+VLOOKUP(宠物属性点预览!D$2,宠物成长!$F$4:$K$25,4,FALSE)+0)+(VLOOKUP(宠物属性点预览!$B17,宠物成长!$D$30:$E$129,2,FALSE)-宠物成长!$E$30)*宠物成长!$C$2/宠物成长!$C$3*(1+VLOOKUP(宠物属性点预览!D$2,宠物成长!$F$5:$K$25,3,FALSE)+0)</f>
        <v>157.5</v>
      </c>
      <c r="E17" s="9">
        <f>(宠物成长!$C$1+宠物成长!$C$2/宠物成长!$C$3*宠物成长!$E$30)*(1+VLOOKUP(宠物属性点预览!E$2,宠物成长!$F$4:$K$25,4,FALSE)+0)+(VLOOKUP(宠物属性点预览!$B17,宠物成长!$D$30:$E$129,2,FALSE)-宠物成长!$E$30)*宠物成长!$C$2/宠物成长!$C$3*(1+VLOOKUP(宠物属性点预览!E$2,宠物成长!$F$5:$K$25,3,FALSE)+0)</f>
        <v>222.6</v>
      </c>
      <c r="F17" s="83">
        <f>(宠物成长!$C$1+宠物成长!$C$2/宠物成长!$C$3*宠物成长!$E$30)*(1+VLOOKUP(宠物属性点预览!F$2,宠物成长!$F$4:$K$25,4,FALSE)+0)+(VLOOKUP(宠物属性点预览!$B17,宠物成长!$D$30:$E$129,2,FALSE)-宠物成长!$E$30)*宠物成长!$C$2/宠物成长!$C$3*(1+VLOOKUP(宠物属性点预览!F$2,宠物成长!$F$5:$K$25,3,FALSE)+0)</f>
        <v>309.40000000000003</v>
      </c>
      <c r="G17" s="9">
        <f>(宠物成长!$C$1+宠物成长!$C$2/宠物成长!$C$3*宠物成长!$E$30)*(1+VLOOKUP(宠物属性点预览!G$2,宠物成长!$F$4:$K$25,4,FALSE)+0)+(VLOOKUP(宠物属性点预览!$B17,宠物成长!$D$30:$E$129,2,FALSE)-宠物成长!$E$30)*宠物成长!$C$2/宠物成长!$C$3*(1+VLOOKUP(宠物属性点预览!G$2,宠物成长!$F$5:$K$25,3,FALSE)+0)</f>
        <v>415.59999999999997</v>
      </c>
      <c r="H17" s="9">
        <f>(宠物成长!$C$1+宠物成长!$C$2/宠物成长!$C$3*宠物成长!$E$30)*(1+VLOOKUP(宠物属性点预览!H$2,宠物成长!$F$4:$K$25,4,FALSE)+0)+(VLOOKUP(宠物属性点预览!$B17,宠物成长!$D$30:$E$129,2,FALSE)-宠物成长!$E$30)*宠物成长!$C$2/宠物成长!$C$3*(1+VLOOKUP(宠物属性点预览!H$2,宠物成长!$F$5:$K$25,3,FALSE)+0)</f>
        <v>571.4</v>
      </c>
      <c r="I17" s="9">
        <f>(宠物成长!$C$1+宠物成长!$C$2/宠物成长!$C$3*宠物成长!$E$30)*(1+VLOOKUP(宠物属性点预览!I$2,宠物成长!$F$4:$K$25,4,FALSE)+0)+(VLOOKUP(宠物属性点预览!$B17,宠物成长!$D$30:$E$129,2,FALSE)-宠物成长!$E$30)*宠物成长!$C$2/宠物成长!$C$3*(1+VLOOKUP(宠物属性点预览!I$2,宠物成长!$F$5:$K$25,3,FALSE)+0)</f>
        <v>783</v>
      </c>
      <c r="J17" s="9">
        <f>(宠物成长!$C$1+宠物成长!$C$2/宠物成长!$C$3*宠物成长!$E$30)*(1+VLOOKUP(宠物属性点预览!J$2,宠物成长!$F$4:$K$25,4,FALSE)+0)+(VLOOKUP(宠物属性点预览!$B17,宠物成长!$D$30:$E$129,2,FALSE)-宠物成长!$E$30)*宠物成长!$C$2/宠物成长!$C$3*(1+VLOOKUP(宠物属性点预览!J$2,宠物成长!$F$5:$K$25,3,FALSE)+0)</f>
        <v>1019.6296296296297</v>
      </c>
      <c r="K17" s="9">
        <f>(宠物成长!$C$1+宠物成长!$C$2/宠物成长!$C$3*宠物成长!$E$30)*(1+VLOOKUP(宠物属性点预览!K$2,宠物成长!$F$4:$K$25,4,FALSE)+0)+(VLOOKUP(宠物属性点预览!$B17,宠物成长!$D$30:$E$129,2,FALSE)-宠物成长!$E$30)*宠物成长!$C$2/宠物成长!$C$3*(1+VLOOKUP(宠物属性点预览!K$2,宠物成长!$F$5:$K$25,3,FALSE)+0)</f>
        <v>1259.1296296296296</v>
      </c>
      <c r="L17" s="9">
        <f>(宠物成长!$C$1+宠物成长!$C$2/宠物成长!$C$3*宠物成长!$E$30)*(1+VLOOKUP(宠物属性点预览!L$2,宠物成长!$F$4:$K$25,4,FALSE)+0)+(VLOOKUP(宠物属性点预览!$B17,宠物成长!$D$30:$E$129,2,FALSE)-宠物成长!$E$30)*宠物成长!$C$2/宠物成长!$C$3*(1+VLOOKUP(宠物属性点预览!L$2,宠物成长!$F$5:$K$25,3,FALSE)+0)</f>
        <v>1500.7242242242241</v>
      </c>
      <c r="M17" s="9">
        <f>(宠物成长!$C$1+宠物成长!$C$2/宠物成长!$C$3*宠物成长!$E$30)*(1+VLOOKUP(宠物属性点预览!M$2,宠物成长!$F$4:$K$25,4,FALSE)+0)+(VLOOKUP(宠物属性点预览!$B17,宠物成长!$D$30:$E$129,2,FALSE)-宠物成长!$E$30)*宠物成长!$C$2/宠物成长!$C$3*(1+VLOOKUP(宠物属性点预览!M$2,宠物成长!$F$5:$K$25,3,FALSE)+0)</f>
        <v>1743.9147004147003</v>
      </c>
      <c r="N17" s="9">
        <f>(宠物成长!$C$1+宠物成长!$C$2/宠物成长!$C$3*宠物成长!$E$30)*(1+VLOOKUP(宠物属性点预览!N$2,宠物成长!$F$4:$K$25,4,FALSE)+0)+(VLOOKUP(宠物属性点预览!$B17,宠物成长!$D$30:$E$129,2,FALSE)-宠物成长!$E$30)*宠物成长!$C$2/宠物成长!$C$3*(1+VLOOKUP(宠物属性点预览!N$2,宠物成长!$F$5:$K$25,3,FALSE)+0)</f>
        <v>1988.3615089253385</v>
      </c>
      <c r="O17" s="9">
        <f>(宠物成长!$C$1+宠物成长!$C$2/宠物成长!$C$3*宠物成长!$E$30)*(1+VLOOKUP(宠物属性点预览!O$2,宠物成长!$F$4:$K$25,4,FALSE)+0)+(VLOOKUP(宠物属性点预览!$B17,宠物成长!$D$30:$E$129,2,FALSE)-宠物成长!$E$30)*宠物成长!$C$2/宠物成长!$C$3*(1+VLOOKUP(宠物属性点预览!O$2,宠物成长!$F$5:$K$25,3,FALSE)+0)</f>
        <v>2233.8230473868766</v>
      </c>
      <c r="P17" s="9">
        <f>(宠物成长!$C$1+宠物成长!$C$2/宠物成长!$C$3*宠物成长!$E$30)*(1+VLOOKUP(宠物属性点预览!P$2,宠物成长!$F$4:$K$25,4,FALSE)+0)+(VLOOKUP(宠物属性点预览!$B17,宠物成长!$D$30:$E$129,2,FALSE)-宠物成长!$E$30)*宠物成长!$C$2/宠物成长!$C$3*(1+VLOOKUP(宠物属性点预览!P$2,宠物成长!$F$5:$K$25,3,FALSE)+0)</f>
        <v>2480.1212930009119</v>
      </c>
      <c r="Q17" s="9">
        <f>(宠物成长!$C$1+宠物成长!$C$2/宠物成长!$C$3*宠物成长!$E$30)*(1+VLOOKUP(宠物属性点预览!Q$2,宠物成长!$F$4:$K$25,4,FALSE)+0)+(VLOOKUP(宠物属性点预览!$B17,宠物成长!$D$30:$E$129,2,FALSE)-宠物成长!$E$30)*宠物成长!$C$2/宠物成长!$C$3*(1+VLOOKUP(宠物属性点预览!Q$2,宠物成长!$F$5:$K$25,3,FALSE)+0)</f>
        <v>2727.1212930009119</v>
      </c>
      <c r="R17" s="9">
        <f>(宠物成长!$C$1+宠物成长!$C$2/宠物成长!$C$3*宠物成长!$E$30)*(1+VLOOKUP(宠物属性点预览!R$2,宠物成长!$F$4:$K$25,4,FALSE)+0)+(VLOOKUP(宠物属性点预览!$B17,宠物成长!$D$30:$E$129,2,FALSE)-宠物成长!$E$30)*宠物成长!$C$2/宠物成长!$C$3*(1+VLOOKUP(宠物属性点预览!R$2,宠物成长!$F$5:$K$25,3,FALSE)+0)</f>
        <v>2974.718307926285</v>
      </c>
      <c r="S17" s="9">
        <f>(宠物成长!$C$1+宠物成长!$C$2/宠物成长!$C$3*宠物成长!$E$30)*(1+VLOOKUP(宠物属性点预览!S$2,宠物成长!$F$4:$K$25,4,FALSE)+0)+(VLOOKUP(宠物属性点预览!$B17,宠物成长!$D$30:$E$129,2,FALSE)-宠物成长!$E$30)*宠物成长!$C$2/宠物成长!$C$3*(1+VLOOKUP(宠物属性点预览!S$2,宠物成长!$F$5:$K$25,3,FALSE)+0)</f>
        <v>3222.8294190373958</v>
      </c>
      <c r="T17" s="83">
        <f t="shared" si="3"/>
        <v>222.6</v>
      </c>
      <c r="U17" s="9">
        <f>F17</f>
        <v>309.40000000000003</v>
      </c>
      <c r="V17" s="9">
        <f>(宠物成长!$C$1+宠物成长!$C$2/宠物成长!$C$3*宠物成长!$E$30)*(1+宠物成长!$I$8+VLOOKUP(宠物属性点预览!V$2,宠物成长!$O$5:$R$10,3,FALSE))+(VLOOKUP(宠物属性点预览!$B17,宠物成长!$D$30:$E$129,2,FALSE)-宠物成长!$E$30)*宠物成长!$C$2/宠物成长!$C$3*(1+宠物成长!$H$8+VLOOKUP(宠物属性点预览!V$2,宠物成长!$O$5:$R$10,2,FALSE))</f>
        <v>309.40000000000003</v>
      </c>
      <c r="W17" s="9">
        <f>(宠物成长!$C$1+宠物成长!$C$2/宠物成长!$C$3*宠物成长!$E$30)*(1+宠物成长!$I$8+VLOOKUP(宠物属性点预览!W$2,宠物成长!$O$5:$R$10,3,FALSE))+(VLOOKUP(宠物属性点预览!$B17,宠物成长!$D$30:$E$129,2,FALSE)-宠物成长!$E$30)*宠物成长!$C$2/宠物成长!$C$3*(1+宠物成长!$H$8+VLOOKUP(宠物属性点预览!W$2,宠物成长!$O$5:$R$10,2,FALSE))</f>
        <v>633.4</v>
      </c>
      <c r="X17" s="9">
        <f>(宠物成长!$C$1+宠物成长!$C$2/宠物成长!$C$3*宠物成长!$E$30)*(1+宠物成长!$I$8+VLOOKUP(宠物属性点预览!X$2,宠物成长!$O$5:$R$10,3,FALSE))+(VLOOKUP(宠物属性点预览!$B17,宠物成长!$D$30:$E$129,2,FALSE)-宠物成长!$E$30)*宠物成长!$C$2/宠物成长!$C$3*(1+宠物成长!$H$8+VLOOKUP(宠物属性点预览!X$2,宠物成长!$O$5:$R$10,2,FALSE))</f>
        <v>1019.4</v>
      </c>
      <c r="Y17" s="9">
        <f>(宠物成长!$C$1+宠物成长!$C$2/宠物成长!$C$3*宠物成长!$E$30)*(1+宠物成长!$I$8+VLOOKUP(宠物属性点预览!Y$2,宠物成长!$O$5:$R$10,3,FALSE))+(VLOOKUP(宠物属性点预览!$B17,宠物成长!$D$30:$E$129,2,FALSE)-宠物成长!$E$30)*宠物成长!$C$2/宠物成长!$C$3*(1+宠物成长!$H$8+VLOOKUP(宠物属性点预览!Y$2,宠物成长!$O$5:$R$10,2,FALSE))</f>
        <v>1467.3999999999999</v>
      </c>
      <c r="Z17" s="9">
        <f>(宠物成长!$C$1+宠物成长!$C$2/宠物成长!$C$3*宠物成长!$E$30)*(1+宠物成长!$I$8+VLOOKUP(宠物属性点预览!Z$2,宠物成长!$O$5:$R$10,3,FALSE))+(VLOOKUP(宠物属性点预览!$B17,宠物成长!$D$30:$E$129,2,FALSE)-宠物成长!$E$30)*宠物成长!$C$2/宠物成长!$C$3*(1+宠物成长!$H$8+VLOOKUP(宠物属性点预览!Z$2,宠物成长!$O$5:$R$10,2,FALSE))</f>
        <v>1915.3999999999999</v>
      </c>
      <c r="AA17" s="1">
        <f t="shared" si="1"/>
        <v>1.3899371069182391</v>
      </c>
    </row>
    <row r="18" spans="2:27" x14ac:dyDescent="0.15">
      <c r="B18" s="1">
        <v>16</v>
      </c>
      <c r="C18" s="9">
        <f>(宠物成长!$C$1+宠物成长!$C$2/宠物成长!$C$3*宠物成长!$E$30)*(1+VLOOKUP(宠物属性点预览!C$2,宠物成长!$F$4:$K$25,4,FALSE)+0)+(VLOOKUP(宠物属性点预览!$B18,宠物成长!$D$30:$E$129,2,FALSE)-宠物成长!$E$30)*宠物成长!$C$2/宠物成长!$C$3*(1+VLOOKUP(宠物属性点预览!C$2,宠物成长!$F$5:$K$25,3,FALSE)+0)</f>
        <v>114.5</v>
      </c>
      <c r="D18" s="9">
        <f>(宠物成长!$C$1+宠物成长!$C$2/宠物成长!$C$3*宠物成长!$E$30)*(1+VLOOKUP(宠物属性点预览!D$2,宠物成长!$F$4:$K$25,4,FALSE)+0)+(VLOOKUP(宠物属性点预览!$B18,宠物成长!$D$30:$E$129,2,FALSE)-宠物成长!$E$30)*宠物成长!$C$2/宠物成长!$C$3*(1+VLOOKUP(宠物属性点预览!D$2,宠物成长!$F$5:$K$25,3,FALSE)+0)</f>
        <v>161</v>
      </c>
      <c r="E18" s="9">
        <f>(宠物成长!$C$1+宠物成长!$C$2/宠物成长!$C$3*宠物成长!$E$30)*(1+VLOOKUP(宠物属性点预览!E$2,宠物成长!$F$4:$K$25,4,FALSE)+0)+(VLOOKUP(宠物属性点预览!$B18,宠物成长!$D$30:$E$129,2,FALSE)-宠物成长!$E$30)*宠物成长!$C$2/宠物成长!$C$3*(1+VLOOKUP(宠物属性点预览!E$2,宠物成长!$F$5:$K$25,3,FALSE)+0)</f>
        <v>226.1</v>
      </c>
      <c r="F18" s="9">
        <f>(宠物成长!$C$1+宠物成长!$C$2/宠物成长!$C$3*宠物成长!$E$30)*(1+VLOOKUP(宠物属性点预览!F$2,宠物成长!$F$4:$K$25,4,FALSE)+0)+(VLOOKUP(宠物属性点预览!$B18,宠物成长!$D$30:$E$129,2,FALSE)-宠物成长!$E$30)*宠物成长!$C$2/宠物成长!$C$3*(1+VLOOKUP(宠物属性点预览!F$2,宠物成长!$F$5:$K$25,3,FALSE)+0)</f>
        <v>312.90000000000003</v>
      </c>
      <c r="G18" s="9">
        <f>(宠物成长!$C$1+宠物成长!$C$2/宠物成长!$C$3*宠物成长!$E$30)*(1+VLOOKUP(宠物属性点预览!G$2,宠物成长!$F$4:$K$25,4,FALSE)+0)+(VLOOKUP(宠物属性点预览!$B18,宠物成长!$D$30:$E$129,2,FALSE)-宠物成长!$E$30)*宠物成长!$C$2/宠物成长!$C$3*(1+VLOOKUP(宠物属性点预览!G$2,宠物成长!$F$5:$K$25,3,FALSE)+0)</f>
        <v>419.59999999999997</v>
      </c>
      <c r="H18" s="9">
        <f>(宠物成长!$C$1+宠物成长!$C$2/宠物成长!$C$3*宠物成长!$E$30)*(1+VLOOKUP(宠物属性点预览!H$2,宠物成长!$F$4:$K$25,4,FALSE)+0)+(VLOOKUP(宠物属性点预览!$B18,宠物成长!$D$30:$E$129,2,FALSE)-宠物成长!$E$30)*宠物成长!$C$2/宠物成长!$C$3*(1+VLOOKUP(宠物属性点预览!H$2,宠物成长!$F$5:$K$25,3,FALSE)+0)</f>
        <v>575.9</v>
      </c>
      <c r="I18" s="9">
        <f>(宠物成长!$C$1+宠物成长!$C$2/宠物成长!$C$3*宠物成长!$E$30)*(1+VLOOKUP(宠物属性点预览!I$2,宠物成长!$F$4:$K$25,4,FALSE)+0)+(VLOOKUP(宠物属性点预览!$B18,宠物成长!$D$30:$E$129,2,FALSE)-宠物成长!$E$30)*宠物成长!$C$2/宠物成长!$C$3*(1+VLOOKUP(宠物属性点预览!I$2,宠物成长!$F$5:$K$25,3,FALSE)+0)</f>
        <v>788</v>
      </c>
      <c r="J18" s="9">
        <f>(宠物成长!$C$1+宠物成长!$C$2/宠物成长!$C$3*宠物成长!$E$30)*(1+VLOOKUP(宠物属性点预览!J$2,宠物成长!$F$4:$K$25,4,FALSE)+0)+(VLOOKUP(宠物属性点预览!$B18,宠物成长!$D$30:$E$129,2,FALSE)-宠物成长!$E$30)*宠物成长!$C$2/宠物成长!$C$3*(1+VLOOKUP(宠物属性点预览!J$2,宠物成长!$F$5:$K$25,3,FALSE)+0)</f>
        <v>1025.1296296296296</v>
      </c>
      <c r="K18" s="9">
        <f>(宠物成长!$C$1+宠物成长!$C$2/宠物成长!$C$3*宠物成长!$E$30)*(1+VLOOKUP(宠物属性点预览!K$2,宠物成长!$F$4:$K$25,4,FALSE)+0)+(VLOOKUP(宠物属性点预览!$B18,宠物成长!$D$30:$E$129,2,FALSE)-宠物成长!$E$30)*宠物成长!$C$2/宠物成长!$C$3*(1+VLOOKUP(宠物属性点预览!K$2,宠物成长!$F$5:$K$25,3,FALSE)+0)</f>
        <v>1265.1296296296296</v>
      </c>
      <c r="L18" s="9">
        <f>(宠物成长!$C$1+宠物成长!$C$2/宠物成长!$C$3*宠物成长!$E$30)*(1+VLOOKUP(宠物属性点预览!L$2,宠物成长!$F$4:$K$25,4,FALSE)+0)+(VLOOKUP(宠物属性点预览!$B18,宠物成长!$D$30:$E$129,2,FALSE)-宠物成长!$E$30)*宠物成长!$C$2/宠物成长!$C$3*(1+VLOOKUP(宠物属性点预览!L$2,宠物成长!$F$5:$K$25,3,FALSE)+0)</f>
        <v>1507.2242242242241</v>
      </c>
      <c r="M18" s="9">
        <f>(宠物成长!$C$1+宠物成长!$C$2/宠物成长!$C$3*宠物成长!$E$30)*(1+VLOOKUP(宠物属性点预览!M$2,宠物成长!$F$4:$K$25,4,FALSE)+0)+(VLOOKUP(宠物属性点预览!$B18,宠物成长!$D$30:$E$129,2,FALSE)-宠物成长!$E$30)*宠物成长!$C$2/宠物成长!$C$3*(1+VLOOKUP(宠物属性点预览!M$2,宠物成长!$F$5:$K$25,3,FALSE)+0)</f>
        <v>1750.9147004147003</v>
      </c>
      <c r="N18" s="9">
        <f>(宠物成长!$C$1+宠物成长!$C$2/宠物成长!$C$3*宠物成长!$E$30)*(1+VLOOKUP(宠物属性点预览!N$2,宠物成长!$F$4:$K$25,4,FALSE)+0)+(VLOOKUP(宠物属性点预览!$B18,宠物成长!$D$30:$E$129,2,FALSE)-宠物成长!$E$30)*宠物成长!$C$2/宠物成长!$C$3*(1+VLOOKUP(宠物属性点预览!N$2,宠物成长!$F$5:$K$25,3,FALSE)+0)</f>
        <v>1995.8615089253385</v>
      </c>
      <c r="O18" s="9">
        <f>(宠物成长!$C$1+宠物成长!$C$2/宠物成长!$C$3*宠物成长!$E$30)*(1+VLOOKUP(宠物属性点预览!O$2,宠物成长!$F$4:$K$25,4,FALSE)+0)+(VLOOKUP(宠物属性点预览!$B18,宠物成长!$D$30:$E$129,2,FALSE)-宠物成长!$E$30)*宠物成长!$C$2/宠物成长!$C$3*(1+VLOOKUP(宠物属性点预览!O$2,宠物成长!$F$5:$K$25,3,FALSE)+0)</f>
        <v>2241.8230473868766</v>
      </c>
      <c r="P18" s="9">
        <f>(宠物成长!$C$1+宠物成长!$C$2/宠物成长!$C$3*宠物成长!$E$30)*(1+VLOOKUP(宠物属性点预览!P$2,宠物成长!$F$4:$K$25,4,FALSE)+0)+(VLOOKUP(宠物属性点预览!$B18,宠物成长!$D$30:$E$129,2,FALSE)-宠物成长!$E$30)*宠物成长!$C$2/宠物成长!$C$3*(1+VLOOKUP(宠物属性点预览!P$2,宠物成长!$F$5:$K$25,3,FALSE)+0)</f>
        <v>2488.6212930009119</v>
      </c>
      <c r="Q18" s="9">
        <f>(宠物成长!$C$1+宠物成长!$C$2/宠物成长!$C$3*宠物成长!$E$30)*(1+VLOOKUP(宠物属性点预览!Q$2,宠物成长!$F$4:$K$25,4,FALSE)+0)+(VLOOKUP(宠物属性点预览!$B18,宠物成长!$D$30:$E$129,2,FALSE)-宠物成长!$E$30)*宠物成长!$C$2/宠物成长!$C$3*(1+VLOOKUP(宠物属性点预览!Q$2,宠物成长!$F$5:$K$25,3,FALSE)+0)</f>
        <v>2736.1212930009119</v>
      </c>
      <c r="R18" s="9">
        <f>(宠物成长!$C$1+宠物成长!$C$2/宠物成长!$C$3*宠物成长!$E$30)*(1+VLOOKUP(宠物属性点预览!R$2,宠物成长!$F$4:$K$25,4,FALSE)+0)+(VLOOKUP(宠物属性点预览!$B18,宠物成长!$D$30:$E$129,2,FALSE)-宠物成长!$E$30)*宠物成长!$C$2/宠物成长!$C$3*(1+VLOOKUP(宠物属性点预览!R$2,宠物成长!$F$5:$K$25,3,FALSE)+0)</f>
        <v>2984.218307926285</v>
      </c>
      <c r="S18" s="9">
        <f>(宠物成长!$C$1+宠物成长!$C$2/宠物成长!$C$3*宠物成长!$E$30)*(1+VLOOKUP(宠物属性点预览!S$2,宠物成长!$F$4:$K$25,4,FALSE)+0)+(VLOOKUP(宠物属性点预览!$B18,宠物成长!$D$30:$E$129,2,FALSE)-宠物成长!$E$30)*宠物成长!$C$2/宠物成长!$C$3*(1+VLOOKUP(宠物属性点预览!S$2,宠物成长!$F$5:$K$25,3,FALSE)+0)</f>
        <v>3232.8294190373958</v>
      </c>
      <c r="T18" s="83">
        <f>F18</f>
        <v>312.90000000000003</v>
      </c>
      <c r="V18" s="9">
        <f>(宠物成长!$C$1+宠物成长!$C$2/宠物成长!$C$3*宠物成长!$E$30)*(1+宠物成长!$I$8+VLOOKUP(宠物属性点预览!V$2,宠物成长!$O$5:$R$10,3,FALSE))+(VLOOKUP(宠物属性点预览!$B18,宠物成长!$D$30:$E$129,2,FALSE)-宠物成长!$E$30)*宠物成长!$C$2/宠物成长!$C$3*(1+宠物成长!$H$8+VLOOKUP(宠物属性点预览!V$2,宠物成长!$O$5:$R$10,2,FALSE))</f>
        <v>312.90000000000003</v>
      </c>
      <c r="W18" s="9">
        <f>(宠物成长!$C$1+宠物成长!$C$2/宠物成长!$C$3*宠物成长!$E$30)*(1+宠物成长!$I$8+VLOOKUP(宠物属性点预览!W$2,宠物成长!$O$5:$R$10,3,FALSE))+(VLOOKUP(宠物属性点预览!$B18,宠物成长!$D$30:$E$129,2,FALSE)-宠物成长!$E$30)*宠物成长!$C$2/宠物成长!$C$3*(1+宠物成长!$H$8+VLOOKUP(宠物属性点预览!W$2,宠物成长!$O$5:$R$10,2,FALSE))</f>
        <v>637.9</v>
      </c>
      <c r="X18" s="9">
        <f>(宠物成长!$C$1+宠物成长!$C$2/宠物成长!$C$3*宠物成长!$E$30)*(1+宠物成长!$I$8+VLOOKUP(宠物属性点预览!X$2,宠物成长!$O$5:$R$10,3,FALSE))+(VLOOKUP(宠物属性点预览!$B18,宠物成长!$D$30:$E$129,2,FALSE)-宠物成长!$E$30)*宠物成长!$C$2/宠物成长!$C$3*(1+宠物成长!$H$8+VLOOKUP(宠物属性点预览!X$2,宠物成长!$O$5:$R$10,2,FALSE))</f>
        <v>1024.9000000000001</v>
      </c>
      <c r="Y18" s="9">
        <f>(宠物成长!$C$1+宠物成长!$C$2/宠物成长!$C$3*宠物成长!$E$30)*(1+宠物成长!$I$8+VLOOKUP(宠物属性点预览!Y$2,宠物成长!$O$5:$R$10,3,FALSE))+(VLOOKUP(宠物属性点预览!$B18,宠物成长!$D$30:$E$129,2,FALSE)-宠物成长!$E$30)*宠物成长!$C$2/宠物成长!$C$3*(1+宠物成长!$H$8+VLOOKUP(宠物属性点预览!Y$2,宠物成长!$O$5:$R$10,2,FALSE))</f>
        <v>1473.8999999999999</v>
      </c>
      <c r="Z18" s="9">
        <f>(宠物成长!$C$1+宠物成长!$C$2/宠物成长!$C$3*宠物成长!$E$30)*(1+宠物成长!$I$8+VLOOKUP(宠物属性点预览!Z$2,宠物成长!$O$5:$R$10,3,FALSE))+(VLOOKUP(宠物属性点预览!$B18,宠物成长!$D$30:$E$129,2,FALSE)-宠物成长!$E$30)*宠物成长!$C$2/宠物成长!$C$3*(1+宠物成长!$H$8+VLOOKUP(宠物属性点预览!Z$2,宠物成长!$O$5:$R$10,2,FALSE))</f>
        <v>1922.8999999999999</v>
      </c>
      <c r="AA18" s="1">
        <f t="shared" si="1"/>
        <v>0</v>
      </c>
    </row>
    <row r="19" spans="2:27" x14ac:dyDescent="0.15">
      <c r="B19" s="1">
        <v>17</v>
      </c>
      <c r="C19" s="9">
        <f>(宠物成长!$C$1+宠物成长!$C$2/宠物成长!$C$3*宠物成长!$E$30)*(1+VLOOKUP(宠物属性点预览!C$2,宠物成长!$F$4:$K$25,4,FALSE)+0)+(VLOOKUP(宠物属性点预览!$B19,宠物成长!$D$30:$E$129,2,FALSE)-宠物成长!$E$30)*宠物成长!$C$2/宠物成长!$C$3*(1+VLOOKUP(宠物属性点预览!C$2,宠物成长!$F$5:$K$25,3,FALSE)+0)</f>
        <v>118</v>
      </c>
      <c r="D19" s="9">
        <f>(宠物成长!$C$1+宠物成长!$C$2/宠物成长!$C$3*宠物成长!$E$30)*(1+VLOOKUP(宠物属性点预览!D$2,宠物成长!$F$4:$K$25,4,FALSE)+0)+(VLOOKUP(宠物属性点预览!$B19,宠物成长!$D$30:$E$129,2,FALSE)-宠物成长!$E$30)*宠物成长!$C$2/宠物成长!$C$3*(1+VLOOKUP(宠物属性点预览!D$2,宠物成长!$F$5:$K$25,3,FALSE)+0)</f>
        <v>164.5</v>
      </c>
      <c r="E19" s="9">
        <f>(宠物成长!$C$1+宠物成长!$C$2/宠物成长!$C$3*宠物成长!$E$30)*(1+VLOOKUP(宠物属性点预览!E$2,宠物成长!$F$4:$K$25,4,FALSE)+0)+(VLOOKUP(宠物属性点预览!$B19,宠物成长!$D$30:$E$129,2,FALSE)-宠物成长!$E$30)*宠物成长!$C$2/宠物成长!$C$3*(1+VLOOKUP(宠物属性点预览!E$2,宠物成长!$F$5:$K$25,3,FALSE)+0)</f>
        <v>229.6</v>
      </c>
      <c r="F19" s="9">
        <f>(宠物成长!$C$1+宠物成长!$C$2/宠物成长!$C$3*宠物成长!$E$30)*(1+VLOOKUP(宠物属性点预览!F$2,宠物成长!$F$4:$K$25,4,FALSE)+0)+(VLOOKUP(宠物属性点预览!$B19,宠物成长!$D$30:$E$129,2,FALSE)-宠物成长!$E$30)*宠物成长!$C$2/宠物成长!$C$3*(1+VLOOKUP(宠物属性点预览!F$2,宠物成长!$F$5:$K$25,3,FALSE)+0)</f>
        <v>316.40000000000003</v>
      </c>
      <c r="G19" s="9">
        <f>(宠物成长!$C$1+宠物成长!$C$2/宠物成长!$C$3*宠物成长!$E$30)*(1+VLOOKUP(宠物属性点预览!G$2,宠物成长!$F$4:$K$25,4,FALSE)+0)+(VLOOKUP(宠物属性点预览!$B19,宠物成长!$D$30:$E$129,2,FALSE)-宠物成长!$E$30)*宠物成长!$C$2/宠物成长!$C$3*(1+VLOOKUP(宠物属性点预览!G$2,宠物成长!$F$5:$K$25,3,FALSE)+0)</f>
        <v>423.59999999999997</v>
      </c>
      <c r="H19" s="9">
        <f>(宠物成长!$C$1+宠物成长!$C$2/宠物成长!$C$3*宠物成长!$E$30)*(1+VLOOKUP(宠物属性点预览!H$2,宠物成长!$F$4:$K$25,4,FALSE)+0)+(VLOOKUP(宠物属性点预览!$B19,宠物成长!$D$30:$E$129,2,FALSE)-宠物成长!$E$30)*宠物成长!$C$2/宠物成长!$C$3*(1+VLOOKUP(宠物属性点预览!H$2,宠物成长!$F$5:$K$25,3,FALSE)+0)</f>
        <v>580.4</v>
      </c>
      <c r="I19" s="9">
        <f>(宠物成长!$C$1+宠物成长!$C$2/宠物成长!$C$3*宠物成长!$E$30)*(1+VLOOKUP(宠物属性点预览!I$2,宠物成长!$F$4:$K$25,4,FALSE)+0)+(VLOOKUP(宠物属性点预览!$B19,宠物成长!$D$30:$E$129,2,FALSE)-宠物成长!$E$30)*宠物成长!$C$2/宠物成长!$C$3*(1+VLOOKUP(宠物属性点预览!I$2,宠物成长!$F$5:$K$25,3,FALSE)+0)</f>
        <v>793</v>
      </c>
      <c r="J19" s="9">
        <f>(宠物成长!$C$1+宠物成长!$C$2/宠物成长!$C$3*宠物成长!$E$30)*(1+VLOOKUP(宠物属性点预览!J$2,宠物成长!$F$4:$K$25,4,FALSE)+0)+(VLOOKUP(宠物属性点预览!$B19,宠物成长!$D$30:$E$129,2,FALSE)-宠物成长!$E$30)*宠物成长!$C$2/宠物成长!$C$3*(1+VLOOKUP(宠物属性点预览!J$2,宠物成长!$F$5:$K$25,3,FALSE)+0)</f>
        <v>1030.6296296296296</v>
      </c>
      <c r="K19" s="9">
        <f>(宠物成长!$C$1+宠物成长!$C$2/宠物成长!$C$3*宠物成长!$E$30)*(1+VLOOKUP(宠物属性点预览!K$2,宠物成长!$F$4:$K$25,4,FALSE)+0)+(VLOOKUP(宠物属性点预览!$B19,宠物成长!$D$30:$E$129,2,FALSE)-宠物成长!$E$30)*宠物成长!$C$2/宠物成长!$C$3*(1+VLOOKUP(宠物属性点预览!K$2,宠物成长!$F$5:$K$25,3,FALSE)+0)</f>
        <v>1271.1296296296296</v>
      </c>
      <c r="L19" s="9">
        <f>(宠物成长!$C$1+宠物成长!$C$2/宠物成长!$C$3*宠物成长!$E$30)*(1+VLOOKUP(宠物属性点预览!L$2,宠物成长!$F$4:$K$25,4,FALSE)+0)+(VLOOKUP(宠物属性点预览!$B19,宠物成长!$D$30:$E$129,2,FALSE)-宠物成长!$E$30)*宠物成长!$C$2/宠物成长!$C$3*(1+VLOOKUP(宠物属性点预览!L$2,宠物成长!$F$5:$K$25,3,FALSE)+0)</f>
        <v>1513.7242242242241</v>
      </c>
      <c r="M19" s="9">
        <f>(宠物成长!$C$1+宠物成长!$C$2/宠物成长!$C$3*宠物成长!$E$30)*(1+VLOOKUP(宠物属性点预览!M$2,宠物成长!$F$4:$K$25,4,FALSE)+0)+(VLOOKUP(宠物属性点预览!$B19,宠物成长!$D$30:$E$129,2,FALSE)-宠物成长!$E$30)*宠物成长!$C$2/宠物成长!$C$3*(1+VLOOKUP(宠物属性点预览!M$2,宠物成长!$F$5:$K$25,3,FALSE)+0)</f>
        <v>1757.9147004147003</v>
      </c>
      <c r="N19" s="9">
        <f>(宠物成长!$C$1+宠物成长!$C$2/宠物成长!$C$3*宠物成长!$E$30)*(1+VLOOKUP(宠物属性点预览!N$2,宠物成长!$F$4:$K$25,4,FALSE)+0)+(VLOOKUP(宠物属性点预览!$B19,宠物成长!$D$30:$E$129,2,FALSE)-宠物成长!$E$30)*宠物成长!$C$2/宠物成长!$C$3*(1+VLOOKUP(宠物属性点预览!N$2,宠物成长!$F$5:$K$25,3,FALSE)+0)</f>
        <v>2003.3615089253385</v>
      </c>
      <c r="O19" s="9">
        <f>(宠物成长!$C$1+宠物成长!$C$2/宠物成长!$C$3*宠物成长!$E$30)*(1+VLOOKUP(宠物属性点预览!O$2,宠物成长!$F$4:$K$25,4,FALSE)+0)+(VLOOKUP(宠物属性点预览!$B19,宠物成长!$D$30:$E$129,2,FALSE)-宠物成长!$E$30)*宠物成长!$C$2/宠物成长!$C$3*(1+VLOOKUP(宠物属性点预览!O$2,宠物成长!$F$5:$K$25,3,FALSE)+0)</f>
        <v>2249.8230473868766</v>
      </c>
      <c r="P19" s="9">
        <f>(宠物成长!$C$1+宠物成长!$C$2/宠物成长!$C$3*宠物成长!$E$30)*(1+VLOOKUP(宠物属性点预览!P$2,宠物成长!$F$4:$K$25,4,FALSE)+0)+(VLOOKUP(宠物属性点预览!$B19,宠物成长!$D$30:$E$129,2,FALSE)-宠物成长!$E$30)*宠物成长!$C$2/宠物成长!$C$3*(1+VLOOKUP(宠物属性点预览!P$2,宠物成长!$F$5:$K$25,3,FALSE)+0)</f>
        <v>2497.1212930009119</v>
      </c>
      <c r="Q19" s="9">
        <f>(宠物成长!$C$1+宠物成长!$C$2/宠物成长!$C$3*宠物成长!$E$30)*(1+VLOOKUP(宠物属性点预览!Q$2,宠物成长!$F$4:$K$25,4,FALSE)+0)+(VLOOKUP(宠物属性点预览!$B19,宠物成长!$D$30:$E$129,2,FALSE)-宠物成长!$E$30)*宠物成长!$C$2/宠物成长!$C$3*(1+VLOOKUP(宠物属性点预览!Q$2,宠物成长!$F$5:$K$25,3,FALSE)+0)</f>
        <v>2745.1212930009119</v>
      </c>
      <c r="R19" s="9">
        <f>(宠物成长!$C$1+宠物成长!$C$2/宠物成长!$C$3*宠物成长!$E$30)*(1+VLOOKUP(宠物属性点预览!R$2,宠物成长!$F$4:$K$25,4,FALSE)+0)+(VLOOKUP(宠物属性点预览!$B19,宠物成长!$D$30:$E$129,2,FALSE)-宠物成长!$E$30)*宠物成长!$C$2/宠物成长!$C$3*(1+VLOOKUP(宠物属性点预览!R$2,宠物成长!$F$5:$K$25,3,FALSE)+0)</f>
        <v>2993.718307926285</v>
      </c>
      <c r="S19" s="9">
        <f>(宠物成长!$C$1+宠物成长!$C$2/宠物成长!$C$3*宠物成长!$E$30)*(1+VLOOKUP(宠物属性点预览!S$2,宠物成长!$F$4:$K$25,4,FALSE)+0)+(VLOOKUP(宠物属性点预览!$B19,宠物成长!$D$30:$E$129,2,FALSE)-宠物成长!$E$30)*宠物成长!$C$2/宠物成长!$C$3*(1+VLOOKUP(宠物属性点预览!S$2,宠物成长!$F$5:$K$25,3,FALSE)+0)</f>
        <v>3242.8294190373958</v>
      </c>
      <c r="T19" s="83">
        <f t="shared" ref="T19:T22" si="4">F19</f>
        <v>316.40000000000003</v>
      </c>
      <c r="V19" s="9">
        <f>(宠物成长!$C$1+宠物成长!$C$2/宠物成长!$C$3*宠物成长!$E$30)*(1+宠物成长!$I$8+VLOOKUP(宠物属性点预览!V$2,宠物成长!$O$5:$R$10,3,FALSE))+(VLOOKUP(宠物属性点预览!$B19,宠物成长!$D$30:$E$129,2,FALSE)-宠物成长!$E$30)*宠物成长!$C$2/宠物成长!$C$3*(1+宠物成长!$H$8+VLOOKUP(宠物属性点预览!V$2,宠物成长!$O$5:$R$10,2,FALSE))</f>
        <v>316.40000000000003</v>
      </c>
      <c r="W19" s="9">
        <f>(宠物成长!$C$1+宠物成长!$C$2/宠物成长!$C$3*宠物成长!$E$30)*(1+宠物成长!$I$8+VLOOKUP(宠物属性点预览!W$2,宠物成长!$O$5:$R$10,3,FALSE))+(VLOOKUP(宠物属性点预览!$B19,宠物成长!$D$30:$E$129,2,FALSE)-宠物成长!$E$30)*宠物成长!$C$2/宠物成长!$C$3*(1+宠物成长!$H$8+VLOOKUP(宠物属性点预览!W$2,宠物成长!$O$5:$R$10,2,FALSE))</f>
        <v>642.4</v>
      </c>
      <c r="X19" s="9">
        <f>(宠物成长!$C$1+宠物成长!$C$2/宠物成长!$C$3*宠物成长!$E$30)*(1+宠物成长!$I$8+VLOOKUP(宠物属性点预览!X$2,宠物成长!$O$5:$R$10,3,FALSE))+(VLOOKUP(宠物属性点预览!$B19,宠物成长!$D$30:$E$129,2,FALSE)-宠物成长!$E$30)*宠物成长!$C$2/宠物成长!$C$3*(1+宠物成长!$H$8+VLOOKUP(宠物属性点预览!X$2,宠物成长!$O$5:$R$10,2,FALSE))</f>
        <v>1030.4000000000001</v>
      </c>
      <c r="Y19" s="9">
        <f>(宠物成长!$C$1+宠物成长!$C$2/宠物成长!$C$3*宠物成长!$E$30)*(1+宠物成长!$I$8+VLOOKUP(宠物属性点预览!Y$2,宠物成长!$O$5:$R$10,3,FALSE))+(VLOOKUP(宠物属性点预览!$B19,宠物成长!$D$30:$E$129,2,FALSE)-宠物成长!$E$30)*宠物成长!$C$2/宠物成长!$C$3*(1+宠物成长!$H$8+VLOOKUP(宠物属性点预览!Y$2,宠物成长!$O$5:$R$10,2,FALSE))</f>
        <v>1480.3999999999999</v>
      </c>
      <c r="Z19" s="9">
        <f>(宠物成长!$C$1+宠物成长!$C$2/宠物成长!$C$3*宠物成长!$E$30)*(1+宠物成长!$I$8+VLOOKUP(宠物属性点预览!Z$2,宠物成长!$O$5:$R$10,3,FALSE))+(VLOOKUP(宠物属性点预览!$B19,宠物成长!$D$30:$E$129,2,FALSE)-宠物成长!$E$30)*宠物成长!$C$2/宠物成长!$C$3*(1+宠物成长!$H$8+VLOOKUP(宠物属性点预览!Z$2,宠物成长!$O$5:$R$10,2,FALSE))</f>
        <v>1930.3999999999999</v>
      </c>
      <c r="AA19" s="1">
        <f t="shared" si="1"/>
        <v>0</v>
      </c>
    </row>
    <row r="20" spans="2:27" x14ac:dyDescent="0.15">
      <c r="B20" s="1">
        <v>18</v>
      </c>
      <c r="C20" s="9">
        <f>(宠物成长!$C$1+宠物成长!$C$2/宠物成长!$C$3*宠物成长!$E$30)*(1+VLOOKUP(宠物属性点预览!C$2,宠物成长!$F$4:$K$25,4,FALSE)+0)+(VLOOKUP(宠物属性点预览!$B20,宠物成长!$D$30:$E$129,2,FALSE)-宠物成长!$E$30)*宠物成长!$C$2/宠物成长!$C$3*(1+VLOOKUP(宠物属性点预览!C$2,宠物成长!$F$5:$K$25,3,FALSE)+0)</f>
        <v>121.5</v>
      </c>
      <c r="D20" s="9">
        <f>(宠物成长!$C$1+宠物成长!$C$2/宠物成长!$C$3*宠物成长!$E$30)*(1+VLOOKUP(宠物属性点预览!D$2,宠物成长!$F$4:$K$25,4,FALSE)+0)+(VLOOKUP(宠物属性点预览!$B20,宠物成长!$D$30:$E$129,2,FALSE)-宠物成长!$E$30)*宠物成长!$C$2/宠物成长!$C$3*(1+VLOOKUP(宠物属性点预览!D$2,宠物成长!$F$5:$K$25,3,FALSE)+0)</f>
        <v>168</v>
      </c>
      <c r="E20" s="9">
        <f>(宠物成长!$C$1+宠物成长!$C$2/宠物成长!$C$3*宠物成长!$E$30)*(1+VLOOKUP(宠物属性点预览!E$2,宠物成长!$F$4:$K$25,4,FALSE)+0)+(VLOOKUP(宠物属性点预览!$B20,宠物成长!$D$30:$E$129,2,FALSE)-宠物成长!$E$30)*宠物成长!$C$2/宠物成长!$C$3*(1+VLOOKUP(宠物属性点预览!E$2,宠物成长!$F$5:$K$25,3,FALSE)+0)</f>
        <v>233.1</v>
      </c>
      <c r="F20" s="9">
        <f>(宠物成长!$C$1+宠物成长!$C$2/宠物成长!$C$3*宠物成长!$E$30)*(1+VLOOKUP(宠物属性点预览!F$2,宠物成长!$F$4:$K$25,4,FALSE)+0)+(VLOOKUP(宠物属性点预览!$B20,宠物成长!$D$30:$E$129,2,FALSE)-宠物成长!$E$30)*宠物成长!$C$2/宠物成长!$C$3*(1+VLOOKUP(宠物属性点预览!F$2,宠物成长!$F$5:$K$25,3,FALSE)+0)</f>
        <v>319.90000000000003</v>
      </c>
      <c r="G20" s="9">
        <f>(宠物成长!$C$1+宠物成长!$C$2/宠物成长!$C$3*宠物成长!$E$30)*(1+VLOOKUP(宠物属性点预览!G$2,宠物成长!$F$4:$K$25,4,FALSE)+0)+(VLOOKUP(宠物属性点预览!$B20,宠物成长!$D$30:$E$129,2,FALSE)-宠物成长!$E$30)*宠物成长!$C$2/宠物成长!$C$3*(1+VLOOKUP(宠物属性点预览!G$2,宠物成长!$F$5:$K$25,3,FALSE)+0)</f>
        <v>427.59999999999997</v>
      </c>
      <c r="H20" s="9">
        <f>(宠物成长!$C$1+宠物成长!$C$2/宠物成长!$C$3*宠物成长!$E$30)*(1+VLOOKUP(宠物属性点预览!H$2,宠物成长!$F$4:$K$25,4,FALSE)+0)+(VLOOKUP(宠物属性点预览!$B20,宠物成长!$D$30:$E$129,2,FALSE)-宠物成长!$E$30)*宠物成长!$C$2/宠物成长!$C$3*(1+VLOOKUP(宠物属性点预览!H$2,宠物成长!$F$5:$K$25,3,FALSE)+0)</f>
        <v>584.9</v>
      </c>
      <c r="I20" s="9">
        <f>(宠物成长!$C$1+宠物成长!$C$2/宠物成长!$C$3*宠物成长!$E$30)*(1+VLOOKUP(宠物属性点预览!I$2,宠物成长!$F$4:$K$25,4,FALSE)+0)+(VLOOKUP(宠物属性点预览!$B20,宠物成长!$D$30:$E$129,2,FALSE)-宠物成长!$E$30)*宠物成长!$C$2/宠物成长!$C$3*(1+VLOOKUP(宠物属性点预览!I$2,宠物成长!$F$5:$K$25,3,FALSE)+0)</f>
        <v>798</v>
      </c>
      <c r="J20" s="9">
        <f>(宠物成长!$C$1+宠物成长!$C$2/宠物成长!$C$3*宠物成长!$E$30)*(1+VLOOKUP(宠物属性点预览!J$2,宠物成长!$F$4:$K$25,4,FALSE)+0)+(VLOOKUP(宠物属性点预览!$B20,宠物成长!$D$30:$E$129,2,FALSE)-宠物成长!$E$30)*宠物成长!$C$2/宠物成长!$C$3*(1+VLOOKUP(宠物属性点预览!J$2,宠物成长!$F$5:$K$25,3,FALSE)+0)</f>
        <v>1036.1296296296296</v>
      </c>
      <c r="K20" s="9">
        <f>(宠物成长!$C$1+宠物成长!$C$2/宠物成长!$C$3*宠物成长!$E$30)*(1+VLOOKUP(宠物属性点预览!K$2,宠物成长!$F$4:$K$25,4,FALSE)+0)+(VLOOKUP(宠物属性点预览!$B20,宠物成长!$D$30:$E$129,2,FALSE)-宠物成长!$E$30)*宠物成长!$C$2/宠物成长!$C$3*(1+VLOOKUP(宠物属性点预览!K$2,宠物成长!$F$5:$K$25,3,FALSE)+0)</f>
        <v>1277.1296296296296</v>
      </c>
      <c r="L20" s="9">
        <f>(宠物成长!$C$1+宠物成长!$C$2/宠物成长!$C$3*宠物成长!$E$30)*(1+VLOOKUP(宠物属性点预览!L$2,宠物成长!$F$4:$K$25,4,FALSE)+0)+(VLOOKUP(宠物属性点预览!$B20,宠物成长!$D$30:$E$129,2,FALSE)-宠物成长!$E$30)*宠物成长!$C$2/宠物成长!$C$3*(1+VLOOKUP(宠物属性点预览!L$2,宠物成长!$F$5:$K$25,3,FALSE)+0)</f>
        <v>1520.2242242242241</v>
      </c>
      <c r="M20" s="9">
        <f>(宠物成长!$C$1+宠物成长!$C$2/宠物成长!$C$3*宠物成长!$E$30)*(1+VLOOKUP(宠物属性点预览!M$2,宠物成长!$F$4:$K$25,4,FALSE)+0)+(VLOOKUP(宠物属性点预览!$B20,宠物成长!$D$30:$E$129,2,FALSE)-宠物成长!$E$30)*宠物成长!$C$2/宠物成长!$C$3*(1+VLOOKUP(宠物属性点预览!M$2,宠物成长!$F$5:$K$25,3,FALSE)+0)</f>
        <v>1764.9147004147003</v>
      </c>
      <c r="N20" s="9">
        <f>(宠物成长!$C$1+宠物成长!$C$2/宠物成长!$C$3*宠物成长!$E$30)*(1+VLOOKUP(宠物属性点预览!N$2,宠物成长!$F$4:$K$25,4,FALSE)+0)+(VLOOKUP(宠物属性点预览!$B20,宠物成长!$D$30:$E$129,2,FALSE)-宠物成长!$E$30)*宠物成长!$C$2/宠物成长!$C$3*(1+VLOOKUP(宠物属性点预览!N$2,宠物成长!$F$5:$K$25,3,FALSE)+0)</f>
        <v>2010.8615089253385</v>
      </c>
      <c r="O20" s="9">
        <f>(宠物成长!$C$1+宠物成长!$C$2/宠物成长!$C$3*宠物成长!$E$30)*(1+VLOOKUP(宠物属性点预览!O$2,宠物成长!$F$4:$K$25,4,FALSE)+0)+(VLOOKUP(宠物属性点预览!$B20,宠物成长!$D$30:$E$129,2,FALSE)-宠物成长!$E$30)*宠物成长!$C$2/宠物成长!$C$3*(1+VLOOKUP(宠物属性点预览!O$2,宠物成长!$F$5:$K$25,3,FALSE)+0)</f>
        <v>2257.8230473868766</v>
      </c>
      <c r="P20" s="9">
        <f>(宠物成长!$C$1+宠物成长!$C$2/宠物成长!$C$3*宠物成长!$E$30)*(1+VLOOKUP(宠物属性点预览!P$2,宠物成长!$F$4:$K$25,4,FALSE)+0)+(VLOOKUP(宠物属性点预览!$B20,宠物成长!$D$30:$E$129,2,FALSE)-宠物成长!$E$30)*宠物成长!$C$2/宠物成长!$C$3*(1+VLOOKUP(宠物属性点预览!P$2,宠物成长!$F$5:$K$25,3,FALSE)+0)</f>
        <v>2505.6212930009119</v>
      </c>
      <c r="Q20" s="9">
        <f>(宠物成长!$C$1+宠物成长!$C$2/宠物成长!$C$3*宠物成长!$E$30)*(1+VLOOKUP(宠物属性点预览!Q$2,宠物成长!$F$4:$K$25,4,FALSE)+0)+(VLOOKUP(宠物属性点预览!$B20,宠物成长!$D$30:$E$129,2,FALSE)-宠物成长!$E$30)*宠物成长!$C$2/宠物成长!$C$3*(1+VLOOKUP(宠物属性点预览!Q$2,宠物成长!$F$5:$K$25,3,FALSE)+0)</f>
        <v>2754.1212930009119</v>
      </c>
      <c r="R20" s="9">
        <f>(宠物成长!$C$1+宠物成长!$C$2/宠物成长!$C$3*宠物成长!$E$30)*(1+VLOOKUP(宠物属性点预览!R$2,宠物成长!$F$4:$K$25,4,FALSE)+0)+(VLOOKUP(宠物属性点预览!$B20,宠物成长!$D$30:$E$129,2,FALSE)-宠物成长!$E$30)*宠物成长!$C$2/宠物成长!$C$3*(1+VLOOKUP(宠物属性点预览!R$2,宠物成长!$F$5:$K$25,3,FALSE)+0)</f>
        <v>3003.218307926285</v>
      </c>
      <c r="S20" s="9">
        <f>(宠物成长!$C$1+宠物成长!$C$2/宠物成长!$C$3*宠物成长!$E$30)*(1+VLOOKUP(宠物属性点预览!S$2,宠物成长!$F$4:$K$25,4,FALSE)+0)+(VLOOKUP(宠物属性点预览!$B20,宠物成长!$D$30:$E$129,2,FALSE)-宠物成长!$E$30)*宠物成长!$C$2/宠物成长!$C$3*(1+VLOOKUP(宠物属性点预览!S$2,宠物成长!$F$5:$K$25,3,FALSE)+0)</f>
        <v>3252.8294190373958</v>
      </c>
      <c r="T20" s="83">
        <f t="shared" si="4"/>
        <v>319.90000000000003</v>
      </c>
      <c r="V20" s="9">
        <f>(宠物成长!$C$1+宠物成长!$C$2/宠物成长!$C$3*宠物成长!$E$30)*(1+宠物成长!$I$8+VLOOKUP(宠物属性点预览!V$2,宠物成长!$O$5:$R$10,3,FALSE))+(VLOOKUP(宠物属性点预览!$B20,宠物成长!$D$30:$E$129,2,FALSE)-宠物成长!$E$30)*宠物成长!$C$2/宠物成长!$C$3*(1+宠物成长!$H$8+VLOOKUP(宠物属性点预览!V$2,宠物成长!$O$5:$R$10,2,FALSE))</f>
        <v>319.90000000000003</v>
      </c>
      <c r="W20" s="9">
        <f>(宠物成长!$C$1+宠物成长!$C$2/宠物成长!$C$3*宠物成长!$E$30)*(1+宠物成长!$I$8+VLOOKUP(宠物属性点预览!W$2,宠物成长!$O$5:$R$10,3,FALSE))+(VLOOKUP(宠物属性点预览!$B20,宠物成长!$D$30:$E$129,2,FALSE)-宠物成长!$E$30)*宠物成长!$C$2/宠物成长!$C$3*(1+宠物成长!$H$8+VLOOKUP(宠物属性点预览!W$2,宠物成长!$O$5:$R$10,2,FALSE))</f>
        <v>646.9</v>
      </c>
      <c r="X20" s="9">
        <f>(宠物成长!$C$1+宠物成长!$C$2/宠物成长!$C$3*宠物成长!$E$30)*(1+宠物成长!$I$8+VLOOKUP(宠物属性点预览!X$2,宠物成长!$O$5:$R$10,3,FALSE))+(VLOOKUP(宠物属性点预览!$B20,宠物成长!$D$30:$E$129,2,FALSE)-宠物成长!$E$30)*宠物成长!$C$2/宠物成长!$C$3*(1+宠物成长!$H$8+VLOOKUP(宠物属性点预览!X$2,宠物成长!$O$5:$R$10,2,FALSE))</f>
        <v>1035.9000000000001</v>
      </c>
      <c r="Y20" s="9">
        <f>(宠物成长!$C$1+宠物成长!$C$2/宠物成长!$C$3*宠物成长!$E$30)*(1+宠物成长!$I$8+VLOOKUP(宠物属性点预览!Y$2,宠物成长!$O$5:$R$10,3,FALSE))+(VLOOKUP(宠物属性点预览!$B20,宠物成长!$D$30:$E$129,2,FALSE)-宠物成长!$E$30)*宠物成长!$C$2/宠物成长!$C$3*(1+宠物成长!$H$8+VLOOKUP(宠物属性点预览!Y$2,宠物成长!$O$5:$R$10,2,FALSE))</f>
        <v>1486.8999999999999</v>
      </c>
      <c r="Z20" s="9">
        <f>(宠物成长!$C$1+宠物成长!$C$2/宠物成长!$C$3*宠物成长!$E$30)*(1+宠物成长!$I$8+VLOOKUP(宠物属性点预览!Z$2,宠物成长!$O$5:$R$10,3,FALSE))+(VLOOKUP(宠物属性点预览!$B20,宠物成长!$D$30:$E$129,2,FALSE)-宠物成长!$E$30)*宠物成长!$C$2/宠物成长!$C$3*(1+宠物成长!$H$8+VLOOKUP(宠物属性点预览!Z$2,宠物成长!$O$5:$R$10,2,FALSE))</f>
        <v>1937.8999999999999</v>
      </c>
      <c r="AA20" s="1">
        <f t="shared" si="1"/>
        <v>0</v>
      </c>
    </row>
    <row r="21" spans="2:27" x14ac:dyDescent="0.15">
      <c r="B21" s="1">
        <v>19</v>
      </c>
      <c r="C21" s="9">
        <f>(宠物成长!$C$1+宠物成长!$C$2/宠物成长!$C$3*宠物成长!$E$30)*(1+VLOOKUP(宠物属性点预览!C$2,宠物成长!$F$4:$K$25,4,FALSE)+0)+(VLOOKUP(宠物属性点预览!$B21,宠物成长!$D$30:$E$129,2,FALSE)-宠物成长!$E$30)*宠物成长!$C$2/宠物成长!$C$3*(1+VLOOKUP(宠物属性点预览!C$2,宠物成长!$F$5:$K$25,3,FALSE)+0)</f>
        <v>125</v>
      </c>
      <c r="D21" s="9">
        <f>(宠物成长!$C$1+宠物成长!$C$2/宠物成长!$C$3*宠物成长!$E$30)*(1+VLOOKUP(宠物属性点预览!D$2,宠物成长!$F$4:$K$25,4,FALSE)+0)+(VLOOKUP(宠物属性点预览!$B21,宠物成长!$D$30:$E$129,2,FALSE)-宠物成长!$E$30)*宠物成长!$C$2/宠物成长!$C$3*(1+VLOOKUP(宠物属性点预览!D$2,宠物成长!$F$5:$K$25,3,FALSE)+0)</f>
        <v>171.5</v>
      </c>
      <c r="E21" s="9">
        <f>(宠物成长!$C$1+宠物成长!$C$2/宠物成长!$C$3*宠物成长!$E$30)*(1+VLOOKUP(宠物属性点预览!E$2,宠物成长!$F$4:$K$25,4,FALSE)+0)+(VLOOKUP(宠物属性点预览!$B21,宠物成长!$D$30:$E$129,2,FALSE)-宠物成长!$E$30)*宠物成长!$C$2/宠物成长!$C$3*(1+VLOOKUP(宠物属性点预览!E$2,宠物成长!$F$5:$K$25,3,FALSE)+0)</f>
        <v>236.6</v>
      </c>
      <c r="F21" s="9">
        <f>(宠物成长!$C$1+宠物成长!$C$2/宠物成长!$C$3*宠物成长!$E$30)*(1+VLOOKUP(宠物属性点预览!F$2,宠物成长!$F$4:$K$25,4,FALSE)+0)+(VLOOKUP(宠物属性点预览!$B21,宠物成长!$D$30:$E$129,2,FALSE)-宠物成长!$E$30)*宠物成长!$C$2/宠物成长!$C$3*(1+VLOOKUP(宠物属性点预览!F$2,宠物成长!$F$5:$K$25,3,FALSE)+0)</f>
        <v>323.40000000000003</v>
      </c>
      <c r="G21" s="9">
        <f>(宠物成长!$C$1+宠物成长!$C$2/宠物成长!$C$3*宠物成长!$E$30)*(1+VLOOKUP(宠物属性点预览!G$2,宠物成长!$F$4:$K$25,4,FALSE)+0)+(VLOOKUP(宠物属性点预览!$B21,宠物成长!$D$30:$E$129,2,FALSE)-宠物成长!$E$30)*宠物成长!$C$2/宠物成长!$C$3*(1+VLOOKUP(宠物属性点预览!G$2,宠物成长!$F$5:$K$25,3,FALSE)+0)</f>
        <v>431.59999999999997</v>
      </c>
      <c r="H21" s="9">
        <f>(宠物成长!$C$1+宠物成长!$C$2/宠物成长!$C$3*宠物成长!$E$30)*(1+VLOOKUP(宠物属性点预览!H$2,宠物成长!$F$4:$K$25,4,FALSE)+0)+(VLOOKUP(宠物属性点预览!$B21,宠物成长!$D$30:$E$129,2,FALSE)-宠物成长!$E$30)*宠物成长!$C$2/宠物成长!$C$3*(1+VLOOKUP(宠物属性点预览!H$2,宠物成长!$F$5:$K$25,3,FALSE)+0)</f>
        <v>589.4</v>
      </c>
      <c r="I21" s="9">
        <f>(宠物成长!$C$1+宠物成长!$C$2/宠物成长!$C$3*宠物成长!$E$30)*(1+VLOOKUP(宠物属性点预览!I$2,宠物成长!$F$4:$K$25,4,FALSE)+0)+(VLOOKUP(宠物属性点预览!$B21,宠物成长!$D$30:$E$129,2,FALSE)-宠物成长!$E$30)*宠物成长!$C$2/宠物成长!$C$3*(1+VLOOKUP(宠物属性点预览!I$2,宠物成长!$F$5:$K$25,3,FALSE)+0)</f>
        <v>803</v>
      </c>
      <c r="J21" s="9">
        <f>(宠物成长!$C$1+宠物成长!$C$2/宠物成长!$C$3*宠物成长!$E$30)*(1+VLOOKUP(宠物属性点预览!J$2,宠物成长!$F$4:$K$25,4,FALSE)+0)+(VLOOKUP(宠物属性点预览!$B21,宠物成长!$D$30:$E$129,2,FALSE)-宠物成长!$E$30)*宠物成长!$C$2/宠物成长!$C$3*(1+VLOOKUP(宠物属性点预览!J$2,宠物成长!$F$5:$K$25,3,FALSE)+0)</f>
        <v>1041.6296296296296</v>
      </c>
      <c r="K21" s="9">
        <f>(宠物成长!$C$1+宠物成长!$C$2/宠物成长!$C$3*宠物成长!$E$30)*(1+VLOOKUP(宠物属性点预览!K$2,宠物成长!$F$4:$K$25,4,FALSE)+0)+(VLOOKUP(宠物属性点预览!$B21,宠物成长!$D$30:$E$129,2,FALSE)-宠物成长!$E$30)*宠物成长!$C$2/宠物成长!$C$3*(1+VLOOKUP(宠物属性点预览!K$2,宠物成长!$F$5:$K$25,3,FALSE)+0)</f>
        <v>1283.1296296296296</v>
      </c>
      <c r="L21" s="9">
        <f>(宠物成长!$C$1+宠物成长!$C$2/宠物成长!$C$3*宠物成长!$E$30)*(1+VLOOKUP(宠物属性点预览!L$2,宠物成长!$F$4:$K$25,4,FALSE)+0)+(VLOOKUP(宠物属性点预览!$B21,宠物成长!$D$30:$E$129,2,FALSE)-宠物成长!$E$30)*宠物成长!$C$2/宠物成长!$C$3*(1+VLOOKUP(宠物属性点预览!L$2,宠物成长!$F$5:$K$25,3,FALSE)+0)</f>
        <v>1526.7242242242241</v>
      </c>
      <c r="M21" s="9">
        <f>(宠物成长!$C$1+宠物成长!$C$2/宠物成长!$C$3*宠物成长!$E$30)*(1+VLOOKUP(宠物属性点预览!M$2,宠物成长!$F$4:$K$25,4,FALSE)+0)+(VLOOKUP(宠物属性点预览!$B21,宠物成长!$D$30:$E$129,2,FALSE)-宠物成长!$E$30)*宠物成长!$C$2/宠物成长!$C$3*(1+VLOOKUP(宠物属性点预览!M$2,宠物成长!$F$5:$K$25,3,FALSE)+0)</f>
        <v>1771.9147004147003</v>
      </c>
      <c r="N21" s="9">
        <f>(宠物成长!$C$1+宠物成长!$C$2/宠物成长!$C$3*宠物成长!$E$30)*(1+VLOOKUP(宠物属性点预览!N$2,宠物成长!$F$4:$K$25,4,FALSE)+0)+(VLOOKUP(宠物属性点预览!$B21,宠物成长!$D$30:$E$129,2,FALSE)-宠物成长!$E$30)*宠物成长!$C$2/宠物成长!$C$3*(1+VLOOKUP(宠物属性点预览!N$2,宠物成长!$F$5:$K$25,3,FALSE)+0)</f>
        <v>2018.3615089253385</v>
      </c>
      <c r="O21" s="9">
        <f>(宠物成长!$C$1+宠物成长!$C$2/宠物成长!$C$3*宠物成长!$E$30)*(1+VLOOKUP(宠物属性点预览!O$2,宠物成长!$F$4:$K$25,4,FALSE)+0)+(VLOOKUP(宠物属性点预览!$B21,宠物成长!$D$30:$E$129,2,FALSE)-宠物成长!$E$30)*宠物成长!$C$2/宠物成长!$C$3*(1+VLOOKUP(宠物属性点预览!O$2,宠物成长!$F$5:$K$25,3,FALSE)+0)</f>
        <v>2265.8230473868766</v>
      </c>
      <c r="P21" s="9">
        <f>(宠物成长!$C$1+宠物成长!$C$2/宠物成长!$C$3*宠物成长!$E$30)*(1+VLOOKUP(宠物属性点预览!P$2,宠物成长!$F$4:$K$25,4,FALSE)+0)+(VLOOKUP(宠物属性点预览!$B21,宠物成长!$D$30:$E$129,2,FALSE)-宠物成长!$E$30)*宠物成长!$C$2/宠物成长!$C$3*(1+VLOOKUP(宠物属性点预览!P$2,宠物成长!$F$5:$K$25,3,FALSE)+0)</f>
        <v>2514.1212930009119</v>
      </c>
      <c r="Q21" s="9">
        <f>(宠物成长!$C$1+宠物成长!$C$2/宠物成长!$C$3*宠物成长!$E$30)*(1+VLOOKUP(宠物属性点预览!Q$2,宠物成长!$F$4:$K$25,4,FALSE)+0)+(VLOOKUP(宠物属性点预览!$B21,宠物成长!$D$30:$E$129,2,FALSE)-宠物成长!$E$30)*宠物成长!$C$2/宠物成长!$C$3*(1+VLOOKUP(宠物属性点预览!Q$2,宠物成长!$F$5:$K$25,3,FALSE)+0)</f>
        <v>2763.1212930009119</v>
      </c>
      <c r="R21" s="9">
        <f>(宠物成长!$C$1+宠物成长!$C$2/宠物成长!$C$3*宠物成长!$E$30)*(1+VLOOKUP(宠物属性点预览!R$2,宠物成长!$F$4:$K$25,4,FALSE)+0)+(VLOOKUP(宠物属性点预览!$B21,宠物成长!$D$30:$E$129,2,FALSE)-宠物成长!$E$30)*宠物成长!$C$2/宠物成长!$C$3*(1+VLOOKUP(宠物属性点预览!R$2,宠物成长!$F$5:$K$25,3,FALSE)+0)</f>
        <v>3012.718307926285</v>
      </c>
      <c r="S21" s="9">
        <f>(宠物成长!$C$1+宠物成长!$C$2/宠物成长!$C$3*宠物成长!$E$30)*(1+VLOOKUP(宠物属性点预览!S$2,宠物成长!$F$4:$K$25,4,FALSE)+0)+(VLOOKUP(宠物属性点预览!$B21,宠物成长!$D$30:$E$129,2,FALSE)-宠物成长!$E$30)*宠物成长!$C$2/宠物成长!$C$3*(1+VLOOKUP(宠物属性点预览!S$2,宠物成长!$F$5:$K$25,3,FALSE)+0)</f>
        <v>3262.8294190373958</v>
      </c>
      <c r="T21" s="83">
        <f t="shared" si="4"/>
        <v>323.40000000000003</v>
      </c>
      <c r="V21" s="9">
        <f>(宠物成长!$C$1+宠物成长!$C$2/宠物成长!$C$3*宠物成长!$E$30)*(1+宠物成长!$I$8+VLOOKUP(宠物属性点预览!V$2,宠物成长!$O$5:$R$10,3,FALSE))+(VLOOKUP(宠物属性点预览!$B21,宠物成长!$D$30:$E$129,2,FALSE)-宠物成长!$E$30)*宠物成长!$C$2/宠物成长!$C$3*(1+宠物成长!$H$8+VLOOKUP(宠物属性点预览!V$2,宠物成长!$O$5:$R$10,2,FALSE))</f>
        <v>323.40000000000003</v>
      </c>
      <c r="W21" s="9">
        <f>(宠物成长!$C$1+宠物成长!$C$2/宠物成长!$C$3*宠物成长!$E$30)*(1+宠物成长!$I$8+VLOOKUP(宠物属性点预览!W$2,宠物成长!$O$5:$R$10,3,FALSE))+(VLOOKUP(宠物属性点预览!$B21,宠物成长!$D$30:$E$129,2,FALSE)-宠物成长!$E$30)*宠物成长!$C$2/宠物成长!$C$3*(1+宠物成长!$H$8+VLOOKUP(宠物属性点预览!W$2,宠物成长!$O$5:$R$10,2,FALSE))</f>
        <v>651.4</v>
      </c>
      <c r="X21" s="9">
        <f>(宠物成长!$C$1+宠物成长!$C$2/宠物成长!$C$3*宠物成长!$E$30)*(1+宠物成长!$I$8+VLOOKUP(宠物属性点预览!X$2,宠物成长!$O$5:$R$10,3,FALSE))+(VLOOKUP(宠物属性点预览!$B21,宠物成长!$D$30:$E$129,2,FALSE)-宠物成长!$E$30)*宠物成长!$C$2/宠物成长!$C$3*(1+宠物成长!$H$8+VLOOKUP(宠物属性点预览!X$2,宠物成长!$O$5:$R$10,2,FALSE))</f>
        <v>1041.4000000000001</v>
      </c>
      <c r="Y21" s="9">
        <f>(宠物成长!$C$1+宠物成长!$C$2/宠物成长!$C$3*宠物成长!$E$30)*(1+宠物成长!$I$8+VLOOKUP(宠物属性点预览!Y$2,宠物成长!$O$5:$R$10,3,FALSE))+(VLOOKUP(宠物属性点预览!$B21,宠物成长!$D$30:$E$129,2,FALSE)-宠物成长!$E$30)*宠物成长!$C$2/宠物成长!$C$3*(1+宠物成长!$H$8+VLOOKUP(宠物属性点预览!Y$2,宠物成长!$O$5:$R$10,2,FALSE))</f>
        <v>1493.3999999999999</v>
      </c>
      <c r="Z21" s="9">
        <f>(宠物成长!$C$1+宠物成长!$C$2/宠物成长!$C$3*宠物成长!$E$30)*(1+宠物成长!$I$8+VLOOKUP(宠物属性点预览!Z$2,宠物成长!$O$5:$R$10,3,FALSE))+(VLOOKUP(宠物属性点预览!$B21,宠物成长!$D$30:$E$129,2,FALSE)-宠物成长!$E$30)*宠物成长!$C$2/宠物成长!$C$3*(1+宠物成长!$H$8+VLOOKUP(宠物属性点预览!Z$2,宠物成长!$O$5:$R$10,2,FALSE))</f>
        <v>1945.3999999999999</v>
      </c>
      <c r="AA21" s="1">
        <f t="shared" si="1"/>
        <v>0</v>
      </c>
    </row>
    <row r="22" spans="2:27" x14ac:dyDescent="0.15">
      <c r="B22" s="1">
        <v>20</v>
      </c>
      <c r="C22" s="9">
        <f>(宠物成长!$C$1+宠物成长!$C$2/宠物成长!$C$3*宠物成长!$E$30)*(1+VLOOKUP(宠物属性点预览!C$2,宠物成长!$F$4:$K$25,4,FALSE)+0)+(VLOOKUP(宠物属性点预览!$B22,宠物成长!$D$30:$E$129,2,FALSE)-宠物成长!$E$30)*宠物成长!$C$2/宠物成长!$C$3*(1+VLOOKUP(宠物属性点预览!C$2,宠物成长!$F$5:$K$25,3,FALSE)+0)</f>
        <v>128.5</v>
      </c>
      <c r="D22" s="9">
        <f>(宠物成长!$C$1+宠物成长!$C$2/宠物成长!$C$3*宠物成长!$E$30)*(1+VLOOKUP(宠物属性点预览!D$2,宠物成长!$F$4:$K$25,4,FALSE)+0)+(VLOOKUP(宠物属性点预览!$B22,宠物成长!$D$30:$E$129,2,FALSE)-宠物成长!$E$30)*宠物成长!$C$2/宠物成长!$C$3*(1+VLOOKUP(宠物属性点预览!D$2,宠物成长!$F$5:$K$25,3,FALSE)+0)</f>
        <v>175</v>
      </c>
      <c r="E22" s="9">
        <f>(宠物成长!$C$1+宠物成长!$C$2/宠物成长!$C$3*宠物成长!$E$30)*(1+VLOOKUP(宠物属性点预览!E$2,宠物成长!$F$4:$K$25,4,FALSE)+0)+(VLOOKUP(宠物属性点预览!$B22,宠物成长!$D$30:$E$129,2,FALSE)-宠物成长!$E$30)*宠物成长!$C$2/宠物成长!$C$3*(1+VLOOKUP(宠物属性点预览!E$2,宠物成长!$F$5:$K$25,3,FALSE)+0)</f>
        <v>240.1</v>
      </c>
      <c r="F22" s="9">
        <f>(宠物成长!$C$1+宠物成长!$C$2/宠物成长!$C$3*宠物成长!$E$30)*(1+VLOOKUP(宠物属性点预览!F$2,宠物成长!$F$4:$K$25,4,FALSE)+0)+(VLOOKUP(宠物属性点预览!$B22,宠物成长!$D$30:$E$129,2,FALSE)-宠物成长!$E$30)*宠物成长!$C$2/宠物成长!$C$3*(1+VLOOKUP(宠物属性点预览!F$2,宠物成长!$F$5:$K$25,3,FALSE)+0)</f>
        <v>326.90000000000003</v>
      </c>
      <c r="G22" s="83">
        <f>(宠物成长!$C$1+宠物成长!$C$2/宠物成长!$C$3*宠物成长!$E$30)*(1+VLOOKUP(宠物属性点预览!G$2,宠物成长!$F$4:$K$25,4,FALSE)+0)+(VLOOKUP(宠物属性点预览!$B22,宠物成长!$D$30:$E$129,2,FALSE)-宠物成长!$E$30)*宠物成长!$C$2/宠物成长!$C$3*(1+VLOOKUP(宠物属性点预览!G$2,宠物成长!$F$5:$K$25,3,FALSE)+0)</f>
        <v>435.59999999999997</v>
      </c>
      <c r="H22" s="9">
        <f>(宠物成长!$C$1+宠物成长!$C$2/宠物成长!$C$3*宠物成长!$E$30)*(1+VLOOKUP(宠物属性点预览!H$2,宠物成长!$F$4:$K$25,4,FALSE)+0)+(VLOOKUP(宠物属性点预览!$B22,宠物成长!$D$30:$E$129,2,FALSE)-宠物成长!$E$30)*宠物成长!$C$2/宠物成长!$C$3*(1+VLOOKUP(宠物属性点预览!H$2,宠物成长!$F$5:$K$25,3,FALSE)+0)</f>
        <v>593.9</v>
      </c>
      <c r="I22" s="9">
        <f>(宠物成长!$C$1+宠物成长!$C$2/宠物成长!$C$3*宠物成长!$E$30)*(1+VLOOKUP(宠物属性点预览!I$2,宠物成长!$F$4:$K$25,4,FALSE)+0)+(VLOOKUP(宠物属性点预览!$B22,宠物成长!$D$30:$E$129,2,FALSE)-宠物成长!$E$30)*宠物成长!$C$2/宠物成长!$C$3*(1+VLOOKUP(宠物属性点预览!I$2,宠物成长!$F$5:$K$25,3,FALSE)+0)</f>
        <v>808</v>
      </c>
      <c r="J22" s="9">
        <f>(宠物成长!$C$1+宠物成长!$C$2/宠物成长!$C$3*宠物成长!$E$30)*(1+VLOOKUP(宠物属性点预览!J$2,宠物成长!$F$4:$K$25,4,FALSE)+0)+(VLOOKUP(宠物属性点预览!$B22,宠物成长!$D$30:$E$129,2,FALSE)-宠物成长!$E$30)*宠物成长!$C$2/宠物成长!$C$3*(1+VLOOKUP(宠物属性点预览!J$2,宠物成长!$F$5:$K$25,3,FALSE)+0)</f>
        <v>1047.1296296296296</v>
      </c>
      <c r="K22" s="9">
        <f>(宠物成长!$C$1+宠物成长!$C$2/宠物成长!$C$3*宠物成长!$E$30)*(1+VLOOKUP(宠物属性点预览!K$2,宠物成长!$F$4:$K$25,4,FALSE)+0)+(VLOOKUP(宠物属性点预览!$B22,宠物成长!$D$30:$E$129,2,FALSE)-宠物成长!$E$30)*宠物成长!$C$2/宠物成长!$C$3*(1+VLOOKUP(宠物属性点预览!K$2,宠物成长!$F$5:$K$25,3,FALSE)+0)</f>
        <v>1289.1296296296296</v>
      </c>
      <c r="L22" s="9">
        <f>(宠物成长!$C$1+宠物成长!$C$2/宠物成长!$C$3*宠物成长!$E$30)*(1+VLOOKUP(宠物属性点预览!L$2,宠物成长!$F$4:$K$25,4,FALSE)+0)+(VLOOKUP(宠物属性点预览!$B22,宠物成长!$D$30:$E$129,2,FALSE)-宠物成长!$E$30)*宠物成长!$C$2/宠物成长!$C$3*(1+VLOOKUP(宠物属性点预览!L$2,宠物成长!$F$5:$K$25,3,FALSE)+0)</f>
        <v>1533.2242242242241</v>
      </c>
      <c r="M22" s="9">
        <f>(宠物成长!$C$1+宠物成长!$C$2/宠物成长!$C$3*宠物成长!$E$30)*(1+VLOOKUP(宠物属性点预览!M$2,宠物成长!$F$4:$K$25,4,FALSE)+0)+(VLOOKUP(宠物属性点预览!$B22,宠物成长!$D$30:$E$129,2,FALSE)-宠物成长!$E$30)*宠物成长!$C$2/宠物成长!$C$3*(1+VLOOKUP(宠物属性点预览!M$2,宠物成长!$F$5:$K$25,3,FALSE)+0)</f>
        <v>1778.9147004147003</v>
      </c>
      <c r="N22" s="9">
        <f>(宠物成长!$C$1+宠物成长!$C$2/宠物成长!$C$3*宠物成长!$E$30)*(1+VLOOKUP(宠物属性点预览!N$2,宠物成长!$F$4:$K$25,4,FALSE)+0)+(VLOOKUP(宠物属性点预览!$B22,宠物成长!$D$30:$E$129,2,FALSE)-宠物成长!$E$30)*宠物成长!$C$2/宠物成长!$C$3*(1+VLOOKUP(宠物属性点预览!N$2,宠物成长!$F$5:$K$25,3,FALSE)+0)</f>
        <v>2025.8615089253385</v>
      </c>
      <c r="O22" s="9">
        <f>(宠物成长!$C$1+宠物成长!$C$2/宠物成长!$C$3*宠物成长!$E$30)*(1+VLOOKUP(宠物属性点预览!O$2,宠物成长!$F$4:$K$25,4,FALSE)+0)+(VLOOKUP(宠物属性点预览!$B22,宠物成长!$D$30:$E$129,2,FALSE)-宠物成长!$E$30)*宠物成长!$C$2/宠物成长!$C$3*(1+VLOOKUP(宠物属性点预览!O$2,宠物成长!$F$5:$K$25,3,FALSE)+0)</f>
        <v>2273.8230473868766</v>
      </c>
      <c r="P22" s="9">
        <f>(宠物成长!$C$1+宠物成长!$C$2/宠物成长!$C$3*宠物成长!$E$30)*(1+VLOOKUP(宠物属性点预览!P$2,宠物成长!$F$4:$K$25,4,FALSE)+0)+(VLOOKUP(宠物属性点预览!$B22,宠物成长!$D$30:$E$129,2,FALSE)-宠物成长!$E$30)*宠物成长!$C$2/宠物成长!$C$3*(1+VLOOKUP(宠物属性点预览!P$2,宠物成长!$F$5:$K$25,3,FALSE)+0)</f>
        <v>2522.6212930009119</v>
      </c>
      <c r="Q22" s="9">
        <f>(宠物成长!$C$1+宠物成长!$C$2/宠物成长!$C$3*宠物成长!$E$30)*(1+VLOOKUP(宠物属性点预览!Q$2,宠物成长!$F$4:$K$25,4,FALSE)+0)+(VLOOKUP(宠物属性点预览!$B22,宠物成长!$D$30:$E$129,2,FALSE)-宠物成长!$E$30)*宠物成长!$C$2/宠物成长!$C$3*(1+VLOOKUP(宠物属性点预览!Q$2,宠物成长!$F$5:$K$25,3,FALSE)+0)</f>
        <v>2772.1212930009119</v>
      </c>
      <c r="R22" s="9">
        <f>(宠物成长!$C$1+宠物成长!$C$2/宠物成长!$C$3*宠物成长!$E$30)*(1+VLOOKUP(宠物属性点预览!R$2,宠物成长!$F$4:$K$25,4,FALSE)+0)+(VLOOKUP(宠物属性点预览!$B22,宠物成长!$D$30:$E$129,2,FALSE)-宠物成长!$E$30)*宠物成长!$C$2/宠物成长!$C$3*(1+VLOOKUP(宠物属性点预览!R$2,宠物成长!$F$5:$K$25,3,FALSE)+0)</f>
        <v>3022.218307926285</v>
      </c>
      <c r="S22" s="9">
        <f>(宠物成长!$C$1+宠物成长!$C$2/宠物成长!$C$3*宠物成长!$E$30)*(1+VLOOKUP(宠物属性点预览!S$2,宠物成长!$F$4:$K$25,4,FALSE)+0)+(VLOOKUP(宠物属性点预览!$B22,宠物成长!$D$30:$E$129,2,FALSE)-宠物成长!$E$30)*宠物成长!$C$2/宠物成长!$C$3*(1+VLOOKUP(宠物属性点预览!S$2,宠物成长!$F$5:$K$25,3,FALSE)+0)</f>
        <v>3272.8294190373958</v>
      </c>
      <c r="T22" s="83">
        <f t="shared" si="4"/>
        <v>326.90000000000003</v>
      </c>
      <c r="U22" s="9">
        <f>G22</f>
        <v>435.59999999999997</v>
      </c>
      <c r="V22" s="9">
        <f>(宠物成长!$C$1+宠物成长!$C$2/宠物成长!$C$3*宠物成长!$E$30)*(1+宠物成长!$I$9+VLOOKUP(宠物属性点预览!V$2,宠物成长!$O$5:$R$10,3,FALSE))+(VLOOKUP(宠物属性点预览!$B22,宠物成长!$D$30:$E$129,2,FALSE)-宠物成长!$E$30)*宠物成长!$C$2/宠物成长!$C$3*(1+宠物成长!$H$9+VLOOKUP(宠物属性点预览!V$2,宠物成长!$O$5:$R$10,2,FALSE))</f>
        <v>435.59999999999997</v>
      </c>
      <c r="W22" s="9">
        <f>(宠物成长!$C$1+宠物成长!$C$2/宠物成长!$C$3*宠物成长!$E$30)*(1+宠物成长!$I$9+VLOOKUP(宠物属性点预览!W$2,宠物成长!$O$5:$R$10,3,FALSE))+(VLOOKUP(宠物属性点预览!$B22,宠物成长!$D$30:$E$129,2,FALSE)-宠物成长!$E$30)*宠物成长!$C$2/宠物成长!$C$3*(1+宠物成长!$H$9+VLOOKUP(宠物属性点预览!W$2,宠物成长!$O$5:$R$10,2,FALSE))</f>
        <v>764.6</v>
      </c>
      <c r="X22" s="9">
        <f>(宠物成长!$C$1+宠物成长!$C$2/宠物成长!$C$3*宠物成长!$E$30)*(1+宠物成长!$I$9+VLOOKUP(宠物属性点预览!X$2,宠物成长!$O$5:$R$10,3,FALSE))+(VLOOKUP(宠物属性点预览!$B22,宠物成长!$D$30:$E$129,2,FALSE)-宠物成长!$E$30)*宠物成长!$C$2/宠物成长!$C$3*(1+宠物成长!$H$9+VLOOKUP(宠物属性点预览!X$2,宠物成长!$O$5:$R$10,2,FALSE))</f>
        <v>1155.6000000000001</v>
      </c>
      <c r="Y22" s="9">
        <f>(宠物成长!$C$1+宠物成长!$C$2/宠物成长!$C$3*宠物成长!$E$30)*(1+宠物成长!$I$9+VLOOKUP(宠物属性点预览!Y$2,宠物成长!$O$5:$R$10,3,FALSE))+(VLOOKUP(宠物属性点预览!$B22,宠物成长!$D$30:$E$129,2,FALSE)-宠物成长!$E$30)*宠物成长!$C$2/宠物成长!$C$3*(1+宠物成长!$H$9+VLOOKUP(宠物属性点预览!Y$2,宠物成长!$O$5:$R$10,2,FALSE))</f>
        <v>1608.6000000000001</v>
      </c>
      <c r="Z22" s="9">
        <f>(宠物成长!$C$1+宠物成长!$C$2/宠物成长!$C$3*宠物成长!$E$30)*(1+宠物成长!$I$9+VLOOKUP(宠物属性点预览!Z$2,宠物成长!$O$5:$R$10,3,FALSE))+(VLOOKUP(宠物属性点预览!$B22,宠物成长!$D$30:$E$129,2,FALSE)-宠物成长!$E$30)*宠物成长!$C$2/宠物成长!$C$3*(1+宠物成长!$H$9+VLOOKUP(宠物属性点预览!Z$2,宠物成长!$O$5:$R$10,2,FALSE))</f>
        <v>2061.6000000000004</v>
      </c>
      <c r="AA22" s="1">
        <f t="shared" si="1"/>
        <v>1.3325175894769039</v>
      </c>
    </row>
    <row r="23" spans="2:27" x14ac:dyDescent="0.15">
      <c r="B23" s="1">
        <v>21</v>
      </c>
      <c r="C23" s="9">
        <f>(宠物成长!$C$1+宠物成长!$C$2/宠物成长!$C$3*宠物成长!$E$30)*(1+VLOOKUP(宠物属性点预览!C$2,宠物成长!$F$4:$K$25,4,FALSE)+0)+(VLOOKUP(宠物属性点预览!$B23,宠物成长!$D$30:$E$129,2,FALSE)-宠物成长!$E$30)*宠物成长!$C$2/宠物成长!$C$3*(1+VLOOKUP(宠物属性点预览!C$2,宠物成长!$F$5:$K$25,3,FALSE)+0)</f>
        <v>132</v>
      </c>
      <c r="D23" s="9">
        <f>(宠物成长!$C$1+宠物成长!$C$2/宠物成长!$C$3*宠物成长!$E$30)*(1+VLOOKUP(宠物属性点预览!D$2,宠物成长!$F$4:$K$25,4,FALSE)+0)+(VLOOKUP(宠物属性点预览!$B23,宠物成长!$D$30:$E$129,2,FALSE)-宠物成长!$E$30)*宠物成长!$C$2/宠物成长!$C$3*(1+VLOOKUP(宠物属性点预览!D$2,宠物成长!$F$5:$K$25,3,FALSE)+0)</f>
        <v>178.5</v>
      </c>
      <c r="E23" s="9">
        <f>(宠物成长!$C$1+宠物成长!$C$2/宠物成长!$C$3*宠物成长!$E$30)*(1+VLOOKUP(宠物属性点预览!E$2,宠物成长!$F$4:$K$25,4,FALSE)+0)+(VLOOKUP(宠物属性点预览!$B23,宠物成长!$D$30:$E$129,2,FALSE)-宠物成长!$E$30)*宠物成长!$C$2/宠物成长!$C$3*(1+VLOOKUP(宠物属性点预览!E$2,宠物成长!$F$5:$K$25,3,FALSE)+0)</f>
        <v>243.6</v>
      </c>
      <c r="F23" s="9">
        <f>(宠物成长!$C$1+宠物成长!$C$2/宠物成长!$C$3*宠物成长!$E$30)*(1+VLOOKUP(宠物属性点预览!F$2,宠物成长!$F$4:$K$25,4,FALSE)+0)+(VLOOKUP(宠物属性点预览!$B23,宠物成长!$D$30:$E$129,2,FALSE)-宠物成长!$E$30)*宠物成长!$C$2/宠物成长!$C$3*(1+VLOOKUP(宠物属性点预览!F$2,宠物成长!$F$5:$K$25,3,FALSE)+0)</f>
        <v>330.40000000000003</v>
      </c>
      <c r="G23" s="9">
        <f>(宠物成长!$C$1+宠物成长!$C$2/宠物成长!$C$3*宠物成长!$E$30)*(1+VLOOKUP(宠物属性点预览!G$2,宠物成长!$F$4:$K$25,4,FALSE)+0)+(VLOOKUP(宠物属性点预览!$B23,宠物成长!$D$30:$E$129,2,FALSE)-宠物成长!$E$30)*宠物成长!$C$2/宠物成长!$C$3*(1+VLOOKUP(宠物属性点预览!G$2,宠物成长!$F$5:$K$25,3,FALSE)+0)</f>
        <v>439.59999999999997</v>
      </c>
      <c r="H23" s="9">
        <f>(宠物成长!$C$1+宠物成长!$C$2/宠物成长!$C$3*宠物成长!$E$30)*(1+VLOOKUP(宠物属性点预览!H$2,宠物成长!$F$4:$K$25,4,FALSE)+0)+(VLOOKUP(宠物属性点预览!$B23,宠物成长!$D$30:$E$129,2,FALSE)-宠物成长!$E$30)*宠物成长!$C$2/宠物成长!$C$3*(1+VLOOKUP(宠物属性点预览!H$2,宠物成长!$F$5:$K$25,3,FALSE)+0)</f>
        <v>598.4</v>
      </c>
      <c r="I23" s="9">
        <f>(宠物成长!$C$1+宠物成长!$C$2/宠物成长!$C$3*宠物成长!$E$30)*(1+VLOOKUP(宠物属性点预览!I$2,宠物成长!$F$4:$K$25,4,FALSE)+0)+(VLOOKUP(宠物属性点预览!$B23,宠物成长!$D$30:$E$129,2,FALSE)-宠物成长!$E$30)*宠物成长!$C$2/宠物成长!$C$3*(1+VLOOKUP(宠物属性点预览!I$2,宠物成长!$F$5:$K$25,3,FALSE)+0)</f>
        <v>813</v>
      </c>
      <c r="J23" s="9">
        <f>(宠物成长!$C$1+宠物成长!$C$2/宠物成长!$C$3*宠物成长!$E$30)*(1+VLOOKUP(宠物属性点预览!J$2,宠物成长!$F$4:$K$25,4,FALSE)+0)+(VLOOKUP(宠物属性点预览!$B23,宠物成长!$D$30:$E$129,2,FALSE)-宠物成长!$E$30)*宠物成长!$C$2/宠物成长!$C$3*(1+VLOOKUP(宠物属性点预览!J$2,宠物成长!$F$5:$K$25,3,FALSE)+0)</f>
        <v>1052.6296296296296</v>
      </c>
      <c r="K23" s="9">
        <f>(宠物成长!$C$1+宠物成长!$C$2/宠物成长!$C$3*宠物成长!$E$30)*(1+VLOOKUP(宠物属性点预览!K$2,宠物成长!$F$4:$K$25,4,FALSE)+0)+(VLOOKUP(宠物属性点预览!$B23,宠物成长!$D$30:$E$129,2,FALSE)-宠物成长!$E$30)*宠物成长!$C$2/宠物成长!$C$3*(1+VLOOKUP(宠物属性点预览!K$2,宠物成长!$F$5:$K$25,3,FALSE)+0)</f>
        <v>1295.1296296296296</v>
      </c>
      <c r="L23" s="9">
        <f>(宠物成长!$C$1+宠物成长!$C$2/宠物成长!$C$3*宠物成长!$E$30)*(1+VLOOKUP(宠物属性点预览!L$2,宠物成长!$F$4:$K$25,4,FALSE)+0)+(VLOOKUP(宠物属性点预览!$B23,宠物成长!$D$30:$E$129,2,FALSE)-宠物成长!$E$30)*宠物成长!$C$2/宠物成长!$C$3*(1+VLOOKUP(宠物属性点预览!L$2,宠物成长!$F$5:$K$25,3,FALSE)+0)</f>
        <v>1539.7242242242241</v>
      </c>
      <c r="M23" s="9">
        <f>(宠物成长!$C$1+宠物成长!$C$2/宠物成长!$C$3*宠物成长!$E$30)*(1+VLOOKUP(宠物属性点预览!M$2,宠物成长!$F$4:$K$25,4,FALSE)+0)+(VLOOKUP(宠物属性点预览!$B23,宠物成长!$D$30:$E$129,2,FALSE)-宠物成长!$E$30)*宠物成长!$C$2/宠物成长!$C$3*(1+VLOOKUP(宠物属性点预览!M$2,宠物成长!$F$5:$K$25,3,FALSE)+0)</f>
        <v>1785.9147004147003</v>
      </c>
      <c r="N23" s="9">
        <f>(宠物成长!$C$1+宠物成长!$C$2/宠物成长!$C$3*宠物成长!$E$30)*(1+VLOOKUP(宠物属性点预览!N$2,宠物成长!$F$4:$K$25,4,FALSE)+0)+(VLOOKUP(宠物属性点预览!$B23,宠物成长!$D$30:$E$129,2,FALSE)-宠物成长!$E$30)*宠物成长!$C$2/宠物成长!$C$3*(1+VLOOKUP(宠物属性点预览!N$2,宠物成长!$F$5:$K$25,3,FALSE)+0)</f>
        <v>2033.3615089253385</v>
      </c>
      <c r="O23" s="9">
        <f>(宠物成长!$C$1+宠物成长!$C$2/宠物成长!$C$3*宠物成长!$E$30)*(1+VLOOKUP(宠物属性点预览!O$2,宠物成长!$F$4:$K$25,4,FALSE)+0)+(VLOOKUP(宠物属性点预览!$B23,宠物成长!$D$30:$E$129,2,FALSE)-宠物成长!$E$30)*宠物成长!$C$2/宠物成长!$C$3*(1+VLOOKUP(宠物属性点预览!O$2,宠物成长!$F$5:$K$25,3,FALSE)+0)</f>
        <v>2281.8230473868766</v>
      </c>
      <c r="P23" s="9">
        <f>(宠物成长!$C$1+宠物成长!$C$2/宠物成长!$C$3*宠物成长!$E$30)*(1+VLOOKUP(宠物属性点预览!P$2,宠物成长!$F$4:$K$25,4,FALSE)+0)+(VLOOKUP(宠物属性点预览!$B23,宠物成长!$D$30:$E$129,2,FALSE)-宠物成长!$E$30)*宠物成长!$C$2/宠物成长!$C$3*(1+VLOOKUP(宠物属性点预览!P$2,宠物成长!$F$5:$K$25,3,FALSE)+0)</f>
        <v>2531.1212930009119</v>
      </c>
      <c r="Q23" s="9">
        <f>(宠物成长!$C$1+宠物成长!$C$2/宠物成长!$C$3*宠物成长!$E$30)*(1+VLOOKUP(宠物属性点预览!Q$2,宠物成长!$F$4:$K$25,4,FALSE)+0)+(VLOOKUP(宠物属性点预览!$B23,宠物成长!$D$30:$E$129,2,FALSE)-宠物成长!$E$30)*宠物成长!$C$2/宠物成长!$C$3*(1+VLOOKUP(宠物属性点预览!Q$2,宠物成长!$F$5:$K$25,3,FALSE)+0)</f>
        <v>2781.1212930009119</v>
      </c>
      <c r="R23" s="9">
        <f>(宠物成长!$C$1+宠物成长!$C$2/宠物成长!$C$3*宠物成长!$E$30)*(1+VLOOKUP(宠物属性点预览!R$2,宠物成长!$F$4:$K$25,4,FALSE)+0)+(VLOOKUP(宠物属性点预览!$B23,宠物成长!$D$30:$E$129,2,FALSE)-宠物成长!$E$30)*宠物成长!$C$2/宠物成长!$C$3*(1+VLOOKUP(宠物属性点预览!R$2,宠物成长!$F$5:$K$25,3,FALSE)+0)</f>
        <v>3031.718307926285</v>
      </c>
      <c r="S23" s="9">
        <f>(宠物成长!$C$1+宠物成长!$C$2/宠物成长!$C$3*宠物成长!$E$30)*(1+VLOOKUP(宠物属性点预览!S$2,宠物成长!$F$4:$K$25,4,FALSE)+0)+(VLOOKUP(宠物属性点预览!$B23,宠物成长!$D$30:$E$129,2,FALSE)-宠物成长!$E$30)*宠物成长!$C$2/宠物成长!$C$3*(1+VLOOKUP(宠物属性点预览!S$2,宠物成长!$F$5:$K$25,3,FALSE)+0)</f>
        <v>3282.8294190373958</v>
      </c>
      <c r="T23" s="83">
        <f>G23</f>
        <v>439.59999999999997</v>
      </c>
      <c r="V23" s="9">
        <f>(宠物成长!$C$1+宠物成长!$C$2/宠物成长!$C$3*宠物成长!$E$30)*(1+宠物成长!$I$9+VLOOKUP(宠物属性点预览!V$2,宠物成长!$O$5:$R$10,3,FALSE))+(VLOOKUP(宠物属性点预览!$B23,宠物成长!$D$30:$E$129,2,FALSE)-宠物成长!$E$30)*宠物成长!$C$2/宠物成长!$C$3*(1+宠物成长!$H$9+VLOOKUP(宠物属性点预览!V$2,宠物成长!$O$5:$R$10,2,FALSE))</f>
        <v>439.59999999999997</v>
      </c>
      <c r="W23" s="9">
        <f>(宠物成长!$C$1+宠物成长!$C$2/宠物成长!$C$3*宠物成长!$E$30)*(1+宠物成长!$I$9+VLOOKUP(宠物属性点预览!W$2,宠物成长!$O$5:$R$10,3,FALSE))+(VLOOKUP(宠物属性点预览!$B23,宠物成长!$D$30:$E$129,2,FALSE)-宠物成长!$E$30)*宠物成长!$C$2/宠物成长!$C$3*(1+宠物成长!$H$9+VLOOKUP(宠物属性点预览!W$2,宠物成长!$O$5:$R$10,2,FALSE))</f>
        <v>769.6</v>
      </c>
      <c r="X23" s="9">
        <f>(宠物成长!$C$1+宠物成长!$C$2/宠物成长!$C$3*宠物成长!$E$30)*(1+宠物成长!$I$9+VLOOKUP(宠物属性点预览!X$2,宠物成长!$O$5:$R$10,3,FALSE))+(VLOOKUP(宠物属性点预览!$B23,宠物成长!$D$30:$E$129,2,FALSE)-宠物成长!$E$30)*宠物成长!$C$2/宠物成长!$C$3*(1+宠物成长!$H$9+VLOOKUP(宠物属性点预览!X$2,宠物成长!$O$5:$R$10,2,FALSE))</f>
        <v>1161.6000000000001</v>
      </c>
      <c r="Y23" s="9">
        <f>(宠物成长!$C$1+宠物成长!$C$2/宠物成长!$C$3*宠物成长!$E$30)*(1+宠物成长!$I$9+VLOOKUP(宠物属性点预览!Y$2,宠物成长!$O$5:$R$10,3,FALSE))+(VLOOKUP(宠物属性点预览!$B23,宠物成长!$D$30:$E$129,2,FALSE)-宠物成长!$E$30)*宠物成长!$C$2/宠物成长!$C$3*(1+宠物成长!$H$9+VLOOKUP(宠物属性点预览!Y$2,宠物成长!$O$5:$R$10,2,FALSE))</f>
        <v>1615.6000000000001</v>
      </c>
      <c r="Z23" s="9">
        <f>(宠物成长!$C$1+宠物成长!$C$2/宠物成长!$C$3*宠物成长!$E$30)*(1+宠物成长!$I$9+VLOOKUP(宠物属性点预览!Z$2,宠物成长!$O$5:$R$10,3,FALSE))+(VLOOKUP(宠物属性点预览!$B23,宠物成长!$D$30:$E$129,2,FALSE)-宠物成长!$E$30)*宠物成长!$C$2/宠物成长!$C$3*(1+宠物成长!$H$9+VLOOKUP(宠物属性点预览!Z$2,宠物成长!$O$5:$R$10,2,FALSE))</f>
        <v>2069.6000000000004</v>
      </c>
      <c r="AA23" s="1">
        <f t="shared" si="1"/>
        <v>0</v>
      </c>
    </row>
    <row r="24" spans="2:27" x14ac:dyDescent="0.15">
      <c r="B24" s="1">
        <v>22</v>
      </c>
      <c r="C24" s="9">
        <f>(宠物成长!$C$1+宠物成长!$C$2/宠物成长!$C$3*宠物成长!$E$30)*(1+VLOOKUP(宠物属性点预览!C$2,宠物成长!$F$4:$K$25,4,FALSE)+0)+(VLOOKUP(宠物属性点预览!$B24,宠物成长!$D$30:$E$129,2,FALSE)-宠物成长!$E$30)*宠物成长!$C$2/宠物成长!$C$3*(1+VLOOKUP(宠物属性点预览!C$2,宠物成长!$F$5:$K$25,3,FALSE)+0)</f>
        <v>135.5</v>
      </c>
      <c r="D24" s="9">
        <f>(宠物成长!$C$1+宠物成长!$C$2/宠物成长!$C$3*宠物成长!$E$30)*(1+VLOOKUP(宠物属性点预览!D$2,宠物成长!$F$4:$K$25,4,FALSE)+0)+(VLOOKUP(宠物属性点预览!$B24,宠物成长!$D$30:$E$129,2,FALSE)-宠物成长!$E$30)*宠物成长!$C$2/宠物成长!$C$3*(1+VLOOKUP(宠物属性点预览!D$2,宠物成长!$F$5:$K$25,3,FALSE)+0)</f>
        <v>182</v>
      </c>
      <c r="E24" s="9">
        <f>(宠物成长!$C$1+宠物成长!$C$2/宠物成长!$C$3*宠物成长!$E$30)*(1+VLOOKUP(宠物属性点预览!E$2,宠物成长!$F$4:$K$25,4,FALSE)+0)+(VLOOKUP(宠物属性点预览!$B24,宠物成长!$D$30:$E$129,2,FALSE)-宠物成长!$E$30)*宠物成长!$C$2/宠物成长!$C$3*(1+VLOOKUP(宠物属性点预览!E$2,宠物成长!$F$5:$K$25,3,FALSE)+0)</f>
        <v>247.1</v>
      </c>
      <c r="F24" s="9">
        <f>(宠物成长!$C$1+宠物成长!$C$2/宠物成长!$C$3*宠物成长!$E$30)*(1+VLOOKUP(宠物属性点预览!F$2,宠物成长!$F$4:$K$25,4,FALSE)+0)+(VLOOKUP(宠物属性点预览!$B24,宠物成长!$D$30:$E$129,2,FALSE)-宠物成长!$E$30)*宠物成长!$C$2/宠物成长!$C$3*(1+VLOOKUP(宠物属性点预览!F$2,宠物成长!$F$5:$K$25,3,FALSE)+0)</f>
        <v>333.90000000000003</v>
      </c>
      <c r="G24" s="9">
        <f>(宠物成长!$C$1+宠物成长!$C$2/宠物成长!$C$3*宠物成长!$E$30)*(1+VLOOKUP(宠物属性点预览!G$2,宠物成长!$F$4:$K$25,4,FALSE)+0)+(VLOOKUP(宠物属性点预览!$B24,宠物成长!$D$30:$E$129,2,FALSE)-宠物成长!$E$30)*宠物成长!$C$2/宠物成长!$C$3*(1+VLOOKUP(宠物属性点预览!G$2,宠物成长!$F$5:$K$25,3,FALSE)+0)</f>
        <v>443.59999999999997</v>
      </c>
      <c r="H24" s="9">
        <f>(宠物成长!$C$1+宠物成长!$C$2/宠物成长!$C$3*宠物成长!$E$30)*(1+VLOOKUP(宠物属性点预览!H$2,宠物成长!$F$4:$K$25,4,FALSE)+0)+(VLOOKUP(宠物属性点预览!$B24,宠物成长!$D$30:$E$129,2,FALSE)-宠物成长!$E$30)*宠物成长!$C$2/宠物成长!$C$3*(1+VLOOKUP(宠物属性点预览!H$2,宠物成长!$F$5:$K$25,3,FALSE)+0)</f>
        <v>602.9</v>
      </c>
      <c r="I24" s="9">
        <f>(宠物成长!$C$1+宠物成长!$C$2/宠物成长!$C$3*宠物成长!$E$30)*(1+VLOOKUP(宠物属性点预览!I$2,宠物成长!$F$4:$K$25,4,FALSE)+0)+(VLOOKUP(宠物属性点预览!$B24,宠物成长!$D$30:$E$129,2,FALSE)-宠物成长!$E$30)*宠物成长!$C$2/宠物成长!$C$3*(1+VLOOKUP(宠物属性点预览!I$2,宠物成长!$F$5:$K$25,3,FALSE)+0)</f>
        <v>818</v>
      </c>
      <c r="J24" s="9">
        <f>(宠物成长!$C$1+宠物成长!$C$2/宠物成长!$C$3*宠物成长!$E$30)*(1+VLOOKUP(宠物属性点预览!J$2,宠物成长!$F$4:$K$25,4,FALSE)+0)+(VLOOKUP(宠物属性点预览!$B24,宠物成长!$D$30:$E$129,2,FALSE)-宠物成长!$E$30)*宠物成长!$C$2/宠物成长!$C$3*(1+VLOOKUP(宠物属性点预览!J$2,宠物成长!$F$5:$K$25,3,FALSE)+0)</f>
        <v>1058.1296296296296</v>
      </c>
      <c r="K24" s="9">
        <f>(宠物成长!$C$1+宠物成长!$C$2/宠物成长!$C$3*宠物成长!$E$30)*(1+VLOOKUP(宠物属性点预览!K$2,宠物成长!$F$4:$K$25,4,FALSE)+0)+(VLOOKUP(宠物属性点预览!$B24,宠物成长!$D$30:$E$129,2,FALSE)-宠物成长!$E$30)*宠物成长!$C$2/宠物成长!$C$3*(1+VLOOKUP(宠物属性点预览!K$2,宠物成长!$F$5:$K$25,3,FALSE)+0)</f>
        <v>1301.1296296296296</v>
      </c>
      <c r="L24" s="9">
        <f>(宠物成长!$C$1+宠物成长!$C$2/宠物成长!$C$3*宠物成长!$E$30)*(1+VLOOKUP(宠物属性点预览!L$2,宠物成长!$F$4:$K$25,4,FALSE)+0)+(VLOOKUP(宠物属性点预览!$B24,宠物成长!$D$30:$E$129,2,FALSE)-宠物成长!$E$30)*宠物成长!$C$2/宠物成长!$C$3*(1+VLOOKUP(宠物属性点预览!L$2,宠物成长!$F$5:$K$25,3,FALSE)+0)</f>
        <v>1546.2242242242241</v>
      </c>
      <c r="M24" s="9">
        <f>(宠物成长!$C$1+宠物成长!$C$2/宠物成长!$C$3*宠物成长!$E$30)*(1+VLOOKUP(宠物属性点预览!M$2,宠物成长!$F$4:$K$25,4,FALSE)+0)+(VLOOKUP(宠物属性点预览!$B24,宠物成长!$D$30:$E$129,2,FALSE)-宠物成长!$E$30)*宠物成长!$C$2/宠物成长!$C$3*(1+VLOOKUP(宠物属性点预览!M$2,宠物成长!$F$5:$K$25,3,FALSE)+0)</f>
        <v>1792.9147004147003</v>
      </c>
      <c r="N24" s="9">
        <f>(宠物成长!$C$1+宠物成长!$C$2/宠物成长!$C$3*宠物成长!$E$30)*(1+VLOOKUP(宠物属性点预览!N$2,宠物成长!$F$4:$K$25,4,FALSE)+0)+(VLOOKUP(宠物属性点预览!$B24,宠物成长!$D$30:$E$129,2,FALSE)-宠物成长!$E$30)*宠物成长!$C$2/宠物成长!$C$3*(1+VLOOKUP(宠物属性点预览!N$2,宠物成长!$F$5:$K$25,3,FALSE)+0)</f>
        <v>2040.8615089253385</v>
      </c>
      <c r="O24" s="9">
        <f>(宠物成长!$C$1+宠物成长!$C$2/宠物成长!$C$3*宠物成长!$E$30)*(1+VLOOKUP(宠物属性点预览!O$2,宠物成长!$F$4:$K$25,4,FALSE)+0)+(VLOOKUP(宠物属性点预览!$B24,宠物成长!$D$30:$E$129,2,FALSE)-宠物成长!$E$30)*宠物成长!$C$2/宠物成长!$C$3*(1+VLOOKUP(宠物属性点预览!O$2,宠物成长!$F$5:$K$25,3,FALSE)+0)</f>
        <v>2289.8230473868766</v>
      </c>
      <c r="P24" s="9">
        <f>(宠物成长!$C$1+宠物成长!$C$2/宠物成长!$C$3*宠物成长!$E$30)*(1+VLOOKUP(宠物属性点预览!P$2,宠物成长!$F$4:$K$25,4,FALSE)+0)+(VLOOKUP(宠物属性点预览!$B24,宠物成长!$D$30:$E$129,2,FALSE)-宠物成长!$E$30)*宠物成长!$C$2/宠物成长!$C$3*(1+VLOOKUP(宠物属性点预览!P$2,宠物成长!$F$5:$K$25,3,FALSE)+0)</f>
        <v>2539.6212930009119</v>
      </c>
      <c r="Q24" s="9">
        <f>(宠物成长!$C$1+宠物成长!$C$2/宠物成长!$C$3*宠物成长!$E$30)*(1+VLOOKUP(宠物属性点预览!Q$2,宠物成长!$F$4:$K$25,4,FALSE)+0)+(VLOOKUP(宠物属性点预览!$B24,宠物成长!$D$30:$E$129,2,FALSE)-宠物成长!$E$30)*宠物成长!$C$2/宠物成长!$C$3*(1+VLOOKUP(宠物属性点预览!Q$2,宠物成长!$F$5:$K$25,3,FALSE)+0)</f>
        <v>2790.1212930009119</v>
      </c>
      <c r="R24" s="9">
        <f>(宠物成长!$C$1+宠物成长!$C$2/宠物成长!$C$3*宠物成长!$E$30)*(1+VLOOKUP(宠物属性点预览!R$2,宠物成长!$F$4:$K$25,4,FALSE)+0)+(VLOOKUP(宠物属性点预览!$B24,宠物成长!$D$30:$E$129,2,FALSE)-宠物成长!$E$30)*宠物成长!$C$2/宠物成长!$C$3*(1+VLOOKUP(宠物属性点预览!R$2,宠物成长!$F$5:$K$25,3,FALSE)+0)</f>
        <v>3041.218307926285</v>
      </c>
      <c r="S24" s="9">
        <f>(宠物成长!$C$1+宠物成长!$C$2/宠物成长!$C$3*宠物成长!$E$30)*(1+VLOOKUP(宠物属性点预览!S$2,宠物成长!$F$4:$K$25,4,FALSE)+0)+(VLOOKUP(宠物属性点预览!$B24,宠物成长!$D$30:$E$129,2,FALSE)-宠物成长!$E$30)*宠物成长!$C$2/宠物成长!$C$3*(1+VLOOKUP(宠物属性点预览!S$2,宠物成长!$F$5:$K$25,3,FALSE)+0)</f>
        <v>3292.8294190373958</v>
      </c>
      <c r="T24" s="83">
        <f t="shared" ref="T24:T27" si="5">G24</f>
        <v>443.59999999999997</v>
      </c>
      <c r="V24" s="9">
        <f>(宠物成长!$C$1+宠物成长!$C$2/宠物成长!$C$3*宠物成长!$E$30)*(1+宠物成长!$I$9+VLOOKUP(宠物属性点预览!V$2,宠物成长!$O$5:$R$10,3,FALSE))+(VLOOKUP(宠物属性点预览!$B24,宠物成长!$D$30:$E$129,2,FALSE)-宠物成长!$E$30)*宠物成长!$C$2/宠物成长!$C$3*(1+宠物成长!$H$9+VLOOKUP(宠物属性点预览!V$2,宠物成长!$O$5:$R$10,2,FALSE))</f>
        <v>443.59999999999997</v>
      </c>
      <c r="W24" s="9">
        <f>(宠物成长!$C$1+宠物成长!$C$2/宠物成长!$C$3*宠物成长!$E$30)*(1+宠物成长!$I$9+VLOOKUP(宠物属性点预览!W$2,宠物成长!$O$5:$R$10,3,FALSE))+(VLOOKUP(宠物属性点预览!$B24,宠物成长!$D$30:$E$129,2,FALSE)-宠物成长!$E$30)*宠物成长!$C$2/宠物成长!$C$3*(1+宠物成长!$H$9+VLOOKUP(宠物属性点预览!W$2,宠物成长!$O$5:$R$10,2,FALSE))</f>
        <v>774.6</v>
      </c>
      <c r="X24" s="9">
        <f>(宠物成长!$C$1+宠物成长!$C$2/宠物成长!$C$3*宠物成长!$E$30)*(1+宠物成长!$I$9+VLOOKUP(宠物属性点预览!X$2,宠物成长!$O$5:$R$10,3,FALSE))+(VLOOKUP(宠物属性点预览!$B24,宠物成长!$D$30:$E$129,2,FALSE)-宠物成长!$E$30)*宠物成长!$C$2/宠物成长!$C$3*(1+宠物成长!$H$9+VLOOKUP(宠物属性点预览!X$2,宠物成长!$O$5:$R$10,2,FALSE))</f>
        <v>1167.6000000000001</v>
      </c>
      <c r="Y24" s="9">
        <f>(宠物成长!$C$1+宠物成长!$C$2/宠物成长!$C$3*宠物成长!$E$30)*(1+宠物成长!$I$9+VLOOKUP(宠物属性点预览!Y$2,宠物成长!$O$5:$R$10,3,FALSE))+(VLOOKUP(宠物属性点预览!$B24,宠物成长!$D$30:$E$129,2,FALSE)-宠物成长!$E$30)*宠物成长!$C$2/宠物成长!$C$3*(1+宠物成长!$H$9+VLOOKUP(宠物属性点预览!Y$2,宠物成长!$O$5:$R$10,2,FALSE))</f>
        <v>1622.6000000000001</v>
      </c>
      <c r="Z24" s="9">
        <f>(宠物成长!$C$1+宠物成长!$C$2/宠物成长!$C$3*宠物成长!$E$30)*(1+宠物成长!$I$9+VLOOKUP(宠物属性点预览!Z$2,宠物成长!$O$5:$R$10,3,FALSE))+(VLOOKUP(宠物属性点预览!$B24,宠物成长!$D$30:$E$129,2,FALSE)-宠物成长!$E$30)*宠物成长!$C$2/宠物成长!$C$3*(1+宠物成长!$H$9+VLOOKUP(宠物属性点预览!Z$2,宠物成长!$O$5:$R$10,2,FALSE))</f>
        <v>2077.6000000000004</v>
      </c>
      <c r="AA24" s="1">
        <f t="shared" si="1"/>
        <v>0</v>
      </c>
    </row>
    <row r="25" spans="2:27" x14ac:dyDescent="0.15">
      <c r="B25" s="1">
        <v>23</v>
      </c>
      <c r="C25" s="9">
        <f>(宠物成长!$C$1+宠物成长!$C$2/宠物成长!$C$3*宠物成长!$E$30)*(1+VLOOKUP(宠物属性点预览!C$2,宠物成长!$F$4:$K$25,4,FALSE)+0)+(VLOOKUP(宠物属性点预览!$B25,宠物成长!$D$30:$E$129,2,FALSE)-宠物成长!$E$30)*宠物成长!$C$2/宠物成长!$C$3*(1+VLOOKUP(宠物属性点预览!C$2,宠物成长!$F$5:$K$25,3,FALSE)+0)</f>
        <v>139</v>
      </c>
      <c r="D25" s="9">
        <f>(宠物成长!$C$1+宠物成长!$C$2/宠物成长!$C$3*宠物成长!$E$30)*(1+VLOOKUP(宠物属性点预览!D$2,宠物成长!$F$4:$K$25,4,FALSE)+0)+(VLOOKUP(宠物属性点预览!$B25,宠物成长!$D$30:$E$129,2,FALSE)-宠物成长!$E$30)*宠物成长!$C$2/宠物成长!$C$3*(1+VLOOKUP(宠物属性点预览!D$2,宠物成长!$F$5:$K$25,3,FALSE)+0)</f>
        <v>185.5</v>
      </c>
      <c r="E25" s="9">
        <f>(宠物成长!$C$1+宠物成长!$C$2/宠物成长!$C$3*宠物成长!$E$30)*(1+VLOOKUP(宠物属性点预览!E$2,宠物成长!$F$4:$K$25,4,FALSE)+0)+(VLOOKUP(宠物属性点预览!$B25,宠物成长!$D$30:$E$129,2,FALSE)-宠物成长!$E$30)*宠物成长!$C$2/宠物成长!$C$3*(1+VLOOKUP(宠物属性点预览!E$2,宠物成长!$F$5:$K$25,3,FALSE)+0)</f>
        <v>250.6</v>
      </c>
      <c r="F25" s="9">
        <f>(宠物成长!$C$1+宠物成长!$C$2/宠物成长!$C$3*宠物成长!$E$30)*(1+VLOOKUP(宠物属性点预览!F$2,宠物成长!$F$4:$K$25,4,FALSE)+0)+(VLOOKUP(宠物属性点预览!$B25,宠物成长!$D$30:$E$129,2,FALSE)-宠物成长!$E$30)*宠物成长!$C$2/宠物成长!$C$3*(1+VLOOKUP(宠物属性点预览!F$2,宠物成长!$F$5:$K$25,3,FALSE)+0)</f>
        <v>337.40000000000003</v>
      </c>
      <c r="G25" s="9">
        <f>(宠物成长!$C$1+宠物成长!$C$2/宠物成长!$C$3*宠物成长!$E$30)*(1+VLOOKUP(宠物属性点预览!G$2,宠物成长!$F$4:$K$25,4,FALSE)+0)+(VLOOKUP(宠物属性点预览!$B25,宠物成长!$D$30:$E$129,2,FALSE)-宠物成长!$E$30)*宠物成长!$C$2/宠物成长!$C$3*(1+VLOOKUP(宠物属性点预览!G$2,宠物成长!$F$5:$K$25,3,FALSE)+0)</f>
        <v>447.59999999999997</v>
      </c>
      <c r="H25" s="9">
        <f>(宠物成长!$C$1+宠物成长!$C$2/宠物成长!$C$3*宠物成长!$E$30)*(1+VLOOKUP(宠物属性点预览!H$2,宠物成长!$F$4:$K$25,4,FALSE)+0)+(VLOOKUP(宠物属性点预览!$B25,宠物成长!$D$30:$E$129,2,FALSE)-宠物成长!$E$30)*宠物成长!$C$2/宠物成长!$C$3*(1+VLOOKUP(宠物属性点预览!H$2,宠物成长!$F$5:$K$25,3,FALSE)+0)</f>
        <v>607.4</v>
      </c>
      <c r="I25" s="9">
        <f>(宠物成长!$C$1+宠物成长!$C$2/宠物成长!$C$3*宠物成长!$E$30)*(1+VLOOKUP(宠物属性点预览!I$2,宠物成长!$F$4:$K$25,4,FALSE)+0)+(VLOOKUP(宠物属性点预览!$B25,宠物成长!$D$30:$E$129,2,FALSE)-宠物成长!$E$30)*宠物成长!$C$2/宠物成长!$C$3*(1+VLOOKUP(宠物属性点预览!I$2,宠物成长!$F$5:$K$25,3,FALSE)+0)</f>
        <v>823</v>
      </c>
      <c r="J25" s="9">
        <f>(宠物成长!$C$1+宠物成长!$C$2/宠物成长!$C$3*宠物成长!$E$30)*(1+VLOOKUP(宠物属性点预览!J$2,宠物成长!$F$4:$K$25,4,FALSE)+0)+(VLOOKUP(宠物属性点预览!$B25,宠物成长!$D$30:$E$129,2,FALSE)-宠物成长!$E$30)*宠物成长!$C$2/宠物成长!$C$3*(1+VLOOKUP(宠物属性点预览!J$2,宠物成长!$F$5:$K$25,3,FALSE)+0)</f>
        <v>1063.6296296296296</v>
      </c>
      <c r="K25" s="9">
        <f>(宠物成长!$C$1+宠物成长!$C$2/宠物成长!$C$3*宠物成长!$E$30)*(1+VLOOKUP(宠物属性点预览!K$2,宠物成长!$F$4:$K$25,4,FALSE)+0)+(VLOOKUP(宠物属性点预览!$B25,宠物成长!$D$30:$E$129,2,FALSE)-宠物成长!$E$30)*宠物成长!$C$2/宠物成长!$C$3*(1+VLOOKUP(宠物属性点预览!K$2,宠物成长!$F$5:$K$25,3,FALSE)+0)</f>
        <v>1307.1296296296296</v>
      </c>
      <c r="L25" s="9">
        <f>(宠物成长!$C$1+宠物成长!$C$2/宠物成长!$C$3*宠物成长!$E$30)*(1+VLOOKUP(宠物属性点预览!L$2,宠物成长!$F$4:$K$25,4,FALSE)+0)+(VLOOKUP(宠物属性点预览!$B25,宠物成长!$D$30:$E$129,2,FALSE)-宠物成长!$E$30)*宠物成长!$C$2/宠物成长!$C$3*(1+VLOOKUP(宠物属性点预览!L$2,宠物成长!$F$5:$K$25,3,FALSE)+0)</f>
        <v>1552.7242242242241</v>
      </c>
      <c r="M25" s="9">
        <f>(宠物成长!$C$1+宠物成长!$C$2/宠物成长!$C$3*宠物成长!$E$30)*(1+VLOOKUP(宠物属性点预览!M$2,宠物成长!$F$4:$K$25,4,FALSE)+0)+(VLOOKUP(宠物属性点预览!$B25,宠物成长!$D$30:$E$129,2,FALSE)-宠物成长!$E$30)*宠物成长!$C$2/宠物成长!$C$3*(1+VLOOKUP(宠物属性点预览!M$2,宠物成长!$F$5:$K$25,3,FALSE)+0)</f>
        <v>1799.9147004147003</v>
      </c>
      <c r="N25" s="9">
        <f>(宠物成长!$C$1+宠物成长!$C$2/宠物成长!$C$3*宠物成长!$E$30)*(1+VLOOKUP(宠物属性点预览!N$2,宠物成长!$F$4:$K$25,4,FALSE)+0)+(VLOOKUP(宠物属性点预览!$B25,宠物成长!$D$30:$E$129,2,FALSE)-宠物成长!$E$30)*宠物成长!$C$2/宠物成长!$C$3*(1+VLOOKUP(宠物属性点预览!N$2,宠物成长!$F$5:$K$25,3,FALSE)+0)</f>
        <v>2048.3615089253385</v>
      </c>
      <c r="O25" s="9">
        <f>(宠物成长!$C$1+宠物成长!$C$2/宠物成长!$C$3*宠物成长!$E$30)*(1+VLOOKUP(宠物属性点预览!O$2,宠物成长!$F$4:$K$25,4,FALSE)+0)+(VLOOKUP(宠物属性点预览!$B25,宠物成长!$D$30:$E$129,2,FALSE)-宠物成长!$E$30)*宠物成长!$C$2/宠物成长!$C$3*(1+VLOOKUP(宠物属性点预览!O$2,宠物成长!$F$5:$K$25,3,FALSE)+0)</f>
        <v>2297.8230473868766</v>
      </c>
      <c r="P25" s="9">
        <f>(宠物成长!$C$1+宠物成长!$C$2/宠物成长!$C$3*宠物成长!$E$30)*(1+VLOOKUP(宠物属性点预览!P$2,宠物成长!$F$4:$K$25,4,FALSE)+0)+(VLOOKUP(宠物属性点预览!$B25,宠物成长!$D$30:$E$129,2,FALSE)-宠物成长!$E$30)*宠物成长!$C$2/宠物成长!$C$3*(1+VLOOKUP(宠物属性点预览!P$2,宠物成长!$F$5:$K$25,3,FALSE)+0)</f>
        <v>2548.1212930009119</v>
      </c>
      <c r="Q25" s="9">
        <f>(宠物成长!$C$1+宠物成长!$C$2/宠物成长!$C$3*宠物成长!$E$30)*(1+VLOOKUP(宠物属性点预览!Q$2,宠物成长!$F$4:$K$25,4,FALSE)+0)+(VLOOKUP(宠物属性点预览!$B25,宠物成长!$D$30:$E$129,2,FALSE)-宠物成长!$E$30)*宠物成长!$C$2/宠物成长!$C$3*(1+VLOOKUP(宠物属性点预览!Q$2,宠物成长!$F$5:$K$25,3,FALSE)+0)</f>
        <v>2799.1212930009119</v>
      </c>
      <c r="R25" s="9">
        <f>(宠物成长!$C$1+宠物成长!$C$2/宠物成长!$C$3*宠物成长!$E$30)*(1+VLOOKUP(宠物属性点预览!R$2,宠物成长!$F$4:$K$25,4,FALSE)+0)+(VLOOKUP(宠物属性点预览!$B25,宠物成长!$D$30:$E$129,2,FALSE)-宠物成长!$E$30)*宠物成长!$C$2/宠物成长!$C$3*(1+VLOOKUP(宠物属性点预览!R$2,宠物成长!$F$5:$K$25,3,FALSE)+0)</f>
        <v>3050.718307926285</v>
      </c>
      <c r="S25" s="9">
        <f>(宠物成长!$C$1+宠物成长!$C$2/宠物成长!$C$3*宠物成长!$E$30)*(1+VLOOKUP(宠物属性点预览!S$2,宠物成长!$F$4:$K$25,4,FALSE)+0)+(VLOOKUP(宠物属性点预览!$B25,宠物成长!$D$30:$E$129,2,FALSE)-宠物成长!$E$30)*宠物成长!$C$2/宠物成长!$C$3*(1+VLOOKUP(宠物属性点预览!S$2,宠物成长!$F$5:$K$25,3,FALSE)+0)</f>
        <v>3302.8294190373958</v>
      </c>
      <c r="T25" s="83">
        <f t="shared" si="5"/>
        <v>447.59999999999997</v>
      </c>
      <c r="V25" s="9">
        <f>(宠物成长!$C$1+宠物成长!$C$2/宠物成长!$C$3*宠物成长!$E$30)*(1+宠物成长!$I$9+VLOOKUP(宠物属性点预览!V$2,宠物成长!$O$5:$R$10,3,FALSE))+(VLOOKUP(宠物属性点预览!$B25,宠物成长!$D$30:$E$129,2,FALSE)-宠物成长!$E$30)*宠物成长!$C$2/宠物成长!$C$3*(1+宠物成长!$H$9+VLOOKUP(宠物属性点预览!V$2,宠物成长!$O$5:$R$10,2,FALSE))</f>
        <v>447.59999999999997</v>
      </c>
      <c r="W25" s="9">
        <f>(宠物成长!$C$1+宠物成长!$C$2/宠物成长!$C$3*宠物成长!$E$30)*(1+宠物成长!$I$9+VLOOKUP(宠物属性点预览!W$2,宠物成长!$O$5:$R$10,3,FALSE))+(VLOOKUP(宠物属性点预览!$B25,宠物成长!$D$30:$E$129,2,FALSE)-宠物成长!$E$30)*宠物成长!$C$2/宠物成长!$C$3*(1+宠物成长!$H$9+VLOOKUP(宠物属性点预览!W$2,宠物成长!$O$5:$R$10,2,FALSE))</f>
        <v>779.6</v>
      </c>
      <c r="X25" s="9">
        <f>(宠物成长!$C$1+宠物成长!$C$2/宠物成长!$C$3*宠物成长!$E$30)*(1+宠物成长!$I$9+VLOOKUP(宠物属性点预览!X$2,宠物成长!$O$5:$R$10,3,FALSE))+(VLOOKUP(宠物属性点预览!$B25,宠物成长!$D$30:$E$129,2,FALSE)-宠物成长!$E$30)*宠物成长!$C$2/宠物成长!$C$3*(1+宠物成长!$H$9+VLOOKUP(宠物属性点预览!X$2,宠物成长!$O$5:$R$10,2,FALSE))</f>
        <v>1173.6000000000001</v>
      </c>
      <c r="Y25" s="9">
        <f>(宠物成长!$C$1+宠物成长!$C$2/宠物成长!$C$3*宠物成长!$E$30)*(1+宠物成长!$I$9+VLOOKUP(宠物属性点预览!Y$2,宠物成长!$O$5:$R$10,3,FALSE))+(VLOOKUP(宠物属性点预览!$B25,宠物成长!$D$30:$E$129,2,FALSE)-宠物成长!$E$30)*宠物成长!$C$2/宠物成长!$C$3*(1+宠物成长!$H$9+VLOOKUP(宠物属性点预览!Y$2,宠物成长!$O$5:$R$10,2,FALSE))</f>
        <v>1629.6000000000001</v>
      </c>
      <c r="Z25" s="9">
        <f>(宠物成长!$C$1+宠物成长!$C$2/宠物成长!$C$3*宠物成长!$E$30)*(1+宠物成长!$I$9+VLOOKUP(宠物属性点预览!Z$2,宠物成长!$O$5:$R$10,3,FALSE))+(VLOOKUP(宠物属性点预览!$B25,宠物成长!$D$30:$E$129,2,FALSE)-宠物成长!$E$30)*宠物成长!$C$2/宠物成长!$C$3*(1+宠物成长!$H$9+VLOOKUP(宠物属性点预览!Z$2,宠物成长!$O$5:$R$10,2,FALSE))</f>
        <v>2085.6000000000004</v>
      </c>
      <c r="AA25" s="1">
        <f t="shared" si="1"/>
        <v>0</v>
      </c>
    </row>
    <row r="26" spans="2:27" x14ac:dyDescent="0.15">
      <c r="B26" s="1">
        <v>24</v>
      </c>
      <c r="C26" s="9">
        <f>(宠物成长!$C$1+宠物成长!$C$2/宠物成长!$C$3*宠物成长!$E$30)*(1+VLOOKUP(宠物属性点预览!C$2,宠物成长!$F$4:$K$25,4,FALSE)+0)+(VLOOKUP(宠物属性点预览!$B26,宠物成长!$D$30:$E$129,2,FALSE)-宠物成长!$E$30)*宠物成长!$C$2/宠物成长!$C$3*(1+VLOOKUP(宠物属性点预览!C$2,宠物成长!$F$5:$K$25,3,FALSE)+0)</f>
        <v>142.5</v>
      </c>
      <c r="D26" s="9">
        <f>(宠物成长!$C$1+宠物成长!$C$2/宠物成长!$C$3*宠物成长!$E$30)*(1+VLOOKUP(宠物属性点预览!D$2,宠物成长!$F$4:$K$25,4,FALSE)+0)+(VLOOKUP(宠物属性点预览!$B26,宠物成长!$D$30:$E$129,2,FALSE)-宠物成长!$E$30)*宠物成长!$C$2/宠物成长!$C$3*(1+VLOOKUP(宠物属性点预览!D$2,宠物成长!$F$5:$K$25,3,FALSE)+0)</f>
        <v>189</v>
      </c>
      <c r="E26" s="9">
        <f>(宠物成长!$C$1+宠物成长!$C$2/宠物成长!$C$3*宠物成长!$E$30)*(1+VLOOKUP(宠物属性点预览!E$2,宠物成长!$F$4:$K$25,4,FALSE)+0)+(VLOOKUP(宠物属性点预览!$B26,宠物成长!$D$30:$E$129,2,FALSE)-宠物成长!$E$30)*宠物成长!$C$2/宠物成长!$C$3*(1+VLOOKUP(宠物属性点预览!E$2,宠物成长!$F$5:$K$25,3,FALSE)+0)</f>
        <v>254.1</v>
      </c>
      <c r="F26" s="9">
        <f>(宠物成长!$C$1+宠物成长!$C$2/宠物成长!$C$3*宠物成长!$E$30)*(1+VLOOKUP(宠物属性点预览!F$2,宠物成长!$F$4:$K$25,4,FALSE)+0)+(VLOOKUP(宠物属性点预览!$B26,宠物成长!$D$30:$E$129,2,FALSE)-宠物成长!$E$30)*宠物成长!$C$2/宠物成长!$C$3*(1+VLOOKUP(宠物属性点预览!F$2,宠物成长!$F$5:$K$25,3,FALSE)+0)</f>
        <v>340.90000000000003</v>
      </c>
      <c r="G26" s="9">
        <f>(宠物成长!$C$1+宠物成长!$C$2/宠物成长!$C$3*宠物成长!$E$30)*(1+VLOOKUP(宠物属性点预览!G$2,宠物成长!$F$4:$K$25,4,FALSE)+0)+(VLOOKUP(宠物属性点预览!$B26,宠物成长!$D$30:$E$129,2,FALSE)-宠物成长!$E$30)*宠物成长!$C$2/宠物成长!$C$3*(1+VLOOKUP(宠物属性点预览!G$2,宠物成长!$F$5:$K$25,3,FALSE)+0)</f>
        <v>451.59999999999997</v>
      </c>
      <c r="H26" s="9">
        <f>(宠物成长!$C$1+宠物成长!$C$2/宠物成长!$C$3*宠物成长!$E$30)*(1+VLOOKUP(宠物属性点预览!H$2,宠物成长!$F$4:$K$25,4,FALSE)+0)+(VLOOKUP(宠物属性点预览!$B26,宠物成长!$D$30:$E$129,2,FALSE)-宠物成长!$E$30)*宠物成长!$C$2/宠物成长!$C$3*(1+VLOOKUP(宠物属性点预览!H$2,宠物成长!$F$5:$K$25,3,FALSE)+0)</f>
        <v>611.9</v>
      </c>
      <c r="I26" s="9">
        <f>(宠物成长!$C$1+宠物成长!$C$2/宠物成长!$C$3*宠物成长!$E$30)*(1+VLOOKUP(宠物属性点预览!I$2,宠物成长!$F$4:$K$25,4,FALSE)+0)+(VLOOKUP(宠物属性点预览!$B26,宠物成长!$D$30:$E$129,2,FALSE)-宠物成长!$E$30)*宠物成长!$C$2/宠物成长!$C$3*(1+VLOOKUP(宠物属性点预览!I$2,宠物成长!$F$5:$K$25,3,FALSE)+0)</f>
        <v>828</v>
      </c>
      <c r="J26" s="9">
        <f>(宠物成长!$C$1+宠物成长!$C$2/宠物成长!$C$3*宠物成长!$E$30)*(1+VLOOKUP(宠物属性点预览!J$2,宠物成长!$F$4:$K$25,4,FALSE)+0)+(VLOOKUP(宠物属性点预览!$B26,宠物成长!$D$30:$E$129,2,FALSE)-宠物成长!$E$30)*宠物成长!$C$2/宠物成长!$C$3*(1+VLOOKUP(宠物属性点预览!J$2,宠物成长!$F$5:$K$25,3,FALSE)+0)</f>
        <v>1069.1296296296296</v>
      </c>
      <c r="K26" s="9">
        <f>(宠物成长!$C$1+宠物成长!$C$2/宠物成长!$C$3*宠物成长!$E$30)*(1+VLOOKUP(宠物属性点预览!K$2,宠物成长!$F$4:$K$25,4,FALSE)+0)+(VLOOKUP(宠物属性点预览!$B26,宠物成长!$D$30:$E$129,2,FALSE)-宠物成长!$E$30)*宠物成长!$C$2/宠物成长!$C$3*(1+VLOOKUP(宠物属性点预览!K$2,宠物成长!$F$5:$K$25,3,FALSE)+0)</f>
        <v>1313.1296296296296</v>
      </c>
      <c r="L26" s="9">
        <f>(宠物成长!$C$1+宠物成长!$C$2/宠物成长!$C$3*宠物成长!$E$30)*(1+VLOOKUP(宠物属性点预览!L$2,宠物成长!$F$4:$K$25,4,FALSE)+0)+(VLOOKUP(宠物属性点预览!$B26,宠物成长!$D$30:$E$129,2,FALSE)-宠物成长!$E$30)*宠物成长!$C$2/宠物成长!$C$3*(1+VLOOKUP(宠物属性点预览!L$2,宠物成长!$F$5:$K$25,3,FALSE)+0)</f>
        <v>1559.2242242242241</v>
      </c>
      <c r="M26" s="9">
        <f>(宠物成长!$C$1+宠物成长!$C$2/宠物成长!$C$3*宠物成长!$E$30)*(1+VLOOKUP(宠物属性点预览!M$2,宠物成长!$F$4:$K$25,4,FALSE)+0)+(VLOOKUP(宠物属性点预览!$B26,宠物成长!$D$30:$E$129,2,FALSE)-宠物成长!$E$30)*宠物成长!$C$2/宠物成长!$C$3*(1+VLOOKUP(宠物属性点预览!M$2,宠物成长!$F$5:$K$25,3,FALSE)+0)</f>
        <v>1806.9147004147003</v>
      </c>
      <c r="N26" s="9">
        <f>(宠物成长!$C$1+宠物成长!$C$2/宠物成长!$C$3*宠物成长!$E$30)*(1+VLOOKUP(宠物属性点预览!N$2,宠物成长!$F$4:$K$25,4,FALSE)+0)+(VLOOKUP(宠物属性点预览!$B26,宠物成长!$D$30:$E$129,2,FALSE)-宠物成长!$E$30)*宠物成长!$C$2/宠物成长!$C$3*(1+VLOOKUP(宠物属性点预览!N$2,宠物成长!$F$5:$K$25,3,FALSE)+0)</f>
        <v>2055.8615089253385</v>
      </c>
      <c r="O26" s="9">
        <f>(宠物成长!$C$1+宠物成长!$C$2/宠物成长!$C$3*宠物成长!$E$30)*(1+VLOOKUP(宠物属性点预览!O$2,宠物成长!$F$4:$K$25,4,FALSE)+0)+(VLOOKUP(宠物属性点预览!$B26,宠物成长!$D$30:$E$129,2,FALSE)-宠物成长!$E$30)*宠物成长!$C$2/宠物成长!$C$3*(1+VLOOKUP(宠物属性点预览!O$2,宠物成长!$F$5:$K$25,3,FALSE)+0)</f>
        <v>2305.8230473868766</v>
      </c>
      <c r="P26" s="9">
        <f>(宠物成长!$C$1+宠物成长!$C$2/宠物成长!$C$3*宠物成长!$E$30)*(1+VLOOKUP(宠物属性点预览!P$2,宠物成长!$F$4:$K$25,4,FALSE)+0)+(VLOOKUP(宠物属性点预览!$B26,宠物成长!$D$30:$E$129,2,FALSE)-宠物成长!$E$30)*宠物成长!$C$2/宠物成长!$C$3*(1+VLOOKUP(宠物属性点预览!P$2,宠物成长!$F$5:$K$25,3,FALSE)+0)</f>
        <v>2556.6212930009119</v>
      </c>
      <c r="Q26" s="9">
        <f>(宠物成长!$C$1+宠物成长!$C$2/宠物成长!$C$3*宠物成长!$E$30)*(1+VLOOKUP(宠物属性点预览!Q$2,宠物成长!$F$4:$K$25,4,FALSE)+0)+(VLOOKUP(宠物属性点预览!$B26,宠物成长!$D$30:$E$129,2,FALSE)-宠物成长!$E$30)*宠物成长!$C$2/宠物成长!$C$3*(1+VLOOKUP(宠物属性点预览!Q$2,宠物成长!$F$5:$K$25,3,FALSE)+0)</f>
        <v>2808.1212930009119</v>
      </c>
      <c r="R26" s="9">
        <f>(宠物成长!$C$1+宠物成长!$C$2/宠物成长!$C$3*宠物成长!$E$30)*(1+VLOOKUP(宠物属性点预览!R$2,宠物成长!$F$4:$K$25,4,FALSE)+0)+(VLOOKUP(宠物属性点预览!$B26,宠物成长!$D$30:$E$129,2,FALSE)-宠物成长!$E$30)*宠物成长!$C$2/宠物成长!$C$3*(1+VLOOKUP(宠物属性点预览!R$2,宠物成长!$F$5:$K$25,3,FALSE)+0)</f>
        <v>3060.218307926285</v>
      </c>
      <c r="S26" s="9">
        <f>(宠物成长!$C$1+宠物成长!$C$2/宠物成长!$C$3*宠物成长!$E$30)*(1+VLOOKUP(宠物属性点预览!S$2,宠物成长!$F$4:$K$25,4,FALSE)+0)+(VLOOKUP(宠物属性点预览!$B26,宠物成长!$D$30:$E$129,2,FALSE)-宠物成长!$E$30)*宠物成长!$C$2/宠物成长!$C$3*(1+VLOOKUP(宠物属性点预览!S$2,宠物成长!$F$5:$K$25,3,FALSE)+0)</f>
        <v>3312.8294190373958</v>
      </c>
      <c r="T26" s="83">
        <f t="shared" si="5"/>
        <v>451.59999999999997</v>
      </c>
      <c r="V26" s="9">
        <f>(宠物成长!$C$1+宠物成长!$C$2/宠物成长!$C$3*宠物成长!$E$30)*(1+宠物成长!$I$9+VLOOKUP(宠物属性点预览!V$2,宠物成长!$O$5:$R$10,3,FALSE))+(VLOOKUP(宠物属性点预览!$B26,宠物成长!$D$30:$E$129,2,FALSE)-宠物成长!$E$30)*宠物成长!$C$2/宠物成长!$C$3*(1+宠物成长!$H$9+VLOOKUP(宠物属性点预览!V$2,宠物成长!$O$5:$R$10,2,FALSE))</f>
        <v>451.59999999999997</v>
      </c>
      <c r="W26" s="9">
        <f>(宠物成长!$C$1+宠物成长!$C$2/宠物成长!$C$3*宠物成长!$E$30)*(1+宠物成长!$I$9+VLOOKUP(宠物属性点预览!W$2,宠物成长!$O$5:$R$10,3,FALSE))+(VLOOKUP(宠物属性点预览!$B26,宠物成长!$D$30:$E$129,2,FALSE)-宠物成长!$E$30)*宠物成长!$C$2/宠物成长!$C$3*(1+宠物成长!$H$9+VLOOKUP(宠物属性点预览!W$2,宠物成长!$O$5:$R$10,2,FALSE))</f>
        <v>784.6</v>
      </c>
      <c r="X26" s="9">
        <f>(宠物成长!$C$1+宠物成长!$C$2/宠物成长!$C$3*宠物成长!$E$30)*(1+宠物成长!$I$9+VLOOKUP(宠物属性点预览!X$2,宠物成长!$O$5:$R$10,3,FALSE))+(VLOOKUP(宠物属性点预览!$B26,宠物成长!$D$30:$E$129,2,FALSE)-宠物成长!$E$30)*宠物成长!$C$2/宠物成长!$C$3*(1+宠物成长!$H$9+VLOOKUP(宠物属性点预览!X$2,宠物成长!$O$5:$R$10,2,FALSE))</f>
        <v>1179.6000000000001</v>
      </c>
      <c r="Y26" s="9">
        <f>(宠物成长!$C$1+宠物成长!$C$2/宠物成长!$C$3*宠物成长!$E$30)*(1+宠物成长!$I$9+VLOOKUP(宠物属性点预览!Y$2,宠物成长!$O$5:$R$10,3,FALSE))+(VLOOKUP(宠物属性点预览!$B26,宠物成长!$D$30:$E$129,2,FALSE)-宠物成长!$E$30)*宠物成长!$C$2/宠物成长!$C$3*(1+宠物成长!$H$9+VLOOKUP(宠物属性点预览!Y$2,宠物成长!$O$5:$R$10,2,FALSE))</f>
        <v>1636.6000000000001</v>
      </c>
      <c r="Z26" s="9">
        <f>(宠物成长!$C$1+宠物成长!$C$2/宠物成长!$C$3*宠物成长!$E$30)*(1+宠物成长!$I$9+VLOOKUP(宠物属性点预览!Z$2,宠物成长!$O$5:$R$10,3,FALSE))+(VLOOKUP(宠物属性点预览!$B26,宠物成长!$D$30:$E$129,2,FALSE)-宠物成长!$E$30)*宠物成长!$C$2/宠物成长!$C$3*(1+宠物成长!$H$9+VLOOKUP(宠物属性点预览!Z$2,宠物成长!$O$5:$R$10,2,FALSE))</f>
        <v>2093.6000000000004</v>
      </c>
      <c r="AA26" s="1">
        <f t="shared" si="1"/>
        <v>0</v>
      </c>
    </row>
    <row r="27" spans="2:27" x14ac:dyDescent="0.15">
      <c r="B27" s="1">
        <v>25</v>
      </c>
      <c r="C27" s="9">
        <f>(宠物成长!$C$1+宠物成长!$C$2/宠物成长!$C$3*宠物成长!$E$30)*(1+VLOOKUP(宠物属性点预览!C$2,宠物成长!$F$4:$K$25,4,FALSE)+0)+(VLOOKUP(宠物属性点预览!$B27,宠物成长!$D$30:$E$129,2,FALSE)-宠物成长!$E$30)*宠物成长!$C$2/宠物成长!$C$3*(1+VLOOKUP(宠物属性点预览!C$2,宠物成长!$F$5:$K$25,3,FALSE)+0)</f>
        <v>146</v>
      </c>
      <c r="D27" s="9">
        <f>(宠物成长!$C$1+宠物成长!$C$2/宠物成长!$C$3*宠物成长!$E$30)*(1+VLOOKUP(宠物属性点预览!D$2,宠物成长!$F$4:$K$25,4,FALSE)+0)+(VLOOKUP(宠物属性点预览!$B27,宠物成长!$D$30:$E$129,2,FALSE)-宠物成长!$E$30)*宠物成长!$C$2/宠物成长!$C$3*(1+VLOOKUP(宠物属性点预览!D$2,宠物成长!$F$5:$K$25,3,FALSE)+0)</f>
        <v>192.5</v>
      </c>
      <c r="E27" s="9">
        <f>(宠物成长!$C$1+宠物成长!$C$2/宠物成长!$C$3*宠物成长!$E$30)*(1+VLOOKUP(宠物属性点预览!E$2,宠物成长!$F$4:$K$25,4,FALSE)+0)+(VLOOKUP(宠物属性点预览!$B27,宠物成长!$D$30:$E$129,2,FALSE)-宠物成长!$E$30)*宠物成长!$C$2/宠物成长!$C$3*(1+VLOOKUP(宠物属性点预览!E$2,宠物成长!$F$5:$K$25,3,FALSE)+0)</f>
        <v>257.60000000000002</v>
      </c>
      <c r="F27" s="9">
        <f>(宠物成长!$C$1+宠物成长!$C$2/宠物成长!$C$3*宠物成长!$E$30)*(1+VLOOKUP(宠物属性点预览!F$2,宠物成长!$F$4:$K$25,4,FALSE)+0)+(VLOOKUP(宠物属性点预览!$B27,宠物成长!$D$30:$E$129,2,FALSE)-宠物成长!$E$30)*宠物成长!$C$2/宠物成长!$C$3*(1+VLOOKUP(宠物属性点预览!F$2,宠物成长!$F$5:$K$25,3,FALSE)+0)</f>
        <v>344.40000000000003</v>
      </c>
      <c r="G27" s="9">
        <f>(宠物成长!$C$1+宠物成长!$C$2/宠物成长!$C$3*宠物成长!$E$30)*(1+VLOOKUP(宠物属性点预览!G$2,宠物成长!$F$4:$K$25,4,FALSE)+0)+(VLOOKUP(宠物属性点预览!$B27,宠物成长!$D$30:$E$129,2,FALSE)-宠物成长!$E$30)*宠物成长!$C$2/宠物成长!$C$3*(1+VLOOKUP(宠物属性点预览!G$2,宠物成长!$F$5:$K$25,3,FALSE)+0)</f>
        <v>455.59999999999997</v>
      </c>
      <c r="H27" s="83">
        <f>(宠物成长!$C$1+宠物成长!$C$2/宠物成长!$C$3*宠物成长!$E$30)*(1+VLOOKUP(宠物属性点预览!H$2,宠物成长!$F$4:$K$25,4,FALSE)+0)+(VLOOKUP(宠物属性点预览!$B27,宠物成长!$D$30:$E$129,2,FALSE)-宠物成长!$E$30)*宠物成长!$C$2/宠物成长!$C$3*(1+VLOOKUP(宠物属性点预览!H$2,宠物成长!$F$5:$K$25,3,FALSE)+0)</f>
        <v>616.4</v>
      </c>
      <c r="I27" s="9">
        <f>(宠物成长!$C$1+宠物成长!$C$2/宠物成长!$C$3*宠物成长!$E$30)*(1+VLOOKUP(宠物属性点预览!I$2,宠物成长!$F$4:$K$25,4,FALSE)+0)+(VLOOKUP(宠物属性点预览!$B27,宠物成长!$D$30:$E$129,2,FALSE)-宠物成长!$E$30)*宠物成长!$C$2/宠物成长!$C$3*(1+VLOOKUP(宠物属性点预览!I$2,宠物成长!$F$5:$K$25,3,FALSE)+0)</f>
        <v>833</v>
      </c>
      <c r="J27" s="9">
        <f>(宠物成长!$C$1+宠物成长!$C$2/宠物成长!$C$3*宠物成长!$E$30)*(1+VLOOKUP(宠物属性点预览!J$2,宠物成长!$F$4:$K$25,4,FALSE)+0)+(VLOOKUP(宠物属性点预览!$B27,宠物成长!$D$30:$E$129,2,FALSE)-宠物成长!$E$30)*宠物成长!$C$2/宠物成长!$C$3*(1+VLOOKUP(宠物属性点预览!J$2,宠物成长!$F$5:$K$25,3,FALSE)+0)</f>
        <v>1074.6296296296296</v>
      </c>
      <c r="K27" s="9">
        <f>(宠物成长!$C$1+宠物成长!$C$2/宠物成长!$C$3*宠物成长!$E$30)*(1+VLOOKUP(宠物属性点预览!K$2,宠物成长!$F$4:$K$25,4,FALSE)+0)+(VLOOKUP(宠物属性点预览!$B27,宠物成长!$D$30:$E$129,2,FALSE)-宠物成长!$E$30)*宠物成长!$C$2/宠物成长!$C$3*(1+VLOOKUP(宠物属性点预览!K$2,宠物成长!$F$5:$K$25,3,FALSE)+0)</f>
        <v>1319.1296296296296</v>
      </c>
      <c r="L27" s="9">
        <f>(宠物成长!$C$1+宠物成长!$C$2/宠物成长!$C$3*宠物成长!$E$30)*(1+VLOOKUP(宠物属性点预览!L$2,宠物成长!$F$4:$K$25,4,FALSE)+0)+(VLOOKUP(宠物属性点预览!$B27,宠物成长!$D$30:$E$129,2,FALSE)-宠物成长!$E$30)*宠物成长!$C$2/宠物成长!$C$3*(1+VLOOKUP(宠物属性点预览!L$2,宠物成长!$F$5:$K$25,3,FALSE)+0)</f>
        <v>1565.7242242242241</v>
      </c>
      <c r="M27" s="9">
        <f>(宠物成长!$C$1+宠物成长!$C$2/宠物成长!$C$3*宠物成长!$E$30)*(1+VLOOKUP(宠物属性点预览!M$2,宠物成长!$F$4:$K$25,4,FALSE)+0)+(VLOOKUP(宠物属性点预览!$B27,宠物成长!$D$30:$E$129,2,FALSE)-宠物成长!$E$30)*宠物成长!$C$2/宠物成长!$C$3*(1+VLOOKUP(宠物属性点预览!M$2,宠物成长!$F$5:$K$25,3,FALSE)+0)</f>
        <v>1813.9147004147003</v>
      </c>
      <c r="N27" s="9">
        <f>(宠物成长!$C$1+宠物成长!$C$2/宠物成长!$C$3*宠物成长!$E$30)*(1+VLOOKUP(宠物属性点预览!N$2,宠物成长!$F$4:$K$25,4,FALSE)+0)+(VLOOKUP(宠物属性点预览!$B27,宠物成长!$D$30:$E$129,2,FALSE)-宠物成长!$E$30)*宠物成长!$C$2/宠物成长!$C$3*(1+VLOOKUP(宠物属性点预览!N$2,宠物成长!$F$5:$K$25,3,FALSE)+0)</f>
        <v>2063.3615089253385</v>
      </c>
      <c r="O27" s="9">
        <f>(宠物成长!$C$1+宠物成长!$C$2/宠物成长!$C$3*宠物成长!$E$30)*(1+VLOOKUP(宠物属性点预览!O$2,宠物成长!$F$4:$K$25,4,FALSE)+0)+(VLOOKUP(宠物属性点预览!$B27,宠物成长!$D$30:$E$129,2,FALSE)-宠物成长!$E$30)*宠物成长!$C$2/宠物成长!$C$3*(1+VLOOKUP(宠物属性点预览!O$2,宠物成长!$F$5:$K$25,3,FALSE)+0)</f>
        <v>2313.8230473868766</v>
      </c>
      <c r="P27" s="9">
        <f>(宠物成长!$C$1+宠物成长!$C$2/宠物成长!$C$3*宠物成长!$E$30)*(1+VLOOKUP(宠物属性点预览!P$2,宠物成长!$F$4:$K$25,4,FALSE)+0)+(VLOOKUP(宠物属性点预览!$B27,宠物成长!$D$30:$E$129,2,FALSE)-宠物成长!$E$30)*宠物成长!$C$2/宠物成长!$C$3*(1+VLOOKUP(宠物属性点预览!P$2,宠物成长!$F$5:$K$25,3,FALSE)+0)</f>
        <v>2565.1212930009119</v>
      </c>
      <c r="Q27" s="9">
        <f>(宠物成长!$C$1+宠物成长!$C$2/宠物成长!$C$3*宠物成长!$E$30)*(1+VLOOKUP(宠物属性点预览!Q$2,宠物成长!$F$4:$K$25,4,FALSE)+0)+(VLOOKUP(宠物属性点预览!$B27,宠物成长!$D$30:$E$129,2,FALSE)-宠物成长!$E$30)*宠物成长!$C$2/宠物成长!$C$3*(1+VLOOKUP(宠物属性点预览!Q$2,宠物成长!$F$5:$K$25,3,FALSE)+0)</f>
        <v>2817.1212930009119</v>
      </c>
      <c r="R27" s="9">
        <f>(宠物成长!$C$1+宠物成长!$C$2/宠物成长!$C$3*宠物成长!$E$30)*(1+VLOOKUP(宠物属性点预览!R$2,宠物成长!$F$4:$K$25,4,FALSE)+0)+(VLOOKUP(宠物属性点预览!$B27,宠物成长!$D$30:$E$129,2,FALSE)-宠物成长!$E$30)*宠物成长!$C$2/宠物成长!$C$3*(1+VLOOKUP(宠物属性点预览!R$2,宠物成长!$F$5:$K$25,3,FALSE)+0)</f>
        <v>3069.718307926285</v>
      </c>
      <c r="S27" s="9">
        <f>(宠物成长!$C$1+宠物成长!$C$2/宠物成长!$C$3*宠物成长!$E$30)*(1+VLOOKUP(宠物属性点预览!S$2,宠物成长!$F$4:$K$25,4,FALSE)+0)+(VLOOKUP(宠物属性点预览!$B27,宠物成长!$D$30:$E$129,2,FALSE)-宠物成长!$E$30)*宠物成长!$C$2/宠物成长!$C$3*(1+VLOOKUP(宠物属性点预览!S$2,宠物成长!$F$5:$K$25,3,FALSE)+0)</f>
        <v>3322.8294190373958</v>
      </c>
      <c r="T27" s="83">
        <f t="shared" si="5"/>
        <v>455.59999999999997</v>
      </c>
      <c r="U27" s="9">
        <f>H27</f>
        <v>616.4</v>
      </c>
      <c r="V27" s="9">
        <f>(宠物成长!$C$1+宠物成长!$C$2/宠物成长!$C$3*宠物成长!$E$30)*(1+宠物成长!$I$10+VLOOKUP(宠物属性点预览!V$2,宠物成长!$O$5:$R$10,3,FALSE))+(VLOOKUP(宠物属性点预览!$B27,宠物成长!$D$30:$E$129,2,FALSE)-宠物成长!$E$30)*宠物成长!$C$2/宠物成长!$C$3*(1+宠物成长!$H$10+VLOOKUP(宠物属性点预览!V$2,宠物成长!$O$5:$R$10,2,FALSE))</f>
        <v>616.4</v>
      </c>
      <c r="W27" s="9">
        <f>(宠物成长!$C$1+宠物成长!$C$2/宠物成长!$C$3*宠物成长!$E$30)*(1+宠物成长!$I$10+VLOOKUP(宠物属性点预览!W$2,宠物成长!$O$5:$R$10,3,FALSE))+(VLOOKUP(宠物属性点预览!$B27,宠物成长!$D$30:$E$129,2,FALSE)-宠物成长!$E$30)*宠物成长!$C$2/宠物成长!$C$3*(1+宠物成长!$H$10+VLOOKUP(宠物属性点预览!W$2,宠物成长!$O$5:$R$10,2,FALSE))</f>
        <v>950.4</v>
      </c>
      <c r="X27" s="9">
        <f>(宠物成长!$C$1+宠物成长!$C$2/宠物成长!$C$3*宠物成长!$E$30)*(1+宠物成长!$I$10+VLOOKUP(宠物属性点预览!X$2,宠物成长!$O$5:$R$10,3,FALSE))+(VLOOKUP(宠物属性点预览!$B27,宠物成长!$D$30:$E$129,2,FALSE)-宠物成长!$E$30)*宠物成长!$C$2/宠物成长!$C$3*(1+宠物成长!$H$10+VLOOKUP(宠物属性点预览!X$2,宠物成长!$O$5:$R$10,2,FALSE))</f>
        <v>1346.3999999999999</v>
      </c>
      <c r="Y27" s="9">
        <f>(宠物成长!$C$1+宠物成长!$C$2/宠物成长!$C$3*宠物成长!$E$30)*(1+宠物成长!$I$10+VLOOKUP(宠物属性点预览!Y$2,宠物成长!$O$5:$R$10,3,FALSE))+(VLOOKUP(宠物属性点预览!$B27,宠物成长!$D$30:$E$129,2,FALSE)-宠物成长!$E$30)*宠物成长!$C$2/宠物成长!$C$3*(1+宠物成长!$H$10+VLOOKUP(宠物属性点预览!Y$2,宠物成长!$O$5:$R$10,2,FALSE))</f>
        <v>1804.3999999999999</v>
      </c>
      <c r="Z27" s="9">
        <f>(宠物成长!$C$1+宠物成长!$C$2/宠物成长!$C$3*宠物成长!$E$30)*(1+宠物成长!$I$10+VLOOKUP(宠物属性点预览!Z$2,宠物成长!$O$5:$R$10,3,FALSE))+(VLOOKUP(宠物属性点预览!$B27,宠物成长!$D$30:$E$129,2,FALSE)-宠物成长!$E$30)*宠物成长!$C$2/宠物成长!$C$3*(1+宠物成长!$H$10+VLOOKUP(宠物属性点预览!Z$2,宠物成长!$O$5:$R$10,2,FALSE))</f>
        <v>2262.4</v>
      </c>
      <c r="AA27" s="1">
        <f t="shared" si="1"/>
        <v>1.3529411764705883</v>
      </c>
    </row>
    <row r="28" spans="2:27" x14ac:dyDescent="0.15">
      <c r="B28" s="1">
        <v>26</v>
      </c>
      <c r="C28" s="9">
        <f>(宠物成长!$C$1+宠物成长!$C$2/宠物成长!$C$3*宠物成长!$E$30)*(1+VLOOKUP(宠物属性点预览!C$2,宠物成长!$F$4:$K$25,4,FALSE)+0)+(VLOOKUP(宠物属性点预览!$B28,宠物成长!$D$30:$E$129,2,FALSE)-宠物成长!$E$30)*宠物成长!$C$2/宠物成长!$C$3*(1+VLOOKUP(宠物属性点预览!C$2,宠物成长!$F$5:$K$25,3,FALSE)+0)</f>
        <v>149.5</v>
      </c>
      <c r="D28" s="9">
        <f>(宠物成长!$C$1+宠物成长!$C$2/宠物成长!$C$3*宠物成长!$E$30)*(1+VLOOKUP(宠物属性点预览!D$2,宠物成长!$F$4:$K$25,4,FALSE)+0)+(VLOOKUP(宠物属性点预览!$B28,宠物成长!$D$30:$E$129,2,FALSE)-宠物成长!$E$30)*宠物成长!$C$2/宠物成长!$C$3*(1+VLOOKUP(宠物属性点预览!D$2,宠物成长!$F$5:$K$25,3,FALSE)+0)</f>
        <v>196</v>
      </c>
      <c r="E28" s="9">
        <f>(宠物成长!$C$1+宠物成长!$C$2/宠物成长!$C$3*宠物成长!$E$30)*(1+VLOOKUP(宠物属性点预览!E$2,宠物成长!$F$4:$K$25,4,FALSE)+0)+(VLOOKUP(宠物属性点预览!$B28,宠物成长!$D$30:$E$129,2,FALSE)-宠物成长!$E$30)*宠物成长!$C$2/宠物成长!$C$3*(1+VLOOKUP(宠物属性点预览!E$2,宠物成长!$F$5:$K$25,3,FALSE)+0)</f>
        <v>261.10000000000002</v>
      </c>
      <c r="F28" s="9">
        <f>(宠物成长!$C$1+宠物成长!$C$2/宠物成长!$C$3*宠物成长!$E$30)*(1+VLOOKUP(宠物属性点预览!F$2,宠物成长!$F$4:$K$25,4,FALSE)+0)+(VLOOKUP(宠物属性点预览!$B28,宠物成长!$D$30:$E$129,2,FALSE)-宠物成长!$E$30)*宠物成长!$C$2/宠物成长!$C$3*(1+VLOOKUP(宠物属性点预览!F$2,宠物成长!$F$5:$K$25,3,FALSE)+0)</f>
        <v>347.90000000000003</v>
      </c>
      <c r="G28" s="9">
        <f>(宠物成长!$C$1+宠物成长!$C$2/宠物成长!$C$3*宠物成长!$E$30)*(1+VLOOKUP(宠物属性点预览!G$2,宠物成长!$F$4:$K$25,4,FALSE)+0)+(VLOOKUP(宠物属性点预览!$B28,宠物成长!$D$30:$E$129,2,FALSE)-宠物成长!$E$30)*宠物成长!$C$2/宠物成长!$C$3*(1+VLOOKUP(宠物属性点预览!G$2,宠物成长!$F$5:$K$25,3,FALSE)+0)</f>
        <v>459.59999999999997</v>
      </c>
      <c r="H28" s="9">
        <f>(宠物成长!$C$1+宠物成长!$C$2/宠物成长!$C$3*宠物成长!$E$30)*(1+VLOOKUP(宠物属性点预览!H$2,宠物成长!$F$4:$K$25,4,FALSE)+0)+(VLOOKUP(宠物属性点预览!$B28,宠物成长!$D$30:$E$129,2,FALSE)-宠物成长!$E$30)*宠物成长!$C$2/宠物成长!$C$3*(1+VLOOKUP(宠物属性点预览!H$2,宠物成长!$F$5:$K$25,3,FALSE)+0)</f>
        <v>620.9</v>
      </c>
      <c r="I28" s="9">
        <f>(宠物成长!$C$1+宠物成长!$C$2/宠物成长!$C$3*宠物成长!$E$30)*(1+VLOOKUP(宠物属性点预览!I$2,宠物成长!$F$4:$K$25,4,FALSE)+0)+(VLOOKUP(宠物属性点预览!$B28,宠物成长!$D$30:$E$129,2,FALSE)-宠物成长!$E$30)*宠物成长!$C$2/宠物成长!$C$3*(1+VLOOKUP(宠物属性点预览!I$2,宠物成长!$F$5:$K$25,3,FALSE)+0)</f>
        <v>838</v>
      </c>
      <c r="J28" s="9">
        <f>(宠物成长!$C$1+宠物成长!$C$2/宠物成长!$C$3*宠物成长!$E$30)*(1+VLOOKUP(宠物属性点预览!J$2,宠物成长!$F$4:$K$25,4,FALSE)+0)+(VLOOKUP(宠物属性点预览!$B28,宠物成长!$D$30:$E$129,2,FALSE)-宠物成长!$E$30)*宠物成长!$C$2/宠物成长!$C$3*(1+VLOOKUP(宠物属性点预览!J$2,宠物成长!$F$5:$K$25,3,FALSE)+0)</f>
        <v>1080.1296296296296</v>
      </c>
      <c r="K28" s="9">
        <f>(宠物成长!$C$1+宠物成长!$C$2/宠物成长!$C$3*宠物成长!$E$30)*(1+VLOOKUP(宠物属性点预览!K$2,宠物成长!$F$4:$K$25,4,FALSE)+0)+(VLOOKUP(宠物属性点预览!$B28,宠物成长!$D$30:$E$129,2,FALSE)-宠物成长!$E$30)*宠物成长!$C$2/宠物成长!$C$3*(1+VLOOKUP(宠物属性点预览!K$2,宠物成长!$F$5:$K$25,3,FALSE)+0)</f>
        <v>1325.1296296296296</v>
      </c>
      <c r="L28" s="9">
        <f>(宠物成长!$C$1+宠物成长!$C$2/宠物成长!$C$3*宠物成长!$E$30)*(1+VLOOKUP(宠物属性点预览!L$2,宠物成长!$F$4:$K$25,4,FALSE)+0)+(VLOOKUP(宠物属性点预览!$B28,宠物成长!$D$30:$E$129,2,FALSE)-宠物成长!$E$30)*宠物成长!$C$2/宠物成长!$C$3*(1+VLOOKUP(宠物属性点预览!L$2,宠物成长!$F$5:$K$25,3,FALSE)+0)</f>
        <v>1572.2242242242241</v>
      </c>
      <c r="M28" s="9">
        <f>(宠物成长!$C$1+宠物成长!$C$2/宠物成长!$C$3*宠物成长!$E$30)*(1+VLOOKUP(宠物属性点预览!M$2,宠物成长!$F$4:$K$25,4,FALSE)+0)+(VLOOKUP(宠物属性点预览!$B28,宠物成长!$D$30:$E$129,2,FALSE)-宠物成长!$E$30)*宠物成长!$C$2/宠物成长!$C$3*(1+VLOOKUP(宠物属性点预览!M$2,宠物成长!$F$5:$K$25,3,FALSE)+0)</f>
        <v>1820.9147004147003</v>
      </c>
      <c r="N28" s="9">
        <f>(宠物成长!$C$1+宠物成长!$C$2/宠物成长!$C$3*宠物成长!$E$30)*(1+VLOOKUP(宠物属性点预览!N$2,宠物成长!$F$4:$K$25,4,FALSE)+0)+(VLOOKUP(宠物属性点预览!$B28,宠物成长!$D$30:$E$129,2,FALSE)-宠物成长!$E$30)*宠物成长!$C$2/宠物成长!$C$3*(1+VLOOKUP(宠物属性点预览!N$2,宠物成长!$F$5:$K$25,3,FALSE)+0)</f>
        <v>2070.8615089253385</v>
      </c>
      <c r="O28" s="9">
        <f>(宠物成长!$C$1+宠物成长!$C$2/宠物成长!$C$3*宠物成长!$E$30)*(1+VLOOKUP(宠物属性点预览!O$2,宠物成长!$F$4:$K$25,4,FALSE)+0)+(VLOOKUP(宠物属性点预览!$B28,宠物成长!$D$30:$E$129,2,FALSE)-宠物成长!$E$30)*宠物成长!$C$2/宠物成长!$C$3*(1+VLOOKUP(宠物属性点预览!O$2,宠物成长!$F$5:$K$25,3,FALSE)+0)</f>
        <v>2321.8230473868766</v>
      </c>
      <c r="P28" s="9">
        <f>(宠物成长!$C$1+宠物成长!$C$2/宠物成长!$C$3*宠物成长!$E$30)*(1+VLOOKUP(宠物属性点预览!P$2,宠物成长!$F$4:$K$25,4,FALSE)+0)+(VLOOKUP(宠物属性点预览!$B28,宠物成长!$D$30:$E$129,2,FALSE)-宠物成长!$E$30)*宠物成长!$C$2/宠物成长!$C$3*(1+VLOOKUP(宠物属性点预览!P$2,宠物成长!$F$5:$K$25,3,FALSE)+0)</f>
        <v>2573.6212930009119</v>
      </c>
      <c r="Q28" s="9">
        <f>(宠物成长!$C$1+宠物成长!$C$2/宠物成长!$C$3*宠物成长!$E$30)*(1+VLOOKUP(宠物属性点预览!Q$2,宠物成长!$F$4:$K$25,4,FALSE)+0)+(VLOOKUP(宠物属性点预览!$B28,宠物成长!$D$30:$E$129,2,FALSE)-宠物成长!$E$30)*宠物成长!$C$2/宠物成长!$C$3*(1+VLOOKUP(宠物属性点预览!Q$2,宠物成长!$F$5:$K$25,3,FALSE)+0)</f>
        <v>2826.1212930009119</v>
      </c>
      <c r="R28" s="9">
        <f>(宠物成长!$C$1+宠物成长!$C$2/宠物成长!$C$3*宠物成长!$E$30)*(1+VLOOKUP(宠物属性点预览!R$2,宠物成长!$F$4:$K$25,4,FALSE)+0)+(VLOOKUP(宠物属性点预览!$B28,宠物成长!$D$30:$E$129,2,FALSE)-宠物成长!$E$30)*宠物成长!$C$2/宠物成长!$C$3*(1+VLOOKUP(宠物属性点预览!R$2,宠物成长!$F$5:$K$25,3,FALSE)+0)</f>
        <v>3079.218307926285</v>
      </c>
      <c r="S28" s="9">
        <f>(宠物成长!$C$1+宠物成长!$C$2/宠物成长!$C$3*宠物成长!$E$30)*(1+VLOOKUP(宠物属性点预览!S$2,宠物成长!$F$4:$K$25,4,FALSE)+0)+(VLOOKUP(宠物属性点预览!$B28,宠物成长!$D$30:$E$129,2,FALSE)-宠物成长!$E$30)*宠物成长!$C$2/宠物成长!$C$3*(1+VLOOKUP(宠物属性点预览!S$2,宠物成长!$F$5:$K$25,3,FALSE)+0)</f>
        <v>3332.8294190373958</v>
      </c>
      <c r="T28" s="83">
        <f>H28</f>
        <v>620.9</v>
      </c>
      <c r="V28" s="9">
        <f>(宠物成长!$C$1+宠物成长!$C$2/宠物成长!$C$3*宠物成长!$E$30)*(1+宠物成长!$I$10+VLOOKUP(宠物属性点预览!V$2,宠物成长!$O$5:$R$10,3,FALSE))+(VLOOKUP(宠物属性点预览!$B28,宠物成长!$D$30:$E$129,2,FALSE)-宠物成长!$E$30)*宠物成长!$C$2/宠物成长!$C$3*(1+宠物成长!$H$10+VLOOKUP(宠物属性点预览!V$2,宠物成长!$O$5:$R$10,2,FALSE))</f>
        <v>620.9</v>
      </c>
      <c r="W28" s="9">
        <f>(宠物成长!$C$1+宠物成长!$C$2/宠物成长!$C$3*宠物成长!$E$30)*(1+宠物成长!$I$10+VLOOKUP(宠物属性点预览!W$2,宠物成长!$O$5:$R$10,3,FALSE))+(VLOOKUP(宠物属性点预览!$B28,宠物成长!$D$30:$E$129,2,FALSE)-宠物成长!$E$30)*宠物成长!$C$2/宠物成长!$C$3*(1+宠物成长!$H$10+VLOOKUP(宠物属性点预览!W$2,宠物成长!$O$5:$R$10,2,FALSE))</f>
        <v>955.9</v>
      </c>
      <c r="X28" s="9">
        <f>(宠物成长!$C$1+宠物成长!$C$2/宠物成长!$C$3*宠物成长!$E$30)*(1+宠物成长!$I$10+VLOOKUP(宠物属性点预览!X$2,宠物成长!$O$5:$R$10,3,FALSE))+(VLOOKUP(宠物属性点预览!$B28,宠物成长!$D$30:$E$129,2,FALSE)-宠物成长!$E$30)*宠物成长!$C$2/宠物成长!$C$3*(1+宠物成长!$H$10+VLOOKUP(宠物属性点预览!X$2,宠物成长!$O$5:$R$10,2,FALSE))</f>
        <v>1352.8999999999999</v>
      </c>
      <c r="Y28" s="9">
        <f>(宠物成长!$C$1+宠物成长!$C$2/宠物成长!$C$3*宠物成长!$E$30)*(1+宠物成长!$I$10+VLOOKUP(宠物属性点预览!Y$2,宠物成长!$O$5:$R$10,3,FALSE))+(VLOOKUP(宠物属性点预览!$B28,宠物成长!$D$30:$E$129,2,FALSE)-宠物成长!$E$30)*宠物成长!$C$2/宠物成长!$C$3*(1+宠物成长!$H$10+VLOOKUP(宠物属性点预览!Y$2,宠物成长!$O$5:$R$10,2,FALSE))</f>
        <v>1811.8999999999999</v>
      </c>
      <c r="Z28" s="9">
        <f>(宠物成长!$C$1+宠物成长!$C$2/宠物成长!$C$3*宠物成长!$E$30)*(1+宠物成长!$I$10+VLOOKUP(宠物属性点预览!Z$2,宠物成长!$O$5:$R$10,3,FALSE))+(VLOOKUP(宠物属性点预览!$B28,宠物成长!$D$30:$E$129,2,FALSE)-宠物成长!$E$30)*宠物成长!$C$2/宠物成长!$C$3*(1+宠物成长!$H$10+VLOOKUP(宠物属性点预览!Z$2,宠物成长!$O$5:$R$10,2,FALSE))</f>
        <v>2270.9</v>
      </c>
      <c r="AA28" s="1">
        <f t="shared" si="1"/>
        <v>0</v>
      </c>
    </row>
    <row r="29" spans="2:27" x14ac:dyDescent="0.15">
      <c r="B29" s="1">
        <v>27</v>
      </c>
      <c r="C29" s="9">
        <f>(宠物成长!$C$1+宠物成长!$C$2/宠物成长!$C$3*宠物成长!$E$30)*(1+VLOOKUP(宠物属性点预览!C$2,宠物成长!$F$4:$K$25,4,FALSE)+0)+(VLOOKUP(宠物属性点预览!$B29,宠物成长!$D$30:$E$129,2,FALSE)-宠物成长!$E$30)*宠物成长!$C$2/宠物成长!$C$3*(1+VLOOKUP(宠物属性点预览!C$2,宠物成长!$F$5:$K$25,3,FALSE)+0)</f>
        <v>153</v>
      </c>
      <c r="D29" s="9">
        <f>(宠物成长!$C$1+宠物成长!$C$2/宠物成长!$C$3*宠物成长!$E$30)*(1+VLOOKUP(宠物属性点预览!D$2,宠物成长!$F$4:$K$25,4,FALSE)+0)+(VLOOKUP(宠物属性点预览!$B29,宠物成长!$D$30:$E$129,2,FALSE)-宠物成长!$E$30)*宠物成长!$C$2/宠物成长!$C$3*(1+VLOOKUP(宠物属性点预览!D$2,宠物成长!$F$5:$K$25,3,FALSE)+0)</f>
        <v>199.5</v>
      </c>
      <c r="E29" s="9">
        <f>(宠物成长!$C$1+宠物成长!$C$2/宠物成长!$C$3*宠物成长!$E$30)*(1+VLOOKUP(宠物属性点预览!E$2,宠物成长!$F$4:$K$25,4,FALSE)+0)+(VLOOKUP(宠物属性点预览!$B29,宠物成长!$D$30:$E$129,2,FALSE)-宠物成长!$E$30)*宠物成长!$C$2/宠物成长!$C$3*(1+VLOOKUP(宠物属性点预览!E$2,宠物成长!$F$5:$K$25,3,FALSE)+0)</f>
        <v>264.60000000000002</v>
      </c>
      <c r="F29" s="9">
        <f>(宠物成长!$C$1+宠物成长!$C$2/宠物成长!$C$3*宠物成长!$E$30)*(1+VLOOKUP(宠物属性点预览!F$2,宠物成长!$F$4:$K$25,4,FALSE)+0)+(VLOOKUP(宠物属性点预览!$B29,宠物成长!$D$30:$E$129,2,FALSE)-宠物成长!$E$30)*宠物成长!$C$2/宠物成长!$C$3*(1+VLOOKUP(宠物属性点预览!F$2,宠物成长!$F$5:$K$25,3,FALSE)+0)</f>
        <v>351.40000000000003</v>
      </c>
      <c r="G29" s="9">
        <f>(宠物成长!$C$1+宠物成长!$C$2/宠物成长!$C$3*宠物成长!$E$30)*(1+VLOOKUP(宠物属性点预览!G$2,宠物成长!$F$4:$K$25,4,FALSE)+0)+(VLOOKUP(宠物属性点预览!$B29,宠物成长!$D$30:$E$129,2,FALSE)-宠物成长!$E$30)*宠物成长!$C$2/宠物成长!$C$3*(1+VLOOKUP(宠物属性点预览!G$2,宠物成长!$F$5:$K$25,3,FALSE)+0)</f>
        <v>463.59999999999997</v>
      </c>
      <c r="H29" s="9">
        <f>(宠物成长!$C$1+宠物成长!$C$2/宠物成长!$C$3*宠物成长!$E$30)*(1+VLOOKUP(宠物属性点预览!H$2,宠物成长!$F$4:$K$25,4,FALSE)+0)+(VLOOKUP(宠物属性点预览!$B29,宠物成长!$D$30:$E$129,2,FALSE)-宠物成长!$E$30)*宠物成长!$C$2/宠物成长!$C$3*(1+VLOOKUP(宠物属性点预览!H$2,宠物成长!$F$5:$K$25,3,FALSE)+0)</f>
        <v>625.4</v>
      </c>
      <c r="I29" s="9">
        <f>(宠物成长!$C$1+宠物成长!$C$2/宠物成长!$C$3*宠物成长!$E$30)*(1+VLOOKUP(宠物属性点预览!I$2,宠物成长!$F$4:$K$25,4,FALSE)+0)+(VLOOKUP(宠物属性点预览!$B29,宠物成长!$D$30:$E$129,2,FALSE)-宠物成长!$E$30)*宠物成长!$C$2/宠物成长!$C$3*(1+VLOOKUP(宠物属性点预览!I$2,宠物成长!$F$5:$K$25,3,FALSE)+0)</f>
        <v>843</v>
      </c>
      <c r="J29" s="9">
        <f>(宠物成长!$C$1+宠物成长!$C$2/宠物成长!$C$3*宠物成长!$E$30)*(1+VLOOKUP(宠物属性点预览!J$2,宠物成长!$F$4:$K$25,4,FALSE)+0)+(VLOOKUP(宠物属性点预览!$B29,宠物成长!$D$30:$E$129,2,FALSE)-宠物成长!$E$30)*宠物成长!$C$2/宠物成长!$C$3*(1+VLOOKUP(宠物属性点预览!J$2,宠物成长!$F$5:$K$25,3,FALSE)+0)</f>
        <v>1085.6296296296296</v>
      </c>
      <c r="K29" s="9">
        <f>(宠物成长!$C$1+宠物成长!$C$2/宠物成长!$C$3*宠物成长!$E$30)*(1+VLOOKUP(宠物属性点预览!K$2,宠物成长!$F$4:$K$25,4,FALSE)+0)+(VLOOKUP(宠物属性点预览!$B29,宠物成长!$D$30:$E$129,2,FALSE)-宠物成长!$E$30)*宠物成长!$C$2/宠物成长!$C$3*(1+VLOOKUP(宠物属性点预览!K$2,宠物成长!$F$5:$K$25,3,FALSE)+0)</f>
        <v>1331.1296296296296</v>
      </c>
      <c r="L29" s="9">
        <f>(宠物成长!$C$1+宠物成长!$C$2/宠物成长!$C$3*宠物成长!$E$30)*(1+VLOOKUP(宠物属性点预览!L$2,宠物成长!$F$4:$K$25,4,FALSE)+0)+(VLOOKUP(宠物属性点预览!$B29,宠物成长!$D$30:$E$129,2,FALSE)-宠物成长!$E$30)*宠物成长!$C$2/宠物成长!$C$3*(1+VLOOKUP(宠物属性点预览!L$2,宠物成长!$F$5:$K$25,3,FALSE)+0)</f>
        <v>1578.7242242242241</v>
      </c>
      <c r="M29" s="9">
        <f>(宠物成长!$C$1+宠物成长!$C$2/宠物成长!$C$3*宠物成长!$E$30)*(1+VLOOKUP(宠物属性点预览!M$2,宠物成长!$F$4:$K$25,4,FALSE)+0)+(VLOOKUP(宠物属性点预览!$B29,宠物成长!$D$30:$E$129,2,FALSE)-宠物成长!$E$30)*宠物成长!$C$2/宠物成长!$C$3*(1+VLOOKUP(宠物属性点预览!M$2,宠物成长!$F$5:$K$25,3,FALSE)+0)</f>
        <v>1827.9147004147003</v>
      </c>
      <c r="N29" s="9">
        <f>(宠物成长!$C$1+宠物成长!$C$2/宠物成长!$C$3*宠物成长!$E$30)*(1+VLOOKUP(宠物属性点预览!N$2,宠物成长!$F$4:$K$25,4,FALSE)+0)+(VLOOKUP(宠物属性点预览!$B29,宠物成长!$D$30:$E$129,2,FALSE)-宠物成长!$E$30)*宠物成长!$C$2/宠物成长!$C$3*(1+VLOOKUP(宠物属性点预览!N$2,宠物成长!$F$5:$K$25,3,FALSE)+0)</f>
        <v>2078.3615089253385</v>
      </c>
      <c r="O29" s="9">
        <f>(宠物成长!$C$1+宠物成长!$C$2/宠物成长!$C$3*宠物成长!$E$30)*(1+VLOOKUP(宠物属性点预览!O$2,宠物成长!$F$4:$K$25,4,FALSE)+0)+(VLOOKUP(宠物属性点预览!$B29,宠物成长!$D$30:$E$129,2,FALSE)-宠物成长!$E$30)*宠物成长!$C$2/宠物成长!$C$3*(1+VLOOKUP(宠物属性点预览!O$2,宠物成长!$F$5:$K$25,3,FALSE)+0)</f>
        <v>2329.8230473868766</v>
      </c>
      <c r="P29" s="9">
        <f>(宠物成长!$C$1+宠物成长!$C$2/宠物成长!$C$3*宠物成长!$E$30)*(1+VLOOKUP(宠物属性点预览!P$2,宠物成长!$F$4:$K$25,4,FALSE)+0)+(VLOOKUP(宠物属性点预览!$B29,宠物成长!$D$30:$E$129,2,FALSE)-宠物成长!$E$30)*宠物成长!$C$2/宠物成长!$C$3*(1+VLOOKUP(宠物属性点预览!P$2,宠物成长!$F$5:$K$25,3,FALSE)+0)</f>
        <v>2582.1212930009119</v>
      </c>
      <c r="Q29" s="9">
        <f>(宠物成长!$C$1+宠物成长!$C$2/宠物成长!$C$3*宠物成长!$E$30)*(1+VLOOKUP(宠物属性点预览!Q$2,宠物成长!$F$4:$K$25,4,FALSE)+0)+(VLOOKUP(宠物属性点预览!$B29,宠物成长!$D$30:$E$129,2,FALSE)-宠物成长!$E$30)*宠物成长!$C$2/宠物成长!$C$3*(1+VLOOKUP(宠物属性点预览!Q$2,宠物成长!$F$5:$K$25,3,FALSE)+0)</f>
        <v>2835.1212930009119</v>
      </c>
      <c r="R29" s="9">
        <f>(宠物成长!$C$1+宠物成长!$C$2/宠物成长!$C$3*宠物成长!$E$30)*(1+VLOOKUP(宠物属性点预览!R$2,宠物成长!$F$4:$K$25,4,FALSE)+0)+(VLOOKUP(宠物属性点预览!$B29,宠物成长!$D$30:$E$129,2,FALSE)-宠物成长!$E$30)*宠物成长!$C$2/宠物成长!$C$3*(1+VLOOKUP(宠物属性点预览!R$2,宠物成长!$F$5:$K$25,3,FALSE)+0)</f>
        <v>3088.718307926285</v>
      </c>
      <c r="S29" s="9">
        <f>(宠物成长!$C$1+宠物成长!$C$2/宠物成长!$C$3*宠物成长!$E$30)*(1+VLOOKUP(宠物属性点预览!S$2,宠物成长!$F$4:$K$25,4,FALSE)+0)+(VLOOKUP(宠物属性点预览!$B29,宠物成长!$D$30:$E$129,2,FALSE)-宠物成长!$E$30)*宠物成长!$C$2/宠物成长!$C$3*(1+VLOOKUP(宠物属性点预览!S$2,宠物成长!$F$5:$K$25,3,FALSE)+0)</f>
        <v>3342.8294190373958</v>
      </c>
      <c r="T29" s="83">
        <f t="shared" ref="T29:T32" si="6">H29</f>
        <v>625.4</v>
      </c>
      <c r="V29" s="9">
        <f>(宠物成长!$C$1+宠物成长!$C$2/宠物成长!$C$3*宠物成长!$E$30)*(1+宠物成长!$I$10+VLOOKUP(宠物属性点预览!V$2,宠物成长!$O$5:$R$10,3,FALSE))+(VLOOKUP(宠物属性点预览!$B29,宠物成长!$D$30:$E$129,2,FALSE)-宠物成长!$E$30)*宠物成长!$C$2/宠物成长!$C$3*(1+宠物成长!$H$10+VLOOKUP(宠物属性点预览!V$2,宠物成长!$O$5:$R$10,2,FALSE))</f>
        <v>625.4</v>
      </c>
      <c r="W29" s="9">
        <f>(宠物成长!$C$1+宠物成长!$C$2/宠物成长!$C$3*宠物成长!$E$30)*(1+宠物成长!$I$10+VLOOKUP(宠物属性点预览!W$2,宠物成长!$O$5:$R$10,3,FALSE))+(VLOOKUP(宠物属性点预览!$B29,宠物成长!$D$30:$E$129,2,FALSE)-宠物成长!$E$30)*宠物成长!$C$2/宠物成长!$C$3*(1+宠物成长!$H$10+VLOOKUP(宠物属性点预览!W$2,宠物成长!$O$5:$R$10,2,FALSE))</f>
        <v>961.4</v>
      </c>
      <c r="X29" s="9">
        <f>(宠物成长!$C$1+宠物成长!$C$2/宠物成长!$C$3*宠物成长!$E$30)*(1+宠物成长!$I$10+VLOOKUP(宠物属性点预览!X$2,宠物成长!$O$5:$R$10,3,FALSE))+(VLOOKUP(宠物属性点预览!$B29,宠物成长!$D$30:$E$129,2,FALSE)-宠物成长!$E$30)*宠物成长!$C$2/宠物成长!$C$3*(1+宠物成长!$H$10+VLOOKUP(宠物属性点预览!X$2,宠物成长!$O$5:$R$10,2,FALSE))</f>
        <v>1359.3999999999999</v>
      </c>
      <c r="Y29" s="9">
        <f>(宠物成长!$C$1+宠物成长!$C$2/宠物成长!$C$3*宠物成长!$E$30)*(1+宠物成长!$I$10+VLOOKUP(宠物属性点预览!Y$2,宠物成长!$O$5:$R$10,3,FALSE))+(VLOOKUP(宠物属性点预览!$B29,宠物成长!$D$30:$E$129,2,FALSE)-宠物成长!$E$30)*宠物成长!$C$2/宠物成长!$C$3*(1+宠物成长!$H$10+VLOOKUP(宠物属性点预览!Y$2,宠物成长!$O$5:$R$10,2,FALSE))</f>
        <v>1819.3999999999999</v>
      </c>
      <c r="Z29" s="9">
        <f>(宠物成长!$C$1+宠物成长!$C$2/宠物成长!$C$3*宠物成长!$E$30)*(1+宠物成长!$I$10+VLOOKUP(宠物属性点预览!Z$2,宠物成长!$O$5:$R$10,3,FALSE))+(VLOOKUP(宠物属性点预览!$B29,宠物成长!$D$30:$E$129,2,FALSE)-宠物成长!$E$30)*宠物成长!$C$2/宠物成长!$C$3*(1+宠物成长!$H$10+VLOOKUP(宠物属性点预览!Z$2,宠物成长!$O$5:$R$10,2,FALSE))</f>
        <v>2279.4</v>
      </c>
      <c r="AA29" s="1">
        <f t="shared" si="1"/>
        <v>0</v>
      </c>
    </row>
    <row r="30" spans="2:27" x14ac:dyDescent="0.15">
      <c r="B30" s="1">
        <v>28</v>
      </c>
      <c r="C30" s="9">
        <f>(宠物成长!$C$1+宠物成长!$C$2/宠物成长!$C$3*宠物成长!$E$30)*(1+VLOOKUP(宠物属性点预览!C$2,宠物成长!$F$4:$K$25,4,FALSE)+0)+(VLOOKUP(宠物属性点预览!$B30,宠物成长!$D$30:$E$129,2,FALSE)-宠物成长!$E$30)*宠物成长!$C$2/宠物成长!$C$3*(1+VLOOKUP(宠物属性点预览!C$2,宠物成长!$F$5:$K$25,3,FALSE)+0)</f>
        <v>156.5</v>
      </c>
      <c r="D30" s="9">
        <f>(宠物成长!$C$1+宠物成长!$C$2/宠物成长!$C$3*宠物成长!$E$30)*(1+VLOOKUP(宠物属性点预览!D$2,宠物成长!$F$4:$K$25,4,FALSE)+0)+(VLOOKUP(宠物属性点预览!$B30,宠物成长!$D$30:$E$129,2,FALSE)-宠物成长!$E$30)*宠物成长!$C$2/宠物成长!$C$3*(1+VLOOKUP(宠物属性点预览!D$2,宠物成长!$F$5:$K$25,3,FALSE)+0)</f>
        <v>203</v>
      </c>
      <c r="E30" s="9">
        <f>(宠物成长!$C$1+宠物成长!$C$2/宠物成长!$C$3*宠物成长!$E$30)*(1+VLOOKUP(宠物属性点预览!E$2,宠物成长!$F$4:$K$25,4,FALSE)+0)+(VLOOKUP(宠物属性点预览!$B30,宠物成长!$D$30:$E$129,2,FALSE)-宠物成长!$E$30)*宠物成长!$C$2/宠物成长!$C$3*(1+VLOOKUP(宠物属性点预览!E$2,宠物成长!$F$5:$K$25,3,FALSE)+0)</f>
        <v>268.10000000000002</v>
      </c>
      <c r="F30" s="9">
        <f>(宠物成长!$C$1+宠物成长!$C$2/宠物成长!$C$3*宠物成长!$E$30)*(1+VLOOKUP(宠物属性点预览!F$2,宠物成长!$F$4:$K$25,4,FALSE)+0)+(VLOOKUP(宠物属性点预览!$B30,宠物成长!$D$30:$E$129,2,FALSE)-宠物成长!$E$30)*宠物成长!$C$2/宠物成长!$C$3*(1+VLOOKUP(宠物属性点预览!F$2,宠物成长!$F$5:$K$25,3,FALSE)+0)</f>
        <v>354.90000000000003</v>
      </c>
      <c r="G30" s="9">
        <f>(宠物成长!$C$1+宠物成长!$C$2/宠物成长!$C$3*宠物成长!$E$30)*(1+VLOOKUP(宠物属性点预览!G$2,宠物成长!$F$4:$K$25,4,FALSE)+0)+(VLOOKUP(宠物属性点预览!$B30,宠物成长!$D$30:$E$129,2,FALSE)-宠物成长!$E$30)*宠物成长!$C$2/宠物成长!$C$3*(1+VLOOKUP(宠物属性点预览!G$2,宠物成长!$F$5:$K$25,3,FALSE)+0)</f>
        <v>467.59999999999997</v>
      </c>
      <c r="H30" s="9">
        <f>(宠物成长!$C$1+宠物成长!$C$2/宠物成长!$C$3*宠物成长!$E$30)*(1+VLOOKUP(宠物属性点预览!H$2,宠物成长!$F$4:$K$25,4,FALSE)+0)+(VLOOKUP(宠物属性点预览!$B30,宠物成长!$D$30:$E$129,2,FALSE)-宠物成长!$E$30)*宠物成长!$C$2/宠物成长!$C$3*(1+VLOOKUP(宠物属性点预览!H$2,宠物成长!$F$5:$K$25,3,FALSE)+0)</f>
        <v>629.9</v>
      </c>
      <c r="I30" s="9">
        <f>(宠物成长!$C$1+宠物成长!$C$2/宠物成长!$C$3*宠物成长!$E$30)*(1+VLOOKUP(宠物属性点预览!I$2,宠物成长!$F$4:$K$25,4,FALSE)+0)+(VLOOKUP(宠物属性点预览!$B30,宠物成长!$D$30:$E$129,2,FALSE)-宠物成长!$E$30)*宠物成长!$C$2/宠物成长!$C$3*(1+VLOOKUP(宠物属性点预览!I$2,宠物成长!$F$5:$K$25,3,FALSE)+0)</f>
        <v>848</v>
      </c>
      <c r="J30" s="9">
        <f>(宠物成长!$C$1+宠物成长!$C$2/宠物成长!$C$3*宠物成长!$E$30)*(1+VLOOKUP(宠物属性点预览!J$2,宠物成长!$F$4:$K$25,4,FALSE)+0)+(VLOOKUP(宠物属性点预览!$B30,宠物成长!$D$30:$E$129,2,FALSE)-宠物成长!$E$30)*宠物成长!$C$2/宠物成长!$C$3*(1+VLOOKUP(宠物属性点预览!J$2,宠物成长!$F$5:$K$25,3,FALSE)+0)</f>
        <v>1091.1296296296296</v>
      </c>
      <c r="K30" s="9">
        <f>(宠物成长!$C$1+宠物成长!$C$2/宠物成长!$C$3*宠物成长!$E$30)*(1+VLOOKUP(宠物属性点预览!K$2,宠物成长!$F$4:$K$25,4,FALSE)+0)+(VLOOKUP(宠物属性点预览!$B30,宠物成长!$D$30:$E$129,2,FALSE)-宠物成长!$E$30)*宠物成长!$C$2/宠物成长!$C$3*(1+VLOOKUP(宠物属性点预览!K$2,宠物成长!$F$5:$K$25,3,FALSE)+0)</f>
        <v>1337.1296296296296</v>
      </c>
      <c r="L30" s="9">
        <f>(宠物成长!$C$1+宠物成长!$C$2/宠物成长!$C$3*宠物成长!$E$30)*(1+VLOOKUP(宠物属性点预览!L$2,宠物成长!$F$4:$K$25,4,FALSE)+0)+(VLOOKUP(宠物属性点预览!$B30,宠物成长!$D$30:$E$129,2,FALSE)-宠物成长!$E$30)*宠物成长!$C$2/宠物成长!$C$3*(1+VLOOKUP(宠物属性点预览!L$2,宠物成长!$F$5:$K$25,3,FALSE)+0)</f>
        <v>1585.2242242242241</v>
      </c>
      <c r="M30" s="9">
        <f>(宠物成长!$C$1+宠物成长!$C$2/宠物成长!$C$3*宠物成长!$E$30)*(1+VLOOKUP(宠物属性点预览!M$2,宠物成长!$F$4:$K$25,4,FALSE)+0)+(VLOOKUP(宠物属性点预览!$B30,宠物成长!$D$30:$E$129,2,FALSE)-宠物成长!$E$30)*宠物成长!$C$2/宠物成长!$C$3*(1+VLOOKUP(宠物属性点预览!M$2,宠物成长!$F$5:$K$25,3,FALSE)+0)</f>
        <v>1834.9147004147003</v>
      </c>
      <c r="N30" s="9">
        <f>(宠物成长!$C$1+宠物成长!$C$2/宠物成长!$C$3*宠物成长!$E$30)*(1+VLOOKUP(宠物属性点预览!N$2,宠物成长!$F$4:$K$25,4,FALSE)+0)+(VLOOKUP(宠物属性点预览!$B30,宠物成长!$D$30:$E$129,2,FALSE)-宠物成长!$E$30)*宠物成长!$C$2/宠物成长!$C$3*(1+VLOOKUP(宠物属性点预览!N$2,宠物成长!$F$5:$K$25,3,FALSE)+0)</f>
        <v>2085.8615089253385</v>
      </c>
      <c r="O30" s="9">
        <f>(宠物成长!$C$1+宠物成长!$C$2/宠物成长!$C$3*宠物成长!$E$30)*(1+VLOOKUP(宠物属性点预览!O$2,宠物成长!$F$4:$K$25,4,FALSE)+0)+(VLOOKUP(宠物属性点预览!$B30,宠物成长!$D$30:$E$129,2,FALSE)-宠物成长!$E$30)*宠物成长!$C$2/宠物成长!$C$3*(1+VLOOKUP(宠物属性点预览!O$2,宠物成长!$F$5:$K$25,3,FALSE)+0)</f>
        <v>2337.8230473868766</v>
      </c>
      <c r="P30" s="9">
        <f>(宠物成长!$C$1+宠物成长!$C$2/宠物成长!$C$3*宠物成长!$E$30)*(1+VLOOKUP(宠物属性点预览!P$2,宠物成长!$F$4:$K$25,4,FALSE)+0)+(VLOOKUP(宠物属性点预览!$B30,宠物成长!$D$30:$E$129,2,FALSE)-宠物成长!$E$30)*宠物成长!$C$2/宠物成长!$C$3*(1+VLOOKUP(宠物属性点预览!P$2,宠物成长!$F$5:$K$25,3,FALSE)+0)</f>
        <v>2590.6212930009119</v>
      </c>
      <c r="Q30" s="9">
        <f>(宠物成长!$C$1+宠物成长!$C$2/宠物成长!$C$3*宠物成长!$E$30)*(1+VLOOKUP(宠物属性点预览!Q$2,宠物成长!$F$4:$K$25,4,FALSE)+0)+(VLOOKUP(宠物属性点预览!$B30,宠物成长!$D$30:$E$129,2,FALSE)-宠物成长!$E$30)*宠物成长!$C$2/宠物成长!$C$3*(1+VLOOKUP(宠物属性点预览!Q$2,宠物成长!$F$5:$K$25,3,FALSE)+0)</f>
        <v>2844.1212930009119</v>
      </c>
      <c r="R30" s="9">
        <f>(宠物成长!$C$1+宠物成长!$C$2/宠物成长!$C$3*宠物成长!$E$30)*(1+VLOOKUP(宠物属性点预览!R$2,宠物成长!$F$4:$K$25,4,FALSE)+0)+(VLOOKUP(宠物属性点预览!$B30,宠物成长!$D$30:$E$129,2,FALSE)-宠物成长!$E$30)*宠物成长!$C$2/宠物成长!$C$3*(1+VLOOKUP(宠物属性点预览!R$2,宠物成长!$F$5:$K$25,3,FALSE)+0)</f>
        <v>3098.218307926285</v>
      </c>
      <c r="S30" s="9">
        <f>(宠物成长!$C$1+宠物成长!$C$2/宠物成长!$C$3*宠物成长!$E$30)*(1+VLOOKUP(宠物属性点预览!S$2,宠物成长!$F$4:$K$25,4,FALSE)+0)+(VLOOKUP(宠物属性点预览!$B30,宠物成长!$D$30:$E$129,2,FALSE)-宠物成长!$E$30)*宠物成长!$C$2/宠物成长!$C$3*(1+VLOOKUP(宠物属性点预览!S$2,宠物成长!$F$5:$K$25,3,FALSE)+0)</f>
        <v>3352.8294190373958</v>
      </c>
      <c r="T30" s="83">
        <f t="shared" si="6"/>
        <v>629.9</v>
      </c>
      <c r="V30" s="9">
        <f>(宠物成长!$C$1+宠物成长!$C$2/宠物成长!$C$3*宠物成长!$E$30)*(1+宠物成长!$I$10+VLOOKUP(宠物属性点预览!V$2,宠物成长!$O$5:$R$10,3,FALSE))+(VLOOKUP(宠物属性点预览!$B30,宠物成长!$D$30:$E$129,2,FALSE)-宠物成长!$E$30)*宠物成长!$C$2/宠物成长!$C$3*(1+宠物成长!$H$10+VLOOKUP(宠物属性点预览!V$2,宠物成长!$O$5:$R$10,2,FALSE))</f>
        <v>629.9</v>
      </c>
      <c r="W30" s="9">
        <f>(宠物成长!$C$1+宠物成长!$C$2/宠物成长!$C$3*宠物成长!$E$30)*(1+宠物成长!$I$10+VLOOKUP(宠物属性点预览!W$2,宠物成长!$O$5:$R$10,3,FALSE))+(VLOOKUP(宠物属性点预览!$B30,宠物成长!$D$30:$E$129,2,FALSE)-宠物成长!$E$30)*宠物成长!$C$2/宠物成长!$C$3*(1+宠物成长!$H$10+VLOOKUP(宠物属性点预览!W$2,宠物成长!$O$5:$R$10,2,FALSE))</f>
        <v>966.9</v>
      </c>
      <c r="X30" s="9">
        <f>(宠物成长!$C$1+宠物成长!$C$2/宠物成长!$C$3*宠物成长!$E$30)*(1+宠物成长!$I$10+VLOOKUP(宠物属性点预览!X$2,宠物成长!$O$5:$R$10,3,FALSE))+(VLOOKUP(宠物属性点预览!$B30,宠物成长!$D$30:$E$129,2,FALSE)-宠物成长!$E$30)*宠物成长!$C$2/宠物成长!$C$3*(1+宠物成长!$H$10+VLOOKUP(宠物属性点预览!X$2,宠物成长!$O$5:$R$10,2,FALSE))</f>
        <v>1365.8999999999999</v>
      </c>
      <c r="Y30" s="9">
        <f>(宠物成长!$C$1+宠物成长!$C$2/宠物成长!$C$3*宠物成长!$E$30)*(1+宠物成长!$I$10+VLOOKUP(宠物属性点预览!Y$2,宠物成长!$O$5:$R$10,3,FALSE))+(VLOOKUP(宠物属性点预览!$B30,宠物成长!$D$30:$E$129,2,FALSE)-宠物成长!$E$30)*宠物成长!$C$2/宠物成长!$C$3*(1+宠物成长!$H$10+VLOOKUP(宠物属性点预览!Y$2,宠物成长!$O$5:$R$10,2,FALSE))</f>
        <v>1826.8999999999999</v>
      </c>
      <c r="Z30" s="9">
        <f>(宠物成长!$C$1+宠物成长!$C$2/宠物成长!$C$3*宠物成长!$E$30)*(1+宠物成长!$I$10+VLOOKUP(宠物属性点预览!Z$2,宠物成长!$O$5:$R$10,3,FALSE))+(VLOOKUP(宠物属性点预览!$B30,宠物成长!$D$30:$E$129,2,FALSE)-宠物成长!$E$30)*宠物成长!$C$2/宠物成长!$C$3*(1+宠物成长!$H$10+VLOOKUP(宠物属性点预览!Z$2,宠物成长!$O$5:$R$10,2,FALSE))</f>
        <v>2287.9</v>
      </c>
      <c r="AA30" s="1">
        <f t="shared" si="1"/>
        <v>0</v>
      </c>
    </row>
    <row r="31" spans="2:27" x14ac:dyDescent="0.15">
      <c r="B31" s="1">
        <v>29</v>
      </c>
      <c r="C31" s="9">
        <f>(宠物成长!$C$1+宠物成长!$C$2/宠物成长!$C$3*宠物成长!$E$30)*(1+VLOOKUP(宠物属性点预览!C$2,宠物成长!$F$4:$K$25,4,FALSE)+0)+(VLOOKUP(宠物属性点预览!$B31,宠物成长!$D$30:$E$129,2,FALSE)-宠物成长!$E$30)*宠物成长!$C$2/宠物成长!$C$3*(1+VLOOKUP(宠物属性点预览!C$2,宠物成长!$F$5:$K$25,3,FALSE)+0)</f>
        <v>160</v>
      </c>
      <c r="D31" s="9">
        <f>(宠物成长!$C$1+宠物成长!$C$2/宠物成长!$C$3*宠物成长!$E$30)*(1+VLOOKUP(宠物属性点预览!D$2,宠物成长!$F$4:$K$25,4,FALSE)+0)+(VLOOKUP(宠物属性点预览!$B31,宠物成长!$D$30:$E$129,2,FALSE)-宠物成长!$E$30)*宠物成长!$C$2/宠物成长!$C$3*(1+VLOOKUP(宠物属性点预览!D$2,宠物成长!$F$5:$K$25,3,FALSE)+0)</f>
        <v>206.5</v>
      </c>
      <c r="E31" s="9">
        <f>(宠物成长!$C$1+宠物成长!$C$2/宠物成长!$C$3*宠物成长!$E$30)*(1+VLOOKUP(宠物属性点预览!E$2,宠物成长!$F$4:$K$25,4,FALSE)+0)+(VLOOKUP(宠物属性点预览!$B31,宠物成长!$D$30:$E$129,2,FALSE)-宠物成长!$E$30)*宠物成长!$C$2/宠物成长!$C$3*(1+VLOOKUP(宠物属性点预览!E$2,宠物成长!$F$5:$K$25,3,FALSE)+0)</f>
        <v>271.60000000000002</v>
      </c>
      <c r="F31" s="9">
        <f>(宠物成长!$C$1+宠物成长!$C$2/宠物成长!$C$3*宠物成长!$E$30)*(1+VLOOKUP(宠物属性点预览!F$2,宠物成长!$F$4:$K$25,4,FALSE)+0)+(VLOOKUP(宠物属性点预览!$B31,宠物成长!$D$30:$E$129,2,FALSE)-宠物成长!$E$30)*宠物成长!$C$2/宠物成长!$C$3*(1+VLOOKUP(宠物属性点预览!F$2,宠物成长!$F$5:$K$25,3,FALSE)+0)</f>
        <v>358.40000000000003</v>
      </c>
      <c r="G31" s="9">
        <f>(宠物成长!$C$1+宠物成长!$C$2/宠物成长!$C$3*宠物成长!$E$30)*(1+VLOOKUP(宠物属性点预览!G$2,宠物成长!$F$4:$K$25,4,FALSE)+0)+(VLOOKUP(宠物属性点预览!$B31,宠物成长!$D$30:$E$129,2,FALSE)-宠物成长!$E$30)*宠物成长!$C$2/宠物成长!$C$3*(1+VLOOKUP(宠物属性点预览!G$2,宠物成长!$F$5:$K$25,3,FALSE)+0)</f>
        <v>471.59999999999997</v>
      </c>
      <c r="H31" s="9">
        <f>(宠物成长!$C$1+宠物成长!$C$2/宠物成长!$C$3*宠物成长!$E$30)*(1+VLOOKUP(宠物属性点预览!H$2,宠物成长!$F$4:$K$25,4,FALSE)+0)+(VLOOKUP(宠物属性点预览!$B31,宠物成长!$D$30:$E$129,2,FALSE)-宠物成长!$E$30)*宠物成长!$C$2/宠物成长!$C$3*(1+VLOOKUP(宠物属性点预览!H$2,宠物成长!$F$5:$K$25,3,FALSE)+0)</f>
        <v>634.4</v>
      </c>
      <c r="I31" s="9">
        <f>(宠物成长!$C$1+宠物成长!$C$2/宠物成长!$C$3*宠物成长!$E$30)*(1+VLOOKUP(宠物属性点预览!I$2,宠物成长!$F$4:$K$25,4,FALSE)+0)+(VLOOKUP(宠物属性点预览!$B31,宠物成长!$D$30:$E$129,2,FALSE)-宠物成长!$E$30)*宠物成长!$C$2/宠物成长!$C$3*(1+VLOOKUP(宠物属性点预览!I$2,宠物成长!$F$5:$K$25,3,FALSE)+0)</f>
        <v>853</v>
      </c>
      <c r="J31" s="9">
        <f>(宠物成长!$C$1+宠物成长!$C$2/宠物成长!$C$3*宠物成长!$E$30)*(1+VLOOKUP(宠物属性点预览!J$2,宠物成长!$F$4:$K$25,4,FALSE)+0)+(VLOOKUP(宠物属性点预览!$B31,宠物成长!$D$30:$E$129,2,FALSE)-宠物成长!$E$30)*宠物成长!$C$2/宠物成长!$C$3*(1+VLOOKUP(宠物属性点预览!J$2,宠物成长!$F$5:$K$25,3,FALSE)+0)</f>
        <v>1096.6296296296296</v>
      </c>
      <c r="K31" s="9">
        <f>(宠物成长!$C$1+宠物成长!$C$2/宠物成长!$C$3*宠物成长!$E$30)*(1+VLOOKUP(宠物属性点预览!K$2,宠物成长!$F$4:$K$25,4,FALSE)+0)+(VLOOKUP(宠物属性点预览!$B31,宠物成长!$D$30:$E$129,2,FALSE)-宠物成长!$E$30)*宠物成长!$C$2/宠物成长!$C$3*(1+VLOOKUP(宠物属性点预览!K$2,宠物成长!$F$5:$K$25,3,FALSE)+0)</f>
        <v>1343.1296296296296</v>
      </c>
      <c r="L31" s="9">
        <f>(宠物成长!$C$1+宠物成长!$C$2/宠物成长!$C$3*宠物成长!$E$30)*(1+VLOOKUP(宠物属性点预览!L$2,宠物成长!$F$4:$K$25,4,FALSE)+0)+(VLOOKUP(宠物属性点预览!$B31,宠物成长!$D$30:$E$129,2,FALSE)-宠物成长!$E$30)*宠物成长!$C$2/宠物成长!$C$3*(1+VLOOKUP(宠物属性点预览!L$2,宠物成长!$F$5:$K$25,3,FALSE)+0)</f>
        <v>1591.7242242242241</v>
      </c>
      <c r="M31" s="9">
        <f>(宠物成长!$C$1+宠物成长!$C$2/宠物成长!$C$3*宠物成长!$E$30)*(1+VLOOKUP(宠物属性点预览!M$2,宠物成长!$F$4:$K$25,4,FALSE)+0)+(VLOOKUP(宠物属性点预览!$B31,宠物成长!$D$30:$E$129,2,FALSE)-宠物成长!$E$30)*宠物成长!$C$2/宠物成长!$C$3*(1+VLOOKUP(宠物属性点预览!M$2,宠物成长!$F$5:$K$25,3,FALSE)+0)</f>
        <v>1841.9147004147003</v>
      </c>
      <c r="N31" s="9">
        <f>(宠物成长!$C$1+宠物成长!$C$2/宠物成长!$C$3*宠物成长!$E$30)*(1+VLOOKUP(宠物属性点预览!N$2,宠物成长!$F$4:$K$25,4,FALSE)+0)+(VLOOKUP(宠物属性点预览!$B31,宠物成长!$D$30:$E$129,2,FALSE)-宠物成长!$E$30)*宠物成长!$C$2/宠物成长!$C$3*(1+VLOOKUP(宠物属性点预览!N$2,宠物成长!$F$5:$K$25,3,FALSE)+0)</f>
        <v>2093.3615089253385</v>
      </c>
      <c r="O31" s="9">
        <f>(宠物成长!$C$1+宠物成长!$C$2/宠物成长!$C$3*宠物成长!$E$30)*(1+VLOOKUP(宠物属性点预览!O$2,宠物成长!$F$4:$K$25,4,FALSE)+0)+(VLOOKUP(宠物属性点预览!$B31,宠物成长!$D$30:$E$129,2,FALSE)-宠物成长!$E$30)*宠物成长!$C$2/宠物成长!$C$3*(1+VLOOKUP(宠物属性点预览!O$2,宠物成长!$F$5:$K$25,3,FALSE)+0)</f>
        <v>2345.8230473868766</v>
      </c>
      <c r="P31" s="9">
        <f>(宠物成长!$C$1+宠物成长!$C$2/宠物成长!$C$3*宠物成长!$E$30)*(1+VLOOKUP(宠物属性点预览!P$2,宠物成长!$F$4:$K$25,4,FALSE)+0)+(VLOOKUP(宠物属性点预览!$B31,宠物成长!$D$30:$E$129,2,FALSE)-宠物成长!$E$30)*宠物成长!$C$2/宠物成长!$C$3*(1+VLOOKUP(宠物属性点预览!P$2,宠物成长!$F$5:$K$25,3,FALSE)+0)</f>
        <v>2599.1212930009119</v>
      </c>
      <c r="Q31" s="9">
        <f>(宠物成长!$C$1+宠物成长!$C$2/宠物成长!$C$3*宠物成长!$E$30)*(1+VLOOKUP(宠物属性点预览!Q$2,宠物成长!$F$4:$K$25,4,FALSE)+0)+(VLOOKUP(宠物属性点预览!$B31,宠物成长!$D$30:$E$129,2,FALSE)-宠物成长!$E$30)*宠物成长!$C$2/宠物成长!$C$3*(1+VLOOKUP(宠物属性点预览!Q$2,宠物成长!$F$5:$K$25,3,FALSE)+0)</f>
        <v>2853.1212930009119</v>
      </c>
      <c r="R31" s="9">
        <f>(宠物成长!$C$1+宠物成长!$C$2/宠物成长!$C$3*宠物成长!$E$30)*(1+VLOOKUP(宠物属性点预览!R$2,宠物成长!$F$4:$K$25,4,FALSE)+0)+(VLOOKUP(宠物属性点预览!$B31,宠物成长!$D$30:$E$129,2,FALSE)-宠物成长!$E$30)*宠物成长!$C$2/宠物成长!$C$3*(1+VLOOKUP(宠物属性点预览!R$2,宠物成长!$F$5:$K$25,3,FALSE)+0)</f>
        <v>3107.718307926285</v>
      </c>
      <c r="S31" s="9">
        <f>(宠物成长!$C$1+宠物成长!$C$2/宠物成长!$C$3*宠物成长!$E$30)*(1+VLOOKUP(宠物属性点预览!S$2,宠物成长!$F$4:$K$25,4,FALSE)+0)+(VLOOKUP(宠物属性点预览!$B31,宠物成长!$D$30:$E$129,2,FALSE)-宠物成长!$E$30)*宠物成长!$C$2/宠物成长!$C$3*(1+VLOOKUP(宠物属性点预览!S$2,宠物成长!$F$5:$K$25,3,FALSE)+0)</f>
        <v>3362.8294190373958</v>
      </c>
      <c r="T31" s="83">
        <f t="shared" si="6"/>
        <v>634.4</v>
      </c>
      <c r="V31" s="9">
        <f>(宠物成长!$C$1+宠物成长!$C$2/宠物成长!$C$3*宠物成长!$E$30)*(1+宠物成长!$I$10+VLOOKUP(宠物属性点预览!V$2,宠物成长!$O$5:$R$10,3,FALSE))+(VLOOKUP(宠物属性点预览!$B31,宠物成长!$D$30:$E$129,2,FALSE)-宠物成长!$E$30)*宠物成长!$C$2/宠物成长!$C$3*(1+宠物成长!$H$10+VLOOKUP(宠物属性点预览!V$2,宠物成长!$O$5:$R$10,2,FALSE))</f>
        <v>634.4</v>
      </c>
      <c r="W31" s="9">
        <f>(宠物成长!$C$1+宠物成长!$C$2/宠物成长!$C$3*宠物成长!$E$30)*(1+宠物成长!$I$10+VLOOKUP(宠物属性点预览!W$2,宠物成长!$O$5:$R$10,3,FALSE))+(VLOOKUP(宠物属性点预览!$B31,宠物成长!$D$30:$E$129,2,FALSE)-宠物成长!$E$30)*宠物成长!$C$2/宠物成长!$C$3*(1+宠物成长!$H$10+VLOOKUP(宠物属性点预览!W$2,宠物成长!$O$5:$R$10,2,FALSE))</f>
        <v>972.4</v>
      </c>
      <c r="X31" s="9">
        <f>(宠物成长!$C$1+宠物成长!$C$2/宠物成长!$C$3*宠物成长!$E$30)*(1+宠物成长!$I$10+VLOOKUP(宠物属性点预览!X$2,宠物成长!$O$5:$R$10,3,FALSE))+(VLOOKUP(宠物属性点预览!$B31,宠物成长!$D$30:$E$129,2,FALSE)-宠物成长!$E$30)*宠物成长!$C$2/宠物成长!$C$3*(1+宠物成长!$H$10+VLOOKUP(宠物属性点预览!X$2,宠物成长!$O$5:$R$10,2,FALSE))</f>
        <v>1372.3999999999999</v>
      </c>
      <c r="Y31" s="9">
        <f>(宠物成长!$C$1+宠物成长!$C$2/宠物成长!$C$3*宠物成长!$E$30)*(1+宠物成长!$I$10+VLOOKUP(宠物属性点预览!Y$2,宠物成长!$O$5:$R$10,3,FALSE))+(VLOOKUP(宠物属性点预览!$B31,宠物成长!$D$30:$E$129,2,FALSE)-宠物成长!$E$30)*宠物成长!$C$2/宠物成长!$C$3*(1+宠物成长!$H$10+VLOOKUP(宠物属性点预览!Y$2,宠物成长!$O$5:$R$10,2,FALSE))</f>
        <v>1834.3999999999999</v>
      </c>
      <c r="Z31" s="9">
        <f>(宠物成长!$C$1+宠物成长!$C$2/宠物成长!$C$3*宠物成长!$E$30)*(1+宠物成长!$I$10+VLOOKUP(宠物属性点预览!Z$2,宠物成长!$O$5:$R$10,3,FALSE))+(VLOOKUP(宠物属性点预览!$B31,宠物成长!$D$30:$E$129,2,FALSE)-宠物成长!$E$30)*宠物成长!$C$2/宠物成长!$C$3*(1+宠物成长!$H$10+VLOOKUP(宠物属性点预览!Z$2,宠物成长!$O$5:$R$10,2,FALSE))</f>
        <v>2296.4</v>
      </c>
      <c r="AA31" s="1">
        <f t="shared" si="1"/>
        <v>0</v>
      </c>
    </row>
    <row r="32" spans="2:27" x14ac:dyDescent="0.15">
      <c r="B32" s="1">
        <v>30</v>
      </c>
      <c r="C32" s="9">
        <f>(宠物成长!$C$1+宠物成长!$C$2/宠物成长!$C$3*宠物成长!$E$30)*(1+VLOOKUP(宠物属性点预览!C$2,宠物成长!$F$4:$K$25,4,FALSE)+0)+(VLOOKUP(宠物属性点预览!$B32,宠物成长!$D$30:$E$129,2,FALSE)-宠物成长!$E$30)*宠物成长!$C$2/宠物成长!$C$3*(1+VLOOKUP(宠物属性点预览!C$2,宠物成长!$F$5:$K$25,3,FALSE)+0)</f>
        <v>163.5</v>
      </c>
      <c r="D32" s="9">
        <f>(宠物成长!$C$1+宠物成长!$C$2/宠物成长!$C$3*宠物成长!$E$30)*(1+VLOOKUP(宠物属性点预览!D$2,宠物成长!$F$4:$K$25,4,FALSE)+0)+(VLOOKUP(宠物属性点预览!$B32,宠物成长!$D$30:$E$129,2,FALSE)-宠物成长!$E$30)*宠物成长!$C$2/宠物成长!$C$3*(1+VLOOKUP(宠物属性点预览!D$2,宠物成长!$F$5:$K$25,3,FALSE)+0)</f>
        <v>210</v>
      </c>
      <c r="E32" s="9">
        <f>(宠物成长!$C$1+宠物成长!$C$2/宠物成长!$C$3*宠物成长!$E$30)*(1+VLOOKUP(宠物属性点预览!E$2,宠物成长!$F$4:$K$25,4,FALSE)+0)+(VLOOKUP(宠物属性点预览!$B32,宠物成长!$D$30:$E$129,2,FALSE)-宠物成长!$E$30)*宠物成长!$C$2/宠物成长!$C$3*(1+VLOOKUP(宠物属性点预览!E$2,宠物成长!$F$5:$K$25,3,FALSE)+0)</f>
        <v>275.10000000000002</v>
      </c>
      <c r="F32" s="9">
        <f>(宠物成长!$C$1+宠物成长!$C$2/宠物成长!$C$3*宠物成长!$E$30)*(1+VLOOKUP(宠物属性点预览!F$2,宠物成长!$F$4:$K$25,4,FALSE)+0)+(VLOOKUP(宠物属性点预览!$B32,宠物成长!$D$30:$E$129,2,FALSE)-宠物成长!$E$30)*宠物成长!$C$2/宠物成长!$C$3*(1+VLOOKUP(宠物属性点预览!F$2,宠物成长!$F$5:$K$25,3,FALSE)+0)</f>
        <v>361.90000000000003</v>
      </c>
      <c r="G32" s="9">
        <f>(宠物成长!$C$1+宠物成长!$C$2/宠物成长!$C$3*宠物成长!$E$30)*(1+VLOOKUP(宠物属性点预览!G$2,宠物成长!$F$4:$K$25,4,FALSE)+0)+(VLOOKUP(宠物属性点预览!$B32,宠物成长!$D$30:$E$129,2,FALSE)-宠物成长!$E$30)*宠物成长!$C$2/宠物成长!$C$3*(1+VLOOKUP(宠物属性点预览!G$2,宠物成长!$F$5:$K$25,3,FALSE)+0)</f>
        <v>475.59999999999997</v>
      </c>
      <c r="H32" s="9">
        <f>(宠物成长!$C$1+宠物成长!$C$2/宠物成长!$C$3*宠物成长!$E$30)*(1+VLOOKUP(宠物属性点预览!H$2,宠物成长!$F$4:$K$25,4,FALSE)+0)+(VLOOKUP(宠物属性点预览!$B32,宠物成长!$D$30:$E$129,2,FALSE)-宠物成长!$E$30)*宠物成长!$C$2/宠物成长!$C$3*(1+VLOOKUP(宠物属性点预览!H$2,宠物成长!$F$5:$K$25,3,FALSE)+0)</f>
        <v>638.9</v>
      </c>
      <c r="I32" s="83">
        <f>(宠物成长!$C$1+宠物成长!$C$2/宠物成长!$C$3*宠物成长!$E$30)*(1+VLOOKUP(宠物属性点预览!I$2,宠物成长!$F$4:$K$25,4,FALSE)+0)+(VLOOKUP(宠物属性点预览!$B32,宠物成长!$D$30:$E$129,2,FALSE)-宠物成长!$E$30)*宠物成长!$C$2/宠物成长!$C$3*(1+VLOOKUP(宠物属性点预览!I$2,宠物成长!$F$5:$K$25,3,FALSE)+0)</f>
        <v>858</v>
      </c>
      <c r="J32" s="9">
        <f>(宠物成长!$C$1+宠物成长!$C$2/宠物成长!$C$3*宠物成长!$E$30)*(1+VLOOKUP(宠物属性点预览!J$2,宠物成长!$F$4:$K$25,4,FALSE)+0)+(VLOOKUP(宠物属性点预览!$B32,宠物成长!$D$30:$E$129,2,FALSE)-宠物成长!$E$30)*宠物成长!$C$2/宠物成长!$C$3*(1+VLOOKUP(宠物属性点预览!J$2,宠物成长!$F$5:$K$25,3,FALSE)+0)</f>
        <v>1102.1296296296296</v>
      </c>
      <c r="K32" s="9">
        <f>(宠物成长!$C$1+宠物成长!$C$2/宠物成长!$C$3*宠物成长!$E$30)*(1+VLOOKUP(宠物属性点预览!K$2,宠物成长!$F$4:$K$25,4,FALSE)+0)+(VLOOKUP(宠物属性点预览!$B32,宠物成长!$D$30:$E$129,2,FALSE)-宠物成长!$E$30)*宠物成长!$C$2/宠物成长!$C$3*(1+VLOOKUP(宠物属性点预览!K$2,宠物成长!$F$5:$K$25,3,FALSE)+0)</f>
        <v>1349.1296296296296</v>
      </c>
      <c r="L32" s="9">
        <f>(宠物成长!$C$1+宠物成长!$C$2/宠物成长!$C$3*宠物成长!$E$30)*(1+VLOOKUP(宠物属性点预览!L$2,宠物成长!$F$4:$K$25,4,FALSE)+0)+(VLOOKUP(宠物属性点预览!$B32,宠物成长!$D$30:$E$129,2,FALSE)-宠物成长!$E$30)*宠物成长!$C$2/宠物成长!$C$3*(1+VLOOKUP(宠物属性点预览!L$2,宠物成长!$F$5:$K$25,3,FALSE)+0)</f>
        <v>1598.2242242242241</v>
      </c>
      <c r="M32" s="9">
        <f>(宠物成长!$C$1+宠物成长!$C$2/宠物成长!$C$3*宠物成长!$E$30)*(1+VLOOKUP(宠物属性点预览!M$2,宠物成长!$F$4:$K$25,4,FALSE)+0)+(VLOOKUP(宠物属性点预览!$B32,宠物成长!$D$30:$E$129,2,FALSE)-宠物成长!$E$30)*宠物成长!$C$2/宠物成长!$C$3*(1+VLOOKUP(宠物属性点预览!M$2,宠物成长!$F$5:$K$25,3,FALSE)+0)</f>
        <v>1848.9147004147003</v>
      </c>
      <c r="N32" s="9">
        <f>(宠物成长!$C$1+宠物成长!$C$2/宠物成长!$C$3*宠物成长!$E$30)*(1+VLOOKUP(宠物属性点预览!N$2,宠物成长!$F$4:$K$25,4,FALSE)+0)+(VLOOKUP(宠物属性点预览!$B32,宠物成长!$D$30:$E$129,2,FALSE)-宠物成长!$E$30)*宠物成长!$C$2/宠物成长!$C$3*(1+VLOOKUP(宠物属性点预览!N$2,宠物成长!$F$5:$K$25,3,FALSE)+0)</f>
        <v>2100.8615089253385</v>
      </c>
      <c r="O32" s="9">
        <f>(宠物成长!$C$1+宠物成长!$C$2/宠物成长!$C$3*宠物成长!$E$30)*(1+VLOOKUP(宠物属性点预览!O$2,宠物成长!$F$4:$K$25,4,FALSE)+0)+(VLOOKUP(宠物属性点预览!$B32,宠物成长!$D$30:$E$129,2,FALSE)-宠物成长!$E$30)*宠物成长!$C$2/宠物成长!$C$3*(1+VLOOKUP(宠物属性点预览!O$2,宠物成长!$F$5:$K$25,3,FALSE)+0)</f>
        <v>2353.8230473868766</v>
      </c>
      <c r="P32" s="9">
        <f>(宠物成长!$C$1+宠物成长!$C$2/宠物成长!$C$3*宠物成长!$E$30)*(1+VLOOKUP(宠物属性点预览!P$2,宠物成长!$F$4:$K$25,4,FALSE)+0)+(VLOOKUP(宠物属性点预览!$B32,宠物成长!$D$30:$E$129,2,FALSE)-宠物成长!$E$30)*宠物成长!$C$2/宠物成长!$C$3*(1+VLOOKUP(宠物属性点预览!P$2,宠物成长!$F$5:$K$25,3,FALSE)+0)</f>
        <v>2607.6212930009119</v>
      </c>
      <c r="Q32" s="9">
        <f>(宠物成长!$C$1+宠物成长!$C$2/宠物成长!$C$3*宠物成长!$E$30)*(1+VLOOKUP(宠物属性点预览!Q$2,宠物成长!$F$4:$K$25,4,FALSE)+0)+(VLOOKUP(宠物属性点预览!$B32,宠物成长!$D$30:$E$129,2,FALSE)-宠物成长!$E$30)*宠物成长!$C$2/宠物成长!$C$3*(1+VLOOKUP(宠物属性点预览!Q$2,宠物成长!$F$5:$K$25,3,FALSE)+0)</f>
        <v>2862.1212930009119</v>
      </c>
      <c r="R32" s="9">
        <f>(宠物成长!$C$1+宠物成长!$C$2/宠物成长!$C$3*宠物成长!$E$30)*(1+VLOOKUP(宠物属性点预览!R$2,宠物成长!$F$4:$K$25,4,FALSE)+0)+(VLOOKUP(宠物属性点预览!$B32,宠物成长!$D$30:$E$129,2,FALSE)-宠物成长!$E$30)*宠物成长!$C$2/宠物成长!$C$3*(1+VLOOKUP(宠物属性点预览!R$2,宠物成长!$F$5:$K$25,3,FALSE)+0)</f>
        <v>3117.218307926285</v>
      </c>
      <c r="S32" s="9">
        <f>(宠物成长!$C$1+宠物成长!$C$2/宠物成长!$C$3*宠物成长!$E$30)*(1+VLOOKUP(宠物属性点预览!S$2,宠物成长!$F$4:$K$25,4,FALSE)+0)+(VLOOKUP(宠物属性点预览!$B32,宠物成长!$D$30:$E$129,2,FALSE)-宠物成长!$E$30)*宠物成长!$C$2/宠物成长!$C$3*(1+VLOOKUP(宠物属性点预览!S$2,宠物成长!$F$5:$K$25,3,FALSE)+0)</f>
        <v>3372.8294190373958</v>
      </c>
      <c r="T32" s="83">
        <f t="shared" si="6"/>
        <v>638.9</v>
      </c>
      <c r="U32" s="9">
        <f>I32</f>
        <v>858</v>
      </c>
      <c r="V32" s="9">
        <f>(宠物成长!$C$1+宠物成长!$C$2/宠物成长!$C$3*宠物成长!$E$30)*(1+宠物成长!$I$11+VLOOKUP(宠物属性点预览!V$2,宠物成长!$O$5:$R$10,3,FALSE))+(VLOOKUP(宠物属性点预览!$B32,宠物成长!$D$30:$E$129,2,FALSE)-宠物成长!$E$30)*宠物成长!$C$2/宠物成长!$C$3*(1+宠物成长!$H$11+VLOOKUP(宠物属性点预览!V$2,宠物成长!$O$5:$R$10,2,FALSE))</f>
        <v>858</v>
      </c>
      <c r="W32" s="9">
        <f>(宠物成长!$C$1+宠物成长!$C$2/宠物成长!$C$3*宠物成长!$E$30)*(1+宠物成长!$I$11+VLOOKUP(宠物属性点预览!W$2,宠物成长!$O$5:$R$10,3,FALSE))+(VLOOKUP(宠物属性点预览!$B32,宠物成长!$D$30:$E$129,2,FALSE)-宠物成长!$E$30)*宠物成长!$C$2/宠物成长!$C$3*(1+宠物成长!$H$11+VLOOKUP(宠物属性点预览!W$2,宠物成长!$O$5:$R$10,2,FALSE))</f>
        <v>1197</v>
      </c>
      <c r="X32" s="9">
        <f>(宠物成长!$C$1+宠物成长!$C$2/宠物成长!$C$3*宠物成长!$E$30)*(1+宠物成长!$I$11+VLOOKUP(宠物属性点预览!X$2,宠物成长!$O$5:$R$10,3,FALSE))+(VLOOKUP(宠物属性点预览!$B32,宠物成长!$D$30:$E$129,2,FALSE)-宠物成长!$E$30)*宠物成长!$C$2/宠物成长!$C$3*(1+宠物成长!$H$11+VLOOKUP(宠物属性点预览!X$2,宠物成长!$O$5:$R$10,2,FALSE))</f>
        <v>1598</v>
      </c>
      <c r="Y32" s="9">
        <f>(宠物成长!$C$1+宠物成长!$C$2/宠物成长!$C$3*宠物成长!$E$30)*(1+宠物成长!$I$11+VLOOKUP(宠物属性点预览!Y$2,宠物成长!$O$5:$R$10,3,FALSE))+(VLOOKUP(宠物属性点预览!$B32,宠物成长!$D$30:$E$129,2,FALSE)-宠物成长!$E$30)*宠物成长!$C$2/宠物成长!$C$3*(1+宠物成长!$H$11+VLOOKUP(宠物属性点预览!Y$2,宠物成长!$O$5:$R$10,2,FALSE))</f>
        <v>2061</v>
      </c>
      <c r="Z32" s="9">
        <f>(宠物成长!$C$1+宠物成长!$C$2/宠物成长!$C$3*宠物成长!$E$30)*(1+宠物成长!$I$11+VLOOKUP(宠物属性点预览!Z$2,宠物成长!$O$5:$R$10,3,FALSE))+(VLOOKUP(宠物属性点预览!$B32,宠物成长!$D$30:$E$129,2,FALSE)-宠物成长!$E$30)*宠物成长!$C$2/宠物成长!$C$3*(1+宠物成长!$H$11+VLOOKUP(宠物属性点预览!Z$2,宠物成长!$O$5:$R$10,2,FALSE))</f>
        <v>2524</v>
      </c>
      <c r="AA32" s="1">
        <f t="shared" si="1"/>
        <v>1.3429331663797153</v>
      </c>
    </row>
    <row r="33" spans="2:31" x14ac:dyDescent="0.15">
      <c r="B33" s="1">
        <v>31</v>
      </c>
      <c r="C33" s="9">
        <f>(宠物成长!$C$1+宠物成长!$C$2/宠物成长!$C$3*宠物成长!$E$30)*(1+VLOOKUP(宠物属性点预览!C$2,宠物成长!$F$4:$K$25,4,FALSE)+0)+(VLOOKUP(宠物属性点预览!$B33,宠物成长!$D$30:$E$129,2,FALSE)-宠物成长!$E$30)*宠物成长!$C$2/宠物成长!$C$3*(1+VLOOKUP(宠物属性点预览!C$2,宠物成长!$F$5:$K$25,3,FALSE)+0)</f>
        <v>167</v>
      </c>
      <c r="D33" s="9">
        <f>(宠物成长!$C$1+宠物成长!$C$2/宠物成长!$C$3*宠物成长!$E$30)*(1+VLOOKUP(宠物属性点预览!D$2,宠物成长!$F$4:$K$25,4,FALSE)+0)+(VLOOKUP(宠物属性点预览!$B33,宠物成长!$D$30:$E$129,2,FALSE)-宠物成长!$E$30)*宠物成长!$C$2/宠物成长!$C$3*(1+VLOOKUP(宠物属性点预览!D$2,宠物成长!$F$5:$K$25,3,FALSE)+0)</f>
        <v>213.5</v>
      </c>
      <c r="E33" s="9">
        <f>(宠物成长!$C$1+宠物成长!$C$2/宠物成长!$C$3*宠物成长!$E$30)*(1+VLOOKUP(宠物属性点预览!E$2,宠物成长!$F$4:$K$25,4,FALSE)+0)+(VLOOKUP(宠物属性点预览!$B33,宠物成长!$D$30:$E$129,2,FALSE)-宠物成长!$E$30)*宠物成长!$C$2/宠物成长!$C$3*(1+VLOOKUP(宠物属性点预览!E$2,宠物成长!$F$5:$K$25,3,FALSE)+0)</f>
        <v>278.60000000000002</v>
      </c>
      <c r="F33" s="9">
        <f>(宠物成长!$C$1+宠物成长!$C$2/宠物成长!$C$3*宠物成长!$E$30)*(1+VLOOKUP(宠物属性点预览!F$2,宠物成长!$F$4:$K$25,4,FALSE)+0)+(VLOOKUP(宠物属性点预览!$B33,宠物成长!$D$30:$E$129,2,FALSE)-宠物成长!$E$30)*宠物成长!$C$2/宠物成长!$C$3*(1+VLOOKUP(宠物属性点预览!F$2,宠物成长!$F$5:$K$25,3,FALSE)+0)</f>
        <v>365.40000000000003</v>
      </c>
      <c r="G33" s="9">
        <f>(宠物成长!$C$1+宠物成长!$C$2/宠物成长!$C$3*宠物成长!$E$30)*(1+VLOOKUP(宠物属性点预览!G$2,宠物成长!$F$4:$K$25,4,FALSE)+0)+(VLOOKUP(宠物属性点预览!$B33,宠物成长!$D$30:$E$129,2,FALSE)-宠物成长!$E$30)*宠物成长!$C$2/宠物成长!$C$3*(1+VLOOKUP(宠物属性点预览!G$2,宠物成长!$F$5:$K$25,3,FALSE)+0)</f>
        <v>479.59999999999997</v>
      </c>
      <c r="H33" s="9">
        <f>(宠物成长!$C$1+宠物成长!$C$2/宠物成长!$C$3*宠物成长!$E$30)*(1+VLOOKUP(宠物属性点预览!H$2,宠物成长!$F$4:$K$25,4,FALSE)+0)+(VLOOKUP(宠物属性点预览!$B33,宠物成长!$D$30:$E$129,2,FALSE)-宠物成长!$E$30)*宠物成长!$C$2/宠物成长!$C$3*(1+VLOOKUP(宠物属性点预览!H$2,宠物成长!$F$5:$K$25,3,FALSE)+0)</f>
        <v>643.4</v>
      </c>
      <c r="I33" s="9">
        <f>(宠物成长!$C$1+宠物成长!$C$2/宠物成长!$C$3*宠物成长!$E$30)*(1+VLOOKUP(宠物属性点预览!I$2,宠物成长!$F$4:$K$25,4,FALSE)+0)+(VLOOKUP(宠物属性点预览!$B33,宠物成长!$D$30:$E$129,2,FALSE)-宠物成长!$E$30)*宠物成长!$C$2/宠物成长!$C$3*(1+VLOOKUP(宠物属性点预览!I$2,宠物成长!$F$5:$K$25,3,FALSE)+0)</f>
        <v>863</v>
      </c>
      <c r="J33" s="9">
        <f>(宠物成长!$C$1+宠物成长!$C$2/宠物成长!$C$3*宠物成长!$E$30)*(1+VLOOKUP(宠物属性点预览!J$2,宠物成长!$F$4:$K$25,4,FALSE)+0)+(VLOOKUP(宠物属性点预览!$B33,宠物成长!$D$30:$E$129,2,FALSE)-宠物成长!$E$30)*宠物成长!$C$2/宠物成长!$C$3*(1+VLOOKUP(宠物属性点预览!J$2,宠物成长!$F$5:$K$25,3,FALSE)+0)</f>
        <v>1107.6296296296296</v>
      </c>
      <c r="K33" s="9">
        <f>(宠物成长!$C$1+宠物成长!$C$2/宠物成长!$C$3*宠物成长!$E$30)*(1+VLOOKUP(宠物属性点预览!K$2,宠物成长!$F$4:$K$25,4,FALSE)+0)+(VLOOKUP(宠物属性点预览!$B33,宠物成长!$D$30:$E$129,2,FALSE)-宠物成长!$E$30)*宠物成长!$C$2/宠物成长!$C$3*(1+VLOOKUP(宠物属性点预览!K$2,宠物成长!$F$5:$K$25,3,FALSE)+0)</f>
        <v>1355.1296296296296</v>
      </c>
      <c r="L33" s="9">
        <f>(宠物成长!$C$1+宠物成长!$C$2/宠物成长!$C$3*宠物成长!$E$30)*(1+VLOOKUP(宠物属性点预览!L$2,宠物成长!$F$4:$K$25,4,FALSE)+0)+(VLOOKUP(宠物属性点预览!$B33,宠物成长!$D$30:$E$129,2,FALSE)-宠物成长!$E$30)*宠物成长!$C$2/宠物成长!$C$3*(1+VLOOKUP(宠物属性点预览!L$2,宠物成长!$F$5:$K$25,3,FALSE)+0)</f>
        <v>1604.7242242242241</v>
      </c>
      <c r="M33" s="9">
        <f>(宠物成长!$C$1+宠物成长!$C$2/宠物成长!$C$3*宠物成长!$E$30)*(1+VLOOKUP(宠物属性点预览!M$2,宠物成长!$F$4:$K$25,4,FALSE)+0)+(VLOOKUP(宠物属性点预览!$B33,宠物成长!$D$30:$E$129,2,FALSE)-宠物成长!$E$30)*宠物成长!$C$2/宠物成长!$C$3*(1+VLOOKUP(宠物属性点预览!M$2,宠物成长!$F$5:$K$25,3,FALSE)+0)</f>
        <v>1855.9147004147003</v>
      </c>
      <c r="N33" s="9">
        <f>(宠物成长!$C$1+宠物成长!$C$2/宠物成长!$C$3*宠物成长!$E$30)*(1+VLOOKUP(宠物属性点预览!N$2,宠物成长!$F$4:$K$25,4,FALSE)+0)+(VLOOKUP(宠物属性点预览!$B33,宠物成长!$D$30:$E$129,2,FALSE)-宠物成长!$E$30)*宠物成长!$C$2/宠物成长!$C$3*(1+VLOOKUP(宠物属性点预览!N$2,宠物成长!$F$5:$K$25,3,FALSE)+0)</f>
        <v>2108.3615089253385</v>
      </c>
      <c r="O33" s="9">
        <f>(宠物成长!$C$1+宠物成长!$C$2/宠物成长!$C$3*宠物成长!$E$30)*(1+VLOOKUP(宠物属性点预览!O$2,宠物成长!$F$4:$K$25,4,FALSE)+0)+(VLOOKUP(宠物属性点预览!$B33,宠物成长!$D$30:$E$129,2,FALSE)-宠物成长!$E$30)*宠物成长!$C$2/宠物成长!$C$3*(1+VLOOKUP(宠物属性点预览!O$2,宠物成长!$F$5:$K$25,3,FALSE)+0)</f>
        <v>2361.8230473868766</v>
      </c>
      <c r="P33" s="9">
        <f>(宠物成长!$C$1+宠物成长!$C$2/宠物成长!$C$3*宠物成长!$E$30)*(1+VLOOKUP(宠物属性点预览!P$2,宠物成长!$F$4:$K$25,4,FALSE)+0)+(VLOOKUP(宠物属性点预览!$B33,宠物成长!$D$30:$E$129,2,FALSE)-宠物成长!$E$30)*宠物成长!$C$2/宠物成长!$C$3*(1+VLOOKUP(宠物属性点预览!P$2,宠物成长!$F$5:$K$25,3,FALSE)+0)</f>
        <v>2616.1212930009119</v>
      </c>
      <c r="Q33" s="9">
        <f>(宠物成长!$C$1+宠物成长!$C$2/宠物成长!$C$3*宠物成长!$E$30)*(1+VLOOKUP(宠物属性点预览!Q$2,宠物成长!$F$4:$K$25,4,FALSE)+0)+(VLOOKUP(宠物属性点预览!$B33,宠物成长!$D$30:$E$129,2,FALSE)-宠物成长!$E$30)*宠物成长!$C$2/宠物成长!$C$3*(1+VLOOKUP(宠物属性点预览!Q$2,宠物成长!$F$5:$K$25,3,FALSE)+0)</f>
        <v>2871.1212930009119</v>
      </c>
      <c r="R33" s="9">
        <f>(宠物成长!$C$1+宠物成长!$C$2/宠物成长!$C$3*宠物成长!$E$30)*(1+VLOOKUP(宠物属性点预览!R$2,宠物成长!$F$4:$K$25,4,FALSE)+0)+(VLOOKUP(宠物属性点预览!$B33,宠物成长!$D$30:$E$129,2,FALSE)-宠物成长!$E$30)*宠物成长!$C$2/宠物成长!$C$3*(1+VLOOKUP(宠物属性点预览!R$2,宠物成长!$F$5:$K$25,3,FALSE)+0)</f>
        <v>3126.718307926285</v>
      </c>
      <c r="S33" s="9">
        <f>(宠物成长!$C$1+宠物成长!$C$2/宠物成长!$C$3*宠物成长!$E$30)*(1+VLOOKUP(宠物属性点预览!S$2,宠物成长!$F$4:$K$25,4,FALSE)+0)+(VLOOKUP(宠物属性点预览!$B33,宠物成长!$D$30:$E$129,2,FALSE)-宠物成长!$E$30)*宠物成长!$C$2/宠物成长!$C$3*(1+VLOOKUP(宠物属性点预览!S$2,宠物成长!$F$5:$K$25,3,FALSE)+0)</f>
        <v>3382.8294190373958</v>
      </c>
      <c r="T33" s="83">
        <f>I33</f>
        <v>863</v>
      </c>
      <c r="V33" s="9">
        <f>(宠物成长!$C$1+宠物成长!$C$2/宠物成长!$C$3*宠物成长!$E$30)*(1+宠物成长!$I$11+VLOOKUP(宠物属性点预览!V$2,宠物成长!$O$5:$R$10,3,FALSE))+(VLOOKUP(宠物属性点预览!$B33,宠物成长!$D$30:$E$129,2,FALSE)-宠物成长!$E$30)*宠物成长!$C$2/宠物成长!$C$3*(1+宠物成长!$H$11+VLOOKUP(宠物属性点预览!V$2,宠物成长!$O$5:$R$10,2,FALSE))</f>
        <v>863</v>
      </c>
      <c r="W33" s="9">
        <f>(宠物成长!$C$1+宠物成长!$C$2/宠物成长!$C$3*宠物成长!$E$30)*(1+宠物成长!$I$11+VLOOKUP(宠物属性点预览!W$2,宠物成长!$O$5:$R$10,3,FALSE))+(VLOOKUP(宠物属性点预览!$B33,宠物成长!$D$30:$E$129,2,FALSE)-宠物成长!$E$30)*宠物成长!$C$2/宠物成长!$C$3*(1+宠物成长!$H$11+VLOOKUP(宠物属性点预览!W$2,宠物成长!$O$5:$R$10,2,FALSE))</f>
        <v>1203</v>
      </c>
      <c r="X33" s="9">
        <f>(宠物成长!$C$1+宠物成长!$C$2/宠物成长!$C$3*宠物成长!$E$30)*(1+宠物成长!$I$11+VLOOKUP(宠物属性点预览!X$2,宠物成长!$O$5:$R$10,3,FALSE))+(VLOOKUP(宠物属性点预览!$B33,宠物成长!$D$30:$E$129,2,FALSE)-宠物成长!$E$30)*宠物成长!$C$2/宠物成长!$C$3*(1+宠物成长!$H$11+VLOOKUP(宠物属性点预览!X$2,宠物成长!$O$5:$R$10,2,FALSE))</f>
        <v>1605</v>
      </c>
      <c r="Y33" s="9">
        <f>(宠物成长!$C$1+宠物成长!$C$2/宠物成长!$C$3*宠物成长!$E$30)*(1+宠物成长!$I$11+VLOOKUP(宠物属性点预览!Y$2,宠物成长!$O$5:$R$10,3,FALSE))+(VLOOKUP(宠物属性点预览!$B33,宠物成长!$D$30:$E$129,2,FALSE)-宠物成长!$E$30)*宠物成长!$C$2/宠物成长!$C$3*(1+宠物成长!$H$11+VLOOKUP(宠物属性点预览!Y$2,宠物成长!$O$5:$R$10,2,FALSE))</f>
        <v>2069</v>
      </c>
      <c r="Z33" s="9">
        <f>(宠物成长!$C$1+宠物成长!$C$2/宠物成长!$C$3*宠物成长!$E$30)*(1+宠物成长!$I$11+VLOOKUP(宠物属性点预览!Z$2,宠物成长!$O$5:$R$10,3,FALSE))+(VLOOKUP(宠物属性点预览!$B33,宠物成长!$D$30:$E$129,2,FALSE)-宠物成长!$E$30)*宠物成长!$C$2/宠物成长!$C$3*(1+宠物成长!$H$11+VLOOKUP(宠物属性点预览!Z$2,宠物成长!$O$5:$R$10,2,FALSE))</f>
        <v>2533</v>
      </c>
      <c r="AA33" s="1">
        <f t="shared" si="1"/>
        <v>0</v>
      </c>
    </row>
    <row r="34" spans="2:31" x14ac:dyDescent="0.15">
      <c r="B34" s="1">
        <v>32</v>
      </c>
      <c r="C34" s="9">
        <f>(宠物成长!$C$1+宠物成长!$C$2/宠物成长!$C$3*宠物成长!$E$30)*(1+VLOOKUP(宠物属性点预览!C$2,宠物成长!$F$4:$K$25,4,FALSE)+0)+(VLOOKUP(宠物属性点预览!$B34,宠物成长!$D$30:$E$129,2,FALSE)-宠物成长!$E$30)*宠物成长!$C$2/宠物成长!$C$3*(1+VLOOKUP(宠物属性点预览!C$2,宠物成长!$F$5:$K$25,3,FALSE)+0)</f>
        <v>170.5</v>
      </c>
      <c r="D34" s="9">
        <f>(宠物成长!$C$1+宠物成长!$C$2/宠物成长!$C$3*宠物成长!$E$30)*(1+VLOOKUP(宠物属性点预览!D$2,宠物成长!$F$4:$K$25,4,FALSE)+0)+(VLOOKUP(宠物属性点预览!$B34,宠物成长!$D$30:$E$129,2,FALSE)-宠物成长!$E$30)*宠物成长!$C$2/宠物成长!$C$3*(1+VLOOKUP(宠物属性点预览!D$2,宠物成长!$F$5:$K$25,3,FALSE)+0)</f>
        <v>217</v>
      </c>
      <c r="E34" s="9">
        <f>(宠物成长!$C$1+宠物成长!$C$2/宠物成长!$C$3*宠物成长!$E$30)*(1+VLOOKUP(宠物属性点预览!E$2,宠物成长!$F$4:$K$25,4,FALSE)+0)+(VLOOKUP(宠物属性点预览!$B34,宠物成长!$D$30:$E$129,2,FALSE)-宠物成长!$E$30)*宠物成长!$C$2/宠物成长!$C$3*(1+VLOOKUP(宠物属性点预览!E$2,宠物成长!$F$5:$K$25,3,FALSE)+0)</f>
        <v>282.10000000000002</v>
      </c>
      <c r="F34" s="9">
        <f>(宠物成长!$C$1+宠物成长!$C$2/宠物成长!$C$3*宠物成长!$E$30)*(1+VLOOKUP(宠物属性点预览!F$2,宠物成长!$F$4:$K$25,4,FALSE)+0)+(VLOOKUP(宠物属性点预览!$B34,宠物成长!$D$30:$E$129,2,FALSE)-宠物成长!$E$30)*宠物成长!$C$2/宠物成长!$C$3*(1+VLOOKUP(宠物属性点预览!F$2,宠物成长!$F$5:$K$25,3,FALSE)+0)</f>
        <v>368.90000000000003</v>
      </c>
      <c r="G34" s="9">
        <f>(宠物成长!$C$1+宠物成长!$C$2/宠物成长!$C$3*宠物成长!$E$30)*(1+VLOOKUP(宠物属性点预览!G$2,宠物成长!$F$4:$K$25,4,FALSE)+0)+(VLOOKUP(宠物属性点预览!$B34,宠物成长!$D$30:$E$129,2,FALSE)-宠物成长!$E$30)*宠物成长!$C$2/宠物成长!$C$3*(1+VLOOKUP(宠物属性点预览!G$2,宠物成长!$F$5:$K$25,3,FALSE)+0)</f>
        <v>483.59999999999997</v>
      </c>
      <c r="H34" s="9">
        <f>(宠物成长!$C$1+宠物成长!$C$2/宠物成长!$C$3*宠物成长!$E$30)*(1+VLOOKUP(宠物属性点预览!H$2,宠物成长!$F$4:$K$25,4,FALSE)+0)+(VLOOKUP(宠物属性点预览!$B34,宠物成长!$D$30:$E$129,2,FALSE)-宠物成长!$E$30)*宠物成长!$C$2/宠物成长!$C$3*(1+VLOOKUP(宠物属性点预览!H$2,宠物成长!$F$5:$K$25,3,FALSE)+0)</f>
        <v>647.9</v>
      </c>
      <c r="I34" s="9">
        <f>(宠物成长!$C$1+宠物成长!$C$2/宠物成长!$C$3*宠物成长!$E$30)*(1+VLOOKUP(宠物属性点预览!I$2,宠物成长!$F$4:$K$25,4,FALSE)+0)+(VLOOKUP(宠物属性点预览!$B34,宠物成长!$D$30:$E$129,2,FALSE)-宠物成长!$E$30)*宠物成长!$C$2/宠物成长!$C$3*(1+VLOOKUP(宠物属性点预览!I$2,宠物成长!$F$5:$K$25,3,FALSE)+0)</f>
        <v>868</v>
      </c>
      <c r="J34" s="9">
        <f>(宠物成长!$C$1+宠物成长!$C$2/宠物成长!$C$3*宠物成长!$E$30)*(1+VLOOKUP(宠物属性点预览!J$2,宠物成长!$F$4:$K$25,4,FALSE)+0)+(VLOOKUP(宠物属性点预览!$B34,宠物成长!$D$30:$E$129,2,FALSE)-宠物成长!$E$30)*宠物成长!$C$2/宠物成长!$C$3*(1+VLOOKUP(宠物属性点预览!J$2,宠物成长!$F$5:$K$25,3,FALSE)+0)</f>
        <v>1113.1296296296296</v>
      </c>
      <c r="K34" s="9">
        <f>(宠物成长!$C$1+宠物成长!$C$2/宠物成长!$C$3*宠物成长!$E$30)*(1+VLOOKUP(宠物属性点预览!K$2,宠物成长!$F$4:$K$25,4,FALSE)+0)+(VLOOKUP(宠物属性点预览!$B34,宠物成长!$D$30:$E$129,2,FALSE)-宠物成长!$E$30)*宠物成长!$C$2/宠物成长!$C$3*(1+VLOOKUP(宠物属性点预览!K$2,宠物成长!$F$5:$K$25,3,FALSE)+0)</f>
        <v>1361.1296296296296</v>
      </c>
      <c r="L34" s="9">
        <f>(宠物成长!$C$1+宠物成长!$C$2/宠物成长!$C$3*宠物成长!$E$30)*(1+VLOOKUP(宠物属性点预览!L$2,宠物成长!$F$4:$K$25,4,FALSE)+0)+(VLOOKUP(宠物属性点预览!$B34,宠物成长!$D$30:$E$129,2,FALSE)-宠物成长!$E$30)*宠物成长!$C$2/宠物成长!$C$3*(1+VLOOKUP(宠物属性点预览!L$2,宠物成长!$F$5:$K$25,3,FALSE)+0)</f>
        <v>1611.2242242242241</v>
      </c>
      <c r="M34" s="9">
        <f>(宠物成长!$C$1+宠物成长!$C$2/宠物成长!$C$3*宠物成长!$E$30)*(1+VLOOKUP(宠物属性点预览!M$2,宠物成长!$F$4:$K$25,4,FALSE)+0)+(VLOOKUP(宠物属性点预览!$B34,宠物成长!$D$30:$E$129,2,FALSE)-宠物成长!$E$30)*宠物成长!$C$2/宠物成长!$C$3*(1+VLOOKUP(宠物属性点预览!M$2,宠物成长!$F$5:$K$25,3,FALSE)+0)</f>
        <v>1862.9147004147003</v>
      </c>
      <c r="N34" s="9">
        <f>(宠物成长!$C$1+宠物成长!$C$2/宠物成长!$C$3*宠物成长!$E$30)*(1+VLOOKUP(宠物属性点预览!N$2,宠物成长!$F$4:$K$25,4,FALSE)+0)+(VLOOKUP(宠物属性点预览!$B34,宠物成长!$D$30:$E$129,2,FALSE)-宠物成长!$E$30)*宠物成长!$C$2/宠物成长!$C$3*(1+VLOOKUP(宠物属性点预览!N$2,宠物成长!$F$5:$K$25,3,FALSE)+0)</f>
        <v>2115.8615089253385</v>
      </c>
      <c r="O34" s="9">
        <f>(宠物成长!$C$1+宠物成长!$C$2/宠物成长!$C$3*宠物成长!$E$30)*(1+VLOOKUP(宠物属性点预览!O$2,宠物成长!$F$4:$K$25,4,FALSE)+0)+(VLOOKUP(宠物属性点预览!$B34,宠物成长!$D$30:$E$129,2,FALSE)-宠物成长!$E$30)*宠物成长!$C$2/宠物成长!$C$3*(1+VLOOKUP(宠物属性点预览!O$2,宠物成长!$F$5:$K$25,3,FALSE)+0)</f>
        <v>2369.8230473868766</v>
      </c>
      <c r="P34" s="9">
        <f>(宠物成长!$C$1+宠物成长!$C$2/宠物成长!$C$3*宠物成长!$E$30)*(1+VLOOKUP(宠物属性点预览!P$2,宠物成长!$F$4:$K$25,4,FALSE)+0)+(VLOOKUP(宠物属性点预览!$B34,宠物成长!$D$30:$E$129,2,FALSE)-宠物成长!$E$30)*宠物成长!$C$2/宠物成长!$C$3*(1+VLOOKUP(宠物属性点预览!P$2,宠物成长!$F$5:$K$25,3,FALSE)+0)</f>
        <v>2624.6212930009119</v>
      </c>
      <c r="Q34" s="9">
        <f>(宠物成长!$C$1+宠物成长!$C$2/宠物成长!$C$3*宠物成长!$E$30)*(1+VLOOKUP(宠物属性点预览!Q$2,宠物成长!$F$4:$K$25,4,FALSE)+0)+(VLOOKUP(宠物属性点预览!$B34,宠物成长!$D$30:$E$129,2,FALSE)-宠物成长!$E$30)*宠物成长!$C$2/宠物成长!$C$3*(1+VLOOKUP(宠物属性点预览!Q$2,宠物成长!$F$5:$K$25,3,FALSE)+0)</f>
        <v>2880.1212930009119</v>
      </c>
      <c r="R34" s="9">
        <f>(宠物成长!$C$1+宠物成长!$C$2/宠物成长!$C$3*宠物成长!$E$30)*(1+VLOOKUP(宠物属性点预览!R$2,宠物成长!$F$4:$K$25,4,FALSE)+0)+(VLOOKUP(宠物属性点预览!$B34,宠物成长!$D$30:$E$129,2,FALSE)-宠物成长!$E$30)*宠物成长!$C$2/宠物成长!$C$3*(1+VLOOKUP(宠物属性点预览!R$2,宠物成长!$F$5:$K$25,3,FALSE)+0)</f>
        <v>3136.218307926285</v>
      </c>
      <c r="S34" s="9">
        <f>(宠物成长!$C$1+宠物成长!$C$2/宠物成长!$C$3*宠物成长!$E$30)*(1+VLOOKUP(宠物属性点预览!S$2,宠物成长!$F$4:$K$25,4,FALSE)+0)+(VLOOKUP(宠物属性点预览!$B34,宠物成长!$D$30:$E$129,2,FALSE)-宠物成长!$E$30)*宠物成长!$C$2/宠物成长!$C$3*(1+VLOOKUP(宠物属性点预览!S$2,宠物成长!$F$5:$K$25,3,FALSE)+0)</f>
        <v>3392.8294190373958</v>
      </c>
      <c r="T34" s="83">
        <f t="shared" ref="T34:T37" si="7">I34</f>
        <v>868</v>
      </c>
      <c r="V34" s="9">
        <f>(宠物成长!$C$1+宠物成长!$C$2/宠物成长!$C$3*宠物成长!$E$30)*(1+宠物成长!$I$11+VLOOKUP(宠物属性点预览!V$2,宠物成长!$O$5:$R$10,3,FALSE))+(VLOOKUP(宠物属性点预览!$B34,宠物成长!$D$30:$E$129,2,FALSE)-宠物成长!$E$30)*宠物成长!$C$2/宠物成长!$C$3*(1+宠物成长!$H$11+VLOOKUP(宠物属性点预览!V$2,宠物成长!$O$5:$R$10,2,FALSE))</f>
        <v>868</v>
      </c>
      <c r="W34" s="9">
        <f>(宠物成长!$C$1+宠物成长!$C$2/宠物成长!$C$3*宠物成长!$E$30)*(1+宠物成长!$I$11+VLOOKUP(宠物属性点预览!W$2,宠物成长!$O$5:$R$10,3,FALSE))+(VLOOKUP(宠物属性点预览!$B34,宠物成长!$D$30:$E$129,2,FALSE)-宠物成长!$E$30)*宠物成长!$C$2/宠物成长!$C$3*(1+宠物成长!$H$11+VLOOKUP(宠物属性点预览!W$2,宠物成长!$O$5:$R$10,2,FALSE))</f>
        <v>1209</v>
      </c>
      <c r="X34" s="9">
        <f>(宠物成长!$C$1+宠物成长!$C$2/宠物成长!$C$3*宠物成长!$E$30)*(1+宠物成长!$I$11+VLOOKUP(宠物属性点预览!X$2,宠物成长!$O$5:$R$10,3,FALSE))+(VLOOKUP(宠物属性点预览!$B34,宠物成长!$D$30:$E$129,2,FALSE)-宠物成长!$E$30)*宠物成长!$C$2/宠物成长!$C$3*(1+宠物成长!$H$11+VLOOKUP(宠物属性点预览!X$2,宠物成长!$O$5:$R$10,2,FALSE))</f>
        <v>1612</v>
      </c>
      <c r="Y34" s="9">
        <f>(宠物成长!$C$1+宠物成长!$C$2/宠物成长!$C$3*宠物成长!$E$30)*(1+宠物成长!$I$11+VLOOKUP(宠物属性点预览!Y$2,宠物成长!$O$5:$R$10,3,FALSE))+(VLOOKUP(宠物属性点预览!$B34,宠物成长!$D$30:$E$129,2,FALSE)-宠物成长!$E$30)*宠物成长!$C$2/宠物成长!$C$3*(1+宠物成长!$H$11+VLOOKUP(宠物属性点预览!Y$2,宠物成长!$O$5:$R$10,2,FALSE))</f>
        <v>2077</v>
      </c>
      <c r="Z34" s="9">
        <f>(宠物成长!$C$1+宠物成长!$C$2/宠物成长!$C$3*宠物成长!$E$30)*(1+宠物成长!$I$11+VLOOKUP(宠物属性点预览!Z$2,宠物成长!$O$5:$R$10,3,FALSE))+(VLOOKUP(宠物属性点预览!$B34,宠物成长!$D$30:$E$129,2,FALSE)-宠物成长!$E$30)*宠物成长!$C$2/宠物成长!$C$3*(1+宠物成长!$H$11+VLOOKUP(宠物属性点预览!Z$2,宠物成长!$O$5:$R$10,2,FALSE))</f>
        <v>2542</v>
      </c>
      <c r="AA34" s="1">
        <f t="shared" si="1"/>
        <v>0</v>
      </c>
    </row>
    <row r="35" spans="2:31" x14ac:dyDescent="0.15">
      <c r="B35" s="1">
        <v>33</v>
      </c>
      <c r="C35" s="9">
        <f>(宠物成长!$C$1+宠物成长!$C$2/宠物成长!$C$3*宠物成长!$E$30)*(1+VLOOKUP(宠物属性点预览!C$2,宠物成长!$F$4:$K$25,4,FALSE)+0)+(VLOOKUP(宠物属性点预览!$B35,宠物成长!$D$30:$E$129,2,FALSE)-宠物成长!$E$30)*宠物成长!$C$2/宠物成长!$C$3*(1+VLOOKUP(宠物属性点预览!C$2,宠物成长!$F$5:$K$25,3,FALSE)+0)</f>
        <v>174</v>
      </c>
      <c r="D35" s="9">
        <f>(宠物成长!$C$1+宠物成长!$C$2/宠物成长!$C$3*宠物成长!$E$30)*(1+VLOOKUP(宠物属性点预览!D$2,宠物成长!$F$4:$K$25,4,FALSE)+0)+(VLOOKUP(宠物属性点预览!$B35,宠物成长!$D$30:$E$129,2,FALSE)-宠物成长!$E$30)*宠物成长!$C$2/宠物成长!$C$3*(1+VLOOKUP(宠物属性点预览!D$2,宠物成长!$F$5:$K$25,3,FALSE)+0)</f>
        <v>220.5</v>
      </c>
      <c r="E35" s="9">
        <f>(宠物成长!$C$1+宠物成长!$C$2/宠物成长!$C$3*宠物成长!$E$30)*(1+VLOOKUP(宠物属性点预览!E$2,宠物成长!$F$4:$K$25,4,FALSE)+0)+(VLOOKUP(宠物属性点预览!$B35,宠物成长!$D$30:$E$129,2,FALSE)-宠物成长!$E$30)*宠物成长!$C$2/宠物成长!$C$3*(1+VLOOKUP(宠物属性点预览!E$2,宠物成长!$F$5:$K$25,3,FALSE)+0)</f>
        <v>285.60000000000002</v>
      </c>
      <c r="F35" s="9">
        <f>(宠物成长!$C$1+宠物成长!$C$2/宠物成长!$C$3*宠物成长!$E$30)*(1+VLOOKUP(宠物属性点预览!F$2,宠物成长!$F$4:$K$25,4,FALSE)+0)+(VLOOKUP(宠物属性点预览!$B35,宠物成长!$D$30:$E$129,2,FALSE)-宠物成长!$E$30)*宠物成长!$C$2/宠物成长!$C$3*(1+VLOOKUP(宠物属性点预览!F$2,宠物成长!$F$5:$K$25,3,FALSE)+0)</f>
        <v>372.40000000000003</v>
      </c>
      <c r="G35" s="9">
        <f>(宠物成长!$C$1+宠物成长!$C$2/宠物成长!$C$3*宠物成长!$E$30)*(1+VLOOKUP(宠物属性点预览!G$2,宠物成长!$F$4:$K$25,4,FALSE)+0)+(VLOOKUP(宠物属性点预览!$B35,宠物成长!$D$30:$E$129,2,FALSE)-宠物成长!$E$30)*宠物成长!$C$2/宠物成长!$C$3*(1+VLOOKUP(宠物属性点预览!G$2,宠物成长!$F$5:$K$25,3,FALSE)+0)</f>
        <v>487.59999999999997</v>
      </c>
      <c r="H35" s="9">
        <f>(宠物成长!$C$1+宠物成长!$C$2/宠物成长!$C$3*宠物成长!$E$30)*(1+VLOOKUP(宠物属性点预览!H$2,宠物成长!$F$4:$K$25,4,FALSE)+0)+(VLOOKUP(宠物属性点预览!$B35,宠物成长!$D$30:$E$129,2,FALSE)-宠物成长!$E$30)*宠物成长!$C$2/宠物成长!$C$3*(1+VLOOKUP(宠物属性点预览!H$2,宠物成长!$F$5:$K$25,3,FALSE)+0)</f>
        <v>652.4</v>
      </c>
      <c r="I35" s="9">
        <f>(宠物成长!$C$1+宠物成长!$C$2/宠物成长!$C$3*宠物成长!$E$30)*(1+VLOOKUP(宠物属性点预览!I$2,宠物成长!$F$4:$K$25,4,FALSE)+0)+(VLOOKUP(宠物属性点预览!$B35,宠物成长!$D$30:$E$129,2,FALSE)-宠物成长!$E$30)*宠物成长!$C$2/宠物成长!$C$3*(1+VLOOKUP(宠物属性点预览!I$2,宠物成长!$F$5:$K$25,3,FALSE)+0)</f>
        <v>873</v>
      </c>
      <c r="J35" s="9">
        <f>(宠物成长!$C$1+宠物成长!$C$2/宠物成长!$C$3*宠物成长!$E$30)*(1+VLOOKUP(宠物属性点预览!J$2,宠物成长!$F$4:$K$25,4,FALSE)+0)+(VLOOKUP(宠物属性点预览!$B35,宠物成长!$D$30:$E$129,2,FALSE)-宠物成长!$E$30)*宠物成长!$C$2/宠物成长!$C$3*(1+VLOOKUP(宠物属性点预览!J$2,宠物成长!$F$5:$K$25,3,FALSE)+0)</f>
        <v>1118.6296296296296</v>
      </c>
      <c r="K35" s="9">
        <f>(宠物成长!$C$1+宠物成长!$C$2/宠物成长!$C$3*宠物成长!$E$30)*(1+VLOOKUP(宠物属性点预览!K$2,宠物成长!$F$4:$K$25,4,FALSE)+0)+(VLOOKUP(宠物属性点预览!$B35,宠物成长!$D$30:$E$129,2,FALSE)-宠物成长!$E$30)*宠物成长!$C$2/宠物成长!$C$3*(1+VLOOKUP(宠物属性点预览!K$2,宠物成长!$F$5:$K$25,3,FALSE)+0)</f>
        <v>1367.1296296296296</v>
      </c>
      <c r="L35" s="9">
        <f>(宠物成长!$C$1+宠物成长!$C$2/宠物成长!$C$3*宠物成长!$E$30)*(1+VLOOKUP(宠物属性点预览!L$2,宠物成长!$F$4:$K$25,4,FALSE)+0)+(VLOOKUP(宠物属性点预览!$B35,宠物成长!$D$30:$E$129,2,FALSE)-宠物成长!$E$30)*宠物成长!$C$2/宠物成长!$C$3*(1+VLOOKUP(宠物属性点预览!L$2,宠物成长!$F$5:$K$25,3,FALSE)+0)</f>
        <v>1617.7242242242241</v>
      </c>
      <c r="M35" s="9">
        <f>(宠物成长!$C$1+宠物成长!$C$2/宠物成长!$C$3*宠物成长!$E$30)*(1+VLOOKUP(宠物属性点预览!M$2,宠物成长!$F$4:$K$25,4,FALSE)+0)+(VLOOKUP(宠物属性点预览!$B35,宠物成长!$D$30:$E$129,2,FALSE)-宠物成长!$E$30)*宠物成长!$C$2/宠物成长!$C$3*(1+VLOOKUP(宠物属性点预览!M$2,宠物成长!$F$5:$K$25,3,FALSE)+0)</f>
        <v>1869.9147004147003</v>
      </c>
      <c r="N35" s="9">
        <f>(宠物成长!$C$1+宠物成长!$C$2/宠物成长!$C$3*宠物成长!$E$30)*(1+VLOOKUP(宠物属性点预览!N$2,宠物成长!$F$4:$K$25,4,FALSE)+0)+(VLOOKUP(宠物属性点预览!$B35,宠物成长!$D$30:$E$129,2,FALSE)-宠物成长!$E$30)*宠物成长!$C$2/宠物成长!$C$3*(1+VLOOKUP(宠物属性点预览!N$2,宠物成长!$F$5:$K$25,3,FALSE)+0)</f>
        <v>2123.3615089253385</v>
      </c>
      <c r="O35" s="9">
        <f>(宠物成长!$C$1+宠物成长!$C$2/宠物成长!$C$3*宠物成长!$E$30)*(1+VLOOKUP(宠物属性点预览!O$2,宠物成长!$F$4:$K$25,4,FALSE)+0)+(VLOOKUP(宠物属性点预览!$B35,宠物成长!$D$30:$E$129,2,FALSE)-宠物成长!$E$30)*宠物成长!$C$2/宠物成长!$C$3*(1+VLOOKUP(宠物属性点预览!O$2,宠物成长!$F$5:$K$25,3,FALSE)+0)</f>
        <v>2377.8230473868766</v>
      </c>
      <c r="P35" s="9">
        <f>(宠物成长!$C$1+宠物成长!$C$2/宠物成长!$C$3*宠物成长!$E$30)*(1+VLOOKUP(宠物属性点预览!P$2,宠物成长!$F$4:$K$25,4,FALSE)+0)+(VLOOKUP(宠物属性点预览!$B35,宠物成长!$D$30:$E$129,2,FALSE)-宠物成长!$E$30)*宠物成长!$C$2/宠物成长!$C$3*(1+VLOOKUP(宠物属性点预览!P$2,宠物成长!$F$5:$K$25,3,FALSE)+0)</f>
        <v>2633.1212930009119</v>
      </c>
      <c r="Q35" s="9">
        <f>(宠物成长!$C$1+宠物成长!$C$2/宠物成长!$C$3*宠物成长!$E$30)*(1+VLOOKUP(宠物属性点预览!Q$2,宠物成长!$F$4:$K$25,4,FALSE)+0)+(VLOOKUP(宠物属性点预览!$B35,宠物成长!$D$30:$E$129,2,FALSE)-宠物成长!$E$30)*宠物成长!$C$2/宠物成长!$C$3*(1+VLOOKUP(宠物属性点预览!Q$2,宠物成长!$F$5:$K$25,3,FALSE)+0)</f>
        <v>2889.1212930009119</v>
      </c>
      <c r="R35" s="9">
        <f>(宠物成长!$C$1+宠物成长!$C$2/宠物成长!$C$3*宠物成长!$E$30)*(1+VLOOKUP(宠物属性点预览!R$2,宠物成长!$F$4:$K$25,4,FALSE)+0)+(VLOOKUP(宠物属性点预览!$B35,宠物成长!$D$30:$E$129,2,FALSE)-宠物成长!$E$30)*宠物成长!$C$2/宠物成长!$C$3*(1+VLOOKUP(宠物属性点预览!R$2,宠物成长!$F$5:$K$25,3,FALSE)+0)</f>
        <v>3145.718307926285</v>
      </c>
      <c r="S35" s="9">
        <f>(宠物成长!$C$1+宠物成长!$C$2/宠物成长!$C$3*宠物成长!$E$30)*(1+VLOOKUP(宠物属性点预览!S$2,宠物成长!$F$4:$K$25,4,FALSE)+0)+(VLOOKUP(宠物属性点预览!$B35,宠物成长!$D$30:$E$129,2,FALSE)-宠物成长!$E$30)*宠物成长!$C$2/宠物成长!$C$3*(1+VLOOKUP(宠物属性点预览!S$2,宠物成长!$F$5:$K$25,3,FALSE)+0)</f>
        <v>3402.8294190373958</v>
      </c>
      <c r="T35" s="83">
        <f t="shared" si="7"/>
        <v>873</v>
      </c>
      <c r="V35" s="9">
        <f>(宠物成长!$C$1+宠物成长!$C$2/宠物成长!$C$3*宠物成长!$E$30)*(1+宠物成长!$I$11+VLOOKUP(宠物属性点预览!V$2,宠物成长!$O$5:$R$10,3,FALSE))+(VLOOKUP(宠物属性点预览!$B35,宠物成长!$D$30:$E$129,2,FALSE)-宠物成长!$E$30)*宠物成长!$C$2/宠物成长!$C$3*(1+宠物成长!$H$11+VLOOKUP(宠物属性点预览!V$2,宠物成长!$O$5:$R$10,2,FALSE))</f>
        <v>873</v>
      </c>
      <c r="W35" s="9">
        <f>(宠物成长!$C$1+宠物成长!$C$2/宠物成长!$C$3*宠物成长!$E$30)*(1+宠物成长!$I$11+VLOOKUP(宠物属性点预览!W$2,宠物成长!$O$5:$R$10,3,FALSE))+(VLOOKUP(宠物属性点预览!$B35,宠物成长!$D$30:$E$129,2,FALSE)-宠物成长!$E$30)*宠物成长!$C$2/宠物成长!$C$3*(1+宠物成长!$H$11+VLOOKUP(宠物属性点预览!W$2,宠物成长!$O$5:$R$10,2,FALSE))</f>
        <v>1215</v>
      </c>
      <c r="X35" s="9">
        <f>(宠物成长!$C$1+宠物成长!$C$2/宠物成长!$C$3*宠物成长!$E$30)*(1+宠物成长!$I$11+VLOOKUP(宠物属性点预览!X$2,宠物成长!$O$5:$R$10,3,FALSE))+(VLOOKUP(宠物属性点预览!$B35,宠物成长!$D$30:$E$129,2,FALSE)-宠物成长!$E$30)*宠物成长!$C$2/宠物成长!$C$3*(1+宠物成长!$H$11+VLOOKUP(宠物属性点预览!X$2,宠物成长!$O$5:$R$10,2,FALSE))</f>
        <v>1619</v>
      </c>
      <c r="Y35" s="9">
        <f>(宠物成长!$C$1+宠物成长!$C$2/宠物成长!$C$3*宠物成长!$E$30)*(1+宠物成长!$I$11+VLOOKUP(宠物属性点预览!Y$2,宠物成长!$O$5:$R$10,3,FALSE))+(VLOOKUP(宠物属性点预览!$B35,宠物成长!$D$30:$E$129,2,FALSE)-宠物成长!$E$30)*宠物成长!$C$2/宠物成长!$C$3*(1+宠物成长!$H$11+VLOOKUP(宠物属性点预览!Y$2,宠物成长!$O$5:$R$10,2,FALSE))</f>
        <v>2085</v>
      </c>
      <c r="Z35" s="9">
        <f>(宠物成长!$C$1+宠物成长!$C$2/宠物成长!$C$3*宠物成长!$E$30)*(1+宠物成长!$I$11+VLOOKUP(宠物属性点预览!Z$2,宠物成长!$O$5:$R$10,3,FALSE))+(VLOOKUP(宠物属性点预览!$B35,宠物成长!$D$30:$E$129,2,FALSE)-宠物成长!$E$30)*宠物成长!$C$2/宠物成长!$C$3*(1+宠物成长!$H$11+VLOOKUP(宠物属性点预览!Z$2,宠物成长!$O$5:$R$10,2,FALSE))</f>
        <v>2551</v>
      </c>
      <c r="AA35" s="1">
        <f t="shared" si="1"/>
        <v>0</v>
      </c>
    </row>
    <row r="36" spans="2:31" x14ac:dyDescent="0.15">
      <c r="B36" s="1">
        <v>34</v>
      </c>
      <c r="C36" s="9">
        <f>(宠物成长!$C$1+宠物成长!$C$2/宠物成长!$C$3*宠物成长!$E$30)*(1+VLOOKUP(宠物属性点预览!C$2,宠物成长!$F$4:$K$25,4,FALSE)+0)+(VLOOKUP(宠物属性点预览!$B36,宠物成长!$D$30:$E$129,2,FALSE)-宠物成长!$E$30)*宠物成长!$C$2/宠物成长!$C$3*(1+VLOOKUP(宠物属性点预览!C$2,宠物成长!$F$5:$K$25,3,FALSE)+0)</f>
        <v>177.5</v>
      </c>
      <c r="D36" s="9">
        <f>(宠物成长!$C$1+宠物成长!$C$2/宠物成长!$C$3*宠物成长!$E$30)*(1+VLOOKUP(宠物属性点预览!D$2,宠物成长!$F$4:$K$25,4,FALSE)+0)+(VLOOKUP(宠物属性点预览!$B36,宠物成长!$D$30:$E$129,2,FALSE)-宠物成长!$E$30)*宠物成长!$C$2/宠物成长!$C$3*(1+VLOOKUP(宠物属性点预览!D$2,宠物成长!$F$5:$K$25,3,FALSE)+0)</f>
        <v>224</v>
      </c>
      <c r="E36" s="9">
        <f>(宠物成长!$C$1+宠物成长!$C$2/宠物成长!$C$3*宠物成长!$E$30)*(1+VLOOKUP(宠物属性点预览!E$2,宠物成长!$F$4:$K$25,4,FALSE)+0)+(VLOOKUP(宠物属性点预览!$B36,宠物成长!$D$30:$E$129,2,FALSE)-宠物成长!$E$30)*宠物成长!$C$2/宠物成长!$C$3*(1+VLOOKUP(宠物属性点预览!E$2,宠物成长!$F$5:$K$25,3,FALSE)+0)</f>
        <v>289.10000000000002</v>
      </c>
      <c r="F36" s="9">
        <f>(宠物成长!$C$1+宠物成长!$C$2/宠物成长!$C$3*宠物成长!$E$30)*(1+VLOOKUP(宠物属性点预览!F$2,宠物成长!$F$4:$K$25,4,FALSE)+0)+(VLOOKUP(宠物属性点预览!$B36,宠物成长!$D$30:$E$129,2,FALSE)-宠物成长!$E$30)*宠物成长!$C$2/宠物成长!$C$3*(1+VLOOKUP(宠物属性点预览!F$2,宠物成长!$F$5:$K$25,3,FALSE)+0)</f>
        <v>375.90000000000003</v>
      </c>
      <c r="G36" s="9">
        <f>(宠物成长!$C$1+宠物成长!$C$2/宠物成长!$C$3*宠物成长!$E$30)*(1+VLOOKUP(宠物属性点预览!G$2,宠物成长!$F$4:$K$25,4,FALSE)+0)+(VLOOKUP(宠物属性点预览!$B36,宠物成长!$D$30:$E$129,2,FALSE)-宠物成长!$E$30)*宠物成长!$C$2/宠物成长!$C$3*(1+VLOOKUP(宠物属性点预览!G$2,宠物成长!$F$5:$K$25,3,FALSE)+0)</f>
        <v>491.59999999999997</v>
      </c>
      <c r="H36" s="9">
        <f>(宠物成长!$C$1+宠物成长!$C$2/宠物成长!$C$3*宠物成长!$E$30)*(1+VLOOKUP(宠物属性点预览!H$2,宠物成长!$F$4:$K$25,4,FALSE)+0)+(VLOOKUP(宠物属性点预览!$B36,宠物成长!$D$30:$E$129,2,FALSE)-宠物成长!$E$30)*宠物成长!$C$2/宠物成长!$C$3*(1+VLOOKUP(宠物属性点预览!H$2,宠物成长!$F$5:$K$25,3,FALSE)+0)</f>
        <v>656.9</v>
      </c>
      <c r="I36" s="9">
        <f>(宠物成长!$C$1+宠物成长!$C$2/宠物成长!$C$3*宠物成长!$E$30)*(1+VLOOKUP(宠物属性点预览!I$2,宠物成长!$F$4:$K$25,4,FALSE)+0)+(VLOOKUP(宠物属性点预览!$B36,宠物成长!$D$30:$E$129,2,FALSE)-宠物成长!$E$30)*宠物成长!$C$2/宠物成长!$C$3*(1+VLOOKUP(宠物属性点预览!I$2,宠物成长!$F$5:$K$25,3,FALSE)+0)</f>
        <v>878</v>
      </c>
      <c r="J36" s="9">
        <f>(宠物成长!$C$1+宠物成长!$C$2/宠物成长!$C$3*宠物成长!$E$30)*(1+VLOOKUP(宠物属性点预览!J$2,宠物成长!$F$4:$K$25,4,FALSE)+0)+(VLOOKUP(宠物属性点预览!$B36,宠物成长!$D$30:$E$129,2,FALSE)-宠物成长!$E$30)*宠物成长!$C$2/宠物成长!$C$3*(1+VLOOKUP(宠物属性点预览!J$2,宠物成长!$F$5:$K$25,3,FALSE)+0)</f>
        <v>1124.1296296296296</v>
      </c>
      <c r="K36" s="9">
        <f>(宠物成长!$C$1+宠物成长!$C$2/宠物成长!$C$3*宠物成长!$E$30)*(1+VLOOKUP(宠物属性点预览!K$2,宠物成长!$F$4:$K$25,4,FALSE)+0)+(VLOOKUP(宠物属性点预览!$B36,宠物成长!$D$30:$E$129,2,FALSE)-宠物成长!$E$30)*宠物成长!$C$2/宠物成长!$C$3*(1+VLOOKUP(宠物属性点预览!K$2,宠物成长!$F$5:$K$25,3,FALSE)+0)</f>
        <v>1373.1296296296296</v>
      </c>
      <c r="L36" s="9">
        <f>(宠物成长!$C$1+宠物成长!$C$2/宠物成长!$C$3*宠物成长!$E$30)*(1+VLOOKUP(宠物属性点预览!L$2,宠物成长!$F$4:$K$25,4,FALSE)+0)+(VLOOKUP(宠物属性点预览!$B36,宠物成长!$D$30:$E$129,2,FALSE)-宠物成长!$E$30)*宠物成长!$C$2/宠物成长!$C$3*(1+VLOOKUP(宠物属性点预览!L$2,宠物成长!$F$5:$K$25,3,FALSE)+0)</f>
        <v>1624.2242242242241</v>
      </c>
      <c r="M36" s="9">
        <f>(宠物成长!$C$1+宠物成长!$C$2/宠物成长!$C$3*宠物成长!$E$30)*(1+VLOOKUP(宠物属性点预览!M$2,宠物成长!$F$4:$K$25,4,FALSE)+0)+(VLOOKUP(宠物属性点预览!$B36,宠物成长!$D$30:$E$129,2,FALSE)-宠物成长!$E$30)*宠物成长!$C$2/宠物成长!$C$3*(1+VLOOKUP(宠物属性点预览!M$2,宠物成长!$F$5:$K$25,3,FALSE)+0)</f>
        <v>1876.9147004147003</v>
      </c>
      <c r="N36" s="9">
        <f>(宠物成长!$C$1+宠物成长!$C$2/宠物成长!$C$3*宠物成长!$E$30)*(1+VLOOKUP(宠物属性点预览!N$2,宠物成长!$F$4:$K$25,4,FALSE)+0)+(VLOOKUP(宠物属性点预览!$B36,宠物成长!$D$30:$E$129,2,FALSE)-宠物成长!$E$30)*宠物成长!$C$2/宠物成长!$C$3*(1+VLOOKUP(宠物属性点预览!N$2,宠物成长!$F$5:$K$25,3,FALSE)+0)</f>
        <v>2130.8615089253385</v>
      </c>
      <c r="O36" s="9">
        <f>(宠物成长!$C$1+宠物成长!$C$2/宠物成长!$C$3*宠物成长!$E$30)*(1+VLOOKUP(宠物属性点预览!O$2,宠物成长!$F$4:$K$25,4,FALSE)+0)+(VLOOKUP(宠物属性点预览!$B36,宠物成长!$D$30:$E$129,2,FALSE)-宠物成长!$E$30)*宠物成长!$C$2/宠物成长!$C$3*(1+VLOOKUP(宠物属性点预览!O$2,宠物成长!$F$5:$K$25,3,FALSE)+0)</f>
        <v>2385.8230473868766</v>
      </c>
      <c r="P36" s="9">
        <f>(宠物成长!$C$1+宠物成长!$C$2/宠物成长!$C$3*宠物成长!$E$30)*(1+VLOOKUP(宠物属性点预览!P$2,宠物成长!$F$4:$K$25,4,FALSE)+0)+(VLOOKUP(宠物属性点预览!$B36,宠物成长!$D$30:$E$129,2,FALSE)-宠物成长!$E$30)*宠物成长!$C$2/宠物成长!$C$3*(1+VLOOKUP(宠物属性点预览!P$2,宠物成长!$F$5:$K$25,3,FALSE)+0)</f>
        <v>2641.6212930009119</v>
      </c>
      <c r="Q36" s="9">
        <f>(宠物成长!$C$1+宠物成长!$C$2/宠物成长!$C$3*宠物成长!$E$30)*(1+VLOOKUP(宠物属性点预览!Q$2,宠物成长!$F$4:$K$25,4,FALSE)+0)+(VLOOKUP(宠物属性点预览!$B36,宠物成长!$D$30:$E$129,2,FALSE)-宠物成长!$E$30)*宠物成长!$C$2/宠物成长!$C$3*(1+VLOOKUP(宠物属性点预览!Q$2,宠物成长!$F$5:$K$25,3,FALSE)+0)</f>
        <v>2898.1212930009119</v>
      </c>
      <c r="R36" s="9">
        <f>(宠物成长!$C$1+宠物成长!$C$2/宠物成长!$C$3*宠物成长!$E$30)*(1+VLOOKUP(宠物属性点预览!R$2,宠物成长!$F$4:$K$25,4,FALSE)+0)+(VLOOKUP(宠物属性点预览!$B36,宠物成长!$D$30:$E$129,2,FALSE)-宠物成长!$E$30)*宠物成长!$C$2/宠物成长!$C$3*(1+VLOOKUP(宠物属性点预览!R$2,宠物成长!$F$5:$K$25,3,FALSE)+0)</f>
        <v>3155.218307926285</v>
      </c>
      <c r="S36" s="9">
        <f>(宠物成长!$C$1+宠物成长!$C$2/宠物成长!$C$3*宠物成长!$E$30)*(1+VLOOKUP(宠物属性点预览!S$2,宠物成长!$F$4:$K$25,4,FALSE)+0)+(VLOOKUP(宠物属性点预览!$B36,宠物成长!$D$30:$E$129,2,FALSE)-宠物成长!$E$30)*宠物成长!$C$2/宠物成长!$C$3*(1+VLOOKUP(宠物属性点预览!S$2,宠物成长!$F$5:$K$25,3,FALSE)+0)</f>
        <v>3412.8294190373958</v>
      </c>
      <c r="T36" s="83">
        <f t="shared" si="7"/>
        <v>878</v>
      </c>
      <c r="V36" s="9">
        <f>(宠物成长!$C$1+宠物成长!$C$2/宠物成长!$C$3*宠物成长!$E$30)*(1+宠物成长!$I$11+VLOOKUP(宠物属性点预览!V$2,宠物成长!$O$5:$R$10,3,FALSE))+(VLOOKUP(宠物属性点预览!$B36,宠物成长!$D$30:$E$129,2,FALSE)-宠物成长!$E$30)*宠物成长!$C$2/宠物成长!$C$3*(1+宠物成长!$H$11+VLOOKUP(宠物属性点预览!V$2,宠物成长!$O$5:$R$10,2,FALSE))</f>
        <v>878</v>
      </c>
      <c r="W36" s="9">
        <f>(宠物成长!$C$1+宠物成长!$C$2/宠物成长!$C$3*宠物成长!$E$30)*(1+宠物成长!$I$11+VLOOKUP(宠物属性点预览!W$2,宠物成长!$O$5:$R$10,3,FALSE))+(VLOOKUP(宠物属性点预览!$B36,宠物成长!$D$30:$E$129,2,FALSE)-宠物成长!$E$30)*宠物成长!$C$2/宠物成长!$C$3*(1+宠物成长!$H$11+VLOOKUP(宠物属性点预览!W$2,宠物成长!$O$5:$R$10,2,FALSE))</f>
        <v>1221</v>
      </c>
      <c r="X36" s="9">
        <f>(宠物成长!$C$1+宠物成长!$C$2/宠物成长!$C$3*宠物成长!$E$30)*(1+宠物成长!$I$11+VLOOKUP(宠物属性点预览!X$2,宠物成长!$O$5:$R$10,3,FALSE))+(VLOOKUP(宠物属性点预览!$B36,宠物成长!$D$30:$E$129,2,FALSE)-宠物成长!$E$30)*宠物成长!$C$2/宠物成长!$C$3*(1+宠物成长!$H$11+VLOOKUP(宠物属性点预览!X$2,宠物成长!$O$5:$R$10,2,FALSE))</f>
        <v>1626</v>
      </c>
      <c r="Y36" s="9">
        <f>(宠物成长!$C$1+宠物成长!$C$2/宠物成长!$C$3*宠物成长!$E$30)*(1+宠物成长!$I$11+VLOOKUP(宠物属性点预览!Y$2,宠物成长!$O$5:$R$10,3,FALSE))+(VLOOKUP(宠物属性点预览!$B36,宠物成长!$D$30:$E$129,2,FALSE)-宠物成长!$E$30)*宠物成长!$C$2/宠物成长!$C$3*(1+宠物成长!$H$11+VLOOKUP(宠物属性点预览!Y$2,宠物成长!$O$5:$R$10,2,FALSE))</f>
        <v>2093</v>
      </c>
      <c r="Z36" s="9">
        <f>(宠物成长!$C$1+宠物成长!$C$2/宠物成长!$C$3*宠物成长!$E$30)*(1+宠物成长!$I$11+VLOOKUP(宠物属性点预览!Z$2,宠物成长!$O$5:$R$10,3,FALSE))+(VLOOKUP(宠物属性点预览!$B36,宠物成长!$D$30:$E$129,2,FALSE)-宠物成长!$E$30)*宠物成长!$C$2/宠物成长!$C$3*(1+宠物成长!$H$11+VLOOKUP(宠物属性点预览!Z$2,宠物成长!$O$5:$R$10,2,FALSE))</f>
        <v>2560</v>
      </c>
      <c r="AA36" s="1">
        <f t="shared" si="1"/>
        <v>0</v>
      </c>
    </row>
    <row r="37" spans="2:31" x14ac:dyDescent="0.15">
      <c r="B37" s="1">
        <v>35</v>
      </c>
      <c r="C37" s="9">
        <f>(宠物成长!$C$1+宠物成长!$C$2/宠物成长!$C$3*宠物成长!$E$30)*(1+VLOOKUP(宠物属性点预览!C$2,宠物成长!$F$4:$K$25,4,FALSE)+0)+(VLOOKUP(宠物属性点预览!$B37,宠物成长!$D$30:$E$129,2,FALSE)-宠物成长!$E$30)*宠物成长!$C$2/宠物成长!$C$3*(1+VLOOKUP(宠物属性点预览!C$2,宠物成长!$F$5:$K$25,3,FALSE)+0)</f>
        <v>181</v>
      </c>
      <c r="D37" s="9">
        <f>(宠物成长!$C$1+宠物成长!$C$2/宠物成长!$C$3*宠物成长!$E$30)*(1+VLOOKUP(宠物属性点预览!D$2,宠物成长!$F$4:$K$25,4,FALSE)+0)+(VLOOKUP(宠物属性点预览!$B37,宠物成长!$D$30:$E$129,2,FALSE)-宠物成长!$E$30)*宠物成长!$C$2/宠物成长!$C$3*(1+VLOOKUP(宠物属性点预览!D$2,宠物成长!$F$5:$K$25,3,FALSE)+0)</f>
        <v>227.5</v>
      </c>
      <c r="E37" s="9">
        <f>(宠物成长!$C$1+宠物成长!$C$2/宠物成长!$C$3*宠物成长!$E$30)*(1+VLOOKUP(宠物属性点预览!E$2,宠物成长!$F$4:$K$25,4,FALSE)+0)+(VLOOKUP(宠物属性点预览!$B37,宠物成长!$D$30:$E$129,2,FALSE)-宠物成长!$E$30)*宠物成长!$C$2/宠物成长!$C$3*(1+VLOOKUP(宠物属性点预览!E$2,宠物成长!$F$5:$K$25,3,FALSE)+0)</f>
        <v>292.60000000000002</v>
      </c>
      <c r="F37" s="9">
        <f>(宠物成长!$C$1+宠物成长!$C$2/宠物成长!$C$3*宠物成长!$E$30)*(1+VLOOKUP(宠物属性点预览!F$2,宠物成长!$F$4:$K$25,4,FALSE)+0)+(VLOOKUP(宠物属性点预览!$B37,宠物成长!$D$30:$E$129,2,FALSE)-宠物成长!$E$30)*宠物成长!$C$2/宠物成长!$C$3*(1+VLOOKUP(宠物属性点预览!F$2,宠物成长!$F$5:$K$25,3,FALSE)+0)</f>
        <v>379.40000000000003</v>
      </c>
      <c r="G37" s="9">
        <f>(宠物成长!$C$1+宠物成长!$C$2/宠物成长!$C$3*宠物成长!$E$30)*(1+VLOOKUP(宠物属性点预览!G$2,宠物成长!$F$4:$K$25,4,FALSE)+0)+(VLOOKUP(宠物属性点预览!$B37,宠物成长!$D$30:$E$129,2,FALSE)-宠物成长!$E$30)*宠物成长!$C$2/宠物成长!$C$3*(1+VLOOKUP(宠物属性点预览!G$2,宠物成长!$F$5:$K$25,3,FALSE)+0)</f>
        <v>495.59999999999997</v>
      </c>
      <c r="H37" s="9">
        <f>(宠物成长!$C$1+宠物成长!$C$2/宠物成长!$C$3*宠物成长!$E$30)*(1+VLOOKUP(宠物属性点预览!H$2,宠物成长!$F$4:$K$25,4,FALSE)+0)+(VLOOKUP(宠物属性点预览!$B37,宠物成长!$D$30:$E$129,2,FALSE)-宠物成长!$E$30)*宠物成长!$C$2/宠物成长!$C$3*(1+VLOOKUP(宠物属性点预览!H$2,宠物成长!$F$5:$K$25,3,FALSE)+0)</f>
        <v>661.4</v>
      </c>
      <c r="I37" s="9">
        <f>(宠物成长!$C$1+宠物成长!$C$2/宠物成长!$C$3*宠物成长!$E$30)*(1+VLOOKUP(宠物属性点预览!I$2,宠物成长!$F$4:$K$25,4,FALSE)+0)+(VLOOKUP(宠物属性点预览!$B37,宠物成长!$D$30:$E$129,2,FALSE)-宠物成长!$E$30)*宠物成长!$C$2/宠物成长!$C$3*(1+VLOOKUP(宠物属性点预览!I$2,宠物成长!$F$5:$K$25,3,FALSE)+0)</f>
        <v>883</v>
      </c>
      <c r="J37" s="83">
        <f>(宠物成长!$C$1+宠物成长!$C$2/宠物成长!$C$3*宠物成长!$E$30)*(1+VLOOKUP(宠物属性点预览!J$2,宠物成长!$F$4:$K$25,4,FALSE)+0)+(VLOOKUP(宠物属性点预览!$B37,宠物成长!$D$30:$E$129,2,FALSE)-宠物成长!$E$30)*宠物成长!$C$2/宠物成长!$C$3*(1+VLOOKUP(宠物属性点预览!J$2,宠物成长!$F$5:$K$25,3,FALSE)+0)</f>
        <v>1129.6296296296296</v>
      </c>
      <c r="K37" s="9">
        <f>(宠物成长!$C$1+宠物成长!$C$2/宠物成长!$C$3*宠物成长!$E$30)*(1+VLOOKUP(宠物属性点预览!K$2,宠物成长!$F$4:$K$25,4,FALSE)+0)+(VLOOKUP(宠物属性点预览!$B37,宠物成长!$D$30:$E$129,2,FALSE)-宠物成长!$E$30)*宠物成长!$C$2/宠物成长!$C$3*(1+VLOOKUP(宠物属性点预览!K$2,宠物成长!$F$5:$K$25,3,FALSE)+0)</f>
        <v>1379.1296296296296</v>
      </c>
      <c r="L37" s="9">
        <f>(宠物成长!$C$1+宠物成长!$C$2/宠物成长!$C$3*宠物成长!$E$30)*(1+VLOOKUP(宠物属性点预览!L$2,宠物成长!$F$4:$K$25,4,FALSE)+0)+(VLOOKUP(宠物属性点预览!$B37,宠物成长!$D$30:$E$129,2,FALSE)-宠物成长!$E$30)*宠物成长!$C$2/宠物成长!$C$3*(1+VLOOKUP(宠物属性点预览!L$2,宠物成长!$F$5:$K$25,3,FALSE)+0)</f>
        <v>1630.7242242242241</v>
      </c>
      <c r="M37" s="9">
        <f>(宠物成长!$C$1+宠物成长!$C$2/宠物成长!$C$3*宠物成长!$E$30)*(1+VLOOKUP(宠物属性点预览!M$2,宠物成长!$F$4:$K$25,4,FALSE)+0)+(VLOOKUP(宠物属性点预览!$B37,宠物成长!$D$30:$E$129,2,FALSE)-宠物成长!$E$30)*宠物成长!$C$2/宠物成长!$C$3*(1+VLOOKUP(宠物属性点预览!M$2,宠物成长!$F$5:$K$25,3,FALSE)+0)</f>
        <v>1883.9147004147003</v>
      </c>
      <c r="N37" s="9">
        <f>(宠物成长!$C$1+宠物成长!$C$2/宠物成长!$C$3*宠物成长!$E$30)*(1+VLOOKUP(宠物属性点预览!N$2,宠物成长!$F$4:$K$25,4,FALSE)+0)+(VLOOKUP(宠物属性点预览!$B37,宠物成长!$D$30:$E$129,2,FALSE)-宠物成长!$E$30)*宠物成长!$C$2/宠物成长!$C$3*(1+VLOOKUP(宠物属性点预览!N$2,宠物成长!$F$5:$K$25,3,FALSE)+0)</f>
        <v>2138.3615089253385</v>
      </c>
      <c r="O37" s="9">
        <f>(宠物成长!$C$1+宠物成长!$C$2/宠物成长!$C$3*宠物成长!$E$30)*(1+VLOOKUP(宠物属性点预览!O$2,宠物成长!$F$4:$K$25,4,FALSE)+0)+(VLOOKUP(宠物属性点预览!$B37,宠物成长!$D$30:$E$129,2,FALSE)-宠物成长!$E$30)*宠物成长!$C$2/宠物成长!$C$3*(1+VLOOKUP(宠物属性点预览!O$2,宠物成长!$F$5:$K$25,3,FALSE)+0)</f>
        <v>2393.8230473868766</v>
      </c>
      <c r="P37" s="9">
        <f>(宠物成长!$C$1+宠物成长!$C$2/宠物成长!$C$3*宠物成长!$E$30)*(1+VLOOKUP(宠物属性点预览!P$2,宠物成长!$F$4:$K$25,4,FALSE)+0)+(VLOOKUP(宠物属性点预览!$B37,宠物成长!$D$30:$E$129,2,FALSE)-宠物成长!$E$30)*宠物成长!$C$2/宠物成长!$C$3*(1+VLOOKUP(宠物属性点预览!P$2,宠物成长!$F$5:$K$25,3,FALSE)+0)</f>
        <v>2650.1212930009119</v>
      </c>
      <c r="Q37" s="9">
        <f>(宠物成长!$C$1+宠物成长!$C$2/宠物成长!$C$3*宠物成长!$E$30)*(1+VLOOKUP(宠物属性点预览!Q$2,宠物成长!$F$4:$K$25,4,FALSE)+0)+(VLOOKUP(宠物属性点预览!$B37,宠物成长!$D$30:$E$129,2,FALSE)-宠物成长!$E$30)*宠物成长!$C$2/宠物成长!$C$3*(1+VLOOKUP(宠物属性点预览!Q$2,宠物成长!$F$5:$K$25,3,FALSE)+0)</f>
        <v>2907.1212930009119</v>
      </c>
      <c r="R37" s="9">
        <f>(宠物成长!$C$1+宠物成长!$C$2/宠物成长!$C$3*宠物成长!$E$30)*(1+VLOOKUP(宠物属性点预览!R$2,宠物成长!$F$4:$K$25,4,FALSE)+0)+(VLOOKUP(宠物属性点预览!$B37,宠物成长!$D$30:$E$129,2,FALSE)-宠物成长!$E$30)*宠物成长!$C$2/宠物成长!$C$3*(1+VLOOKUP(宠物属性点预览!R$2,宠物成长!$F$5:$K$25,3,FALSE)+0)</f>
        <v>3164.718307926285</v>
      </c>
      <c r="S37" s="9">
        <f>(宠物成长!$C$1+宠物成长!$C$2/宠物成长!$C$3*宠物成长!$E$30)*(1+VLOOKUP(宠物属性点预览!S$2,宠物成长!$F$4:$K$25,4,FALSE)+0)+(VLOOKUP(宠物属性点预览!$B37,宠物成长!$D$30:$E$129,2,FALSE)-宠物成长!$E$30)*宠物成长!$C$2/宠物成长!$C$3*(1+VLOOKUP(宠物属性点预览!S$2,宠物成长!$F$5:$K$25,3,FALSE)+0)</f>
        <v>3422.8294190373958</v>
      </c>
      <c r="T37" s="83">
        <f t="shared" si="7"/>
        <v>883</v>
      </c>
      <c r="U37" s="9">
        <f>J37</f>
        <v>1129.6296296296296</v>
      </c>
      <c r="V37" s="9">
        <f>(宠物成长!$C$1+宠物成长!$C$2/宠物成长!$C$3*宠物成长!$E$30)*(1+宠物成长!$I$12+VLOOKUP(宠物属性点预览!V$2,宠物成长!$O$5:$R$10,3,FALSE))+(VLOOKUP(宠物属性点预览!$B37,宠物成长!$D$30:$E$129,2,FALSE)-宠物成长!$E$30)*宠物成长!$C$2/宠物成长!$C$3*(1+宠物成长!$H$12+VLOOKUP(宠物属性点预览!V$2,宠物成长!$O$5:$R$10,2,FALSE))</f>
        <v>1129.6296296296296</v>
      </c>
      <c r="W37" s="9">
        <f>(宠物成长!$C$1+宠物成长!$C$2/宠物成长!$C$3*宠物成长!$E$30)*(1+宠物成长!$I$12+VLOOKUP(宠物属性点预览!W$2,宠物成长!$O$5:$R$10,3,FALSE))+(VLOOKUP(宠物属性点预览!$B37,宠物成长!$D$30:$E$129,2,FALSE)-宠物成长!$E$30)*宠物成长!$C$2/宠物成长!$C$3*(1+宠物成长!$H$12+VLOOKUP(宠物属性点预览!W$2,宠物成长!$O$5:$R$10,2,FALSE))</f>
        <v>1473.6296296296296</v>
      </c>
      <c r="X37" s="9">
        <f>(宠物成长!$C$1+宠物成长!$C$2/宠物成长!$C$3*宠物成长!$E$30)*(1+宠物成长!$I$12+VLOOKUP(宠物属性点预览!X$2,宠物成长!$O$5:$R$10,3,FALSE))+(VLOOKUP(宠物属性点预览!$B37,宠物成长!$D$30:$E$129,2,FALSE)-宠物成长!$E$30)*宠物成长!$C$2/宠物成长!$C$3*(1+宠物成长!$H$12+VLOOKUP(宠物属性点预览!X$2,宠物成长!$O$5:$R$10,2,FALSE))</f>
        <v>1879.6296296296296</v>
      </c>
      <c r="Y37" s="9">
        <f>(宠物成长!$C$1+宠物成长!$C$2/宠物成长!$C$3*宠物成长!$E$30)*(1+宠物成长!$I$12+VLOOKUP(宠物属性点预览!Y$2,宠物成长!$O$5:$R$10,3,FALSE))+(VLOOKUP(宠物属性点预览!$B37,宠物成长!$D$30:$E$129,2,FALSE)-宠物成长!$E$30)*宠物成长!$C$2/宠物成长!$C$3*(1+宠物成长!$H$12+VLOOKUP(宠物属性点预览!Y$2,宠物成长!$O$5:$R$10,2,FALSE))</f>
        <v>2347.6296296296296</v>
      </c>
      <c r="Z37" s="9">
        <f>(宠物成长!$C$1+宠物成长!$C$2/宠物成长!$C$3*宠物成长!$E$30)*(1+宠物成长!$I$12+VLOOKUP(宠物属性点预览!Z$2,宠物成长!$O$5:$R$10,3,FALSE))+(VLOOKUP(宠物属性点预览!$B37,宠物成长!$D$30:$E$129,2,FALSE)-宠物成长!$E$30)*宠物成长!$C$2/宠物成长!$C$3*(1+宠物成长!$H$12+VLOOKUP(宠物属性点预览!Z$2,宠物成长!$O$5:$R$10,2,FALSE))</f>
        <v>2815.6296296296296</v>
      </c>
      <c r="AA37" s="1">
        <f>U37/T37</f>
        <v>1.2793087538274401</v>
      </c>
      <c r="AB37" s="1">
        <f>W37/V37</f>
        <v>1.3045245901639344</v>
      </c>
      <c r="AC37" s="1">
        <f>X37/W37</f>
        <v>1.2755102040816326</v>
      </c>
      <c r="AD37" s="1">
        <f>Y37/X37</f>
        <v>1.2489852216748769</v>
      </c>
      <c r="AE37" s="1">
        <f>Z37/Y37</f>
        <v>1.199350014198719</v>
      </c>
    </row>
    <row r="38" spans="2:31" x14ac:dyDescent="0.15">
      <c r="B38" s="1">
        <v>36</v>
      </c>
      <c r="C38" s="9">
        <f>(宠物成长!$C$1+宠物成长!$C$2/宠物成长!$C$3*宠物成长!$E$30)*(1+VLOOKUP(宠物属性点预览!C$2,宠物成长!$F$4:$K$25,4,FALSE)+0)+(VLOOKUP(宠物属性点预览!$B38,宠物成长!$D$30:$E$129,2,FALSE)-宠物成长!$E$30)*宠物成长!$C$2/宠物成长!$C$3*(1+VLOOKUP(宠物属性点预览!C$2,宠物成长!$F$5:$K$25,3,FALSE)+0)</f>
        <v>184.5</v>
      </c>
      <c r="D38" s="9">
        <f>(宠物成长!$C$1+宠物成长!$C$2/宠物成长!$C$3*宠物成长!$E$30)*(1+VLOOKUP(宠物属性点预览!D$2,宠物成长!$F$4:$K$25,4,FALSE)+0)+(VLOOKUP(宠物属性点预览!$B38,宠物成长!$D$30:$E$129,2,FALSE)-宠物成长!$E$30)*宠物成长!$C$2/宠物成长!$C$3*(1+VLOOKUP(宠物属性点预览!D$2,宠物成长!$F$5:$K$25,3,FALSE)+0)</f>
        <v>231</v>
      </c>
      <c r="E38" s="9">
        <f>(宠物成长!$C$1+宠物成长!$C$2/宠物成长!$C$3*宠物成长!$E$30)*(1+VLOOKUP(宠物属性点预览!E$2,宠物成长!$F$4:$K$25,4,FALSE)+0)+(VLOOKUP(宠物属性点预览!$B38,宠物成长!$D$30:$E$129,2,FALSE)-宠物成长!$E$30)*宠物成长!$C$2/宠物成长!$C$3*(1+VLOOKUP(宠物属性点预览!E$2,宠物成长!$F$5:$K$25,3,FALSE)+0)</f>
        <v>296.10000000000002</v>
      </c>
      <c r="F38" s="9">
        <f>(宠物成长!$C$1+宠物成长!$C$2/宠物成长!$C$3*宠物成长!$E$30)*(1+VLOOKUP(宠物属性点预览!F$2,宠物成长!$F$4:$K$25,4,FALSE)+0)+(VLOOKUP(宠物属性点预览!$B38,宠物成长!$D$30:$E$129,2,FALSE)-宠物成长!$E$30)*宠物成长!$C$2/宠物成长!$C$3*(1+VLOOKUP(宠物属性点预览!F$2,宠物成长!$F$5:$K$25,3,FALSE)+0)</f>
        <v>382.90000000000003</v>
      </c>
      <c r="G38" s="9">
        <f>(宠物成长!$C$1+宠物成长!$C$2/宠物成长!$C$3*宠物成长!$E$30)*(1+VLOOKUP(宠物属性点预览!G$2,宠物成长!$F$4:$K$25,4,FALSE)+0)+(VLOOKUP(宠物属性点预览!$B38,宠物成长!$D$30:$E$129,2,FALSE)-宠物成长!$E$30)*宠物成长!$C$2/宠物成长!$C$3*(1+VLOOKUP(宠物属性点预览!G$2,宠物成长!$F$5:$K$25,3,FALSE)+0)</f>
        <v>499.59999999999997</v>
      </c>
      <c r="H38" s="9">
        <f>(宠物成长!$C$1+宠物成长!$C$2/宠物成长!$C$3*宠物成长!$E$30)*(1+VLOOKUP(宠物属性点预览!H$2,宠物成长!$F$4:$K$25,4,FALSE)+0)+(VLOOKUP(宠物属性点预览!$B38,宠物成长!$D$30:$E$129,2,FALSE)-宠物成长!$E$30)*宠物成长!$C$2/宠物成长!$C$3*(1+VLOOKUP(宠物属性点预览!H$2,宠物成长!$F$5:$K$25,3,FALSE)+0)</f>
        <v>665.9</v>
      </c>
      <c r="I38" s="9">
        <f>(宠物成长!$C$1+宠物成长!$C$2/宠物成长!$C$3*宠物成长!$E$30)*(1+VLOOKUP(宠物属性点预览!I$2,宠物成长!$F$4:$K$25,4,FALSE)+0)+(VLOOKUP(宠物属性点预览!$B38,宠物成长!$D$30:$E$129,2,FALSE)-宠物成长!$E$30)*宠物成长!$C$2/宠物成长!$C$3*(1+VLOOKUP(宠物属性点预览!I$2,宠物成长!$F$5:$K$25,3,FALSE)+0)</f>
        <v>888</v>
      </c>
      <c r="J38" s="9">
        <f>(宠物成长!$C$1+宠物成长!$C$2/宠物成长!$C$3*宠物成长!$E$30)*(1+VLOOKUP(宠物属性点预览!J$2,宠物成长!$F$4:$K$25,4,FALSE)+0)+(VLOOKUP(宠物属性点预览!$B38,宠物成长!$D$30:$E$129,2,FALSE)-宠物成长!$E$30)*宠物成长!$C$2/宠物成长!$C$3*(1+VLOOKUP(宠物属性点预览!J$2,宠物成长!$F$5:$K$25,3,FALSE)+0)</f>
        <v>1135.1296296296296</v>
      </c>
      <c r="K38" s="9">
        <f>(宠物成长!$C$1+宠物成长!$C$2/宠物成长!$C$3*宠物成长!$E$30)*(1+VLOOKUP(宠物属性点预览!K$2,宠物成长!$F$4:$K$25,4,FALSE)+0)+(VLOOKUP(宠物属性点预览!$B38,宠物成长!$D$30:$E$129,2,FALSE)-宠物成长!$E$30)*宠物成长!$C$2/宠物成长!$C$3*(1+VLOOKUP(宠物属性点预览!K$2,宠物成长!$F$5:$K$25,3,FALSE)+0)</f>
        <v>1385.1296296296296</v>
      </c>
      <c r="L38" s="9">
        <f>(宠物成长!$C$1+宠物成长!$C$2/宠物成长!$C$3*宠物成长!$E$30)*(1+VLOOKUP(宠物属性点预览!L$2,宠物成长!$F$4:$K$25,4,FALSE)+0)+(VLOOKUP(宠物属性点预览!$B38,宠物成长!$D$30:$E$129,2,FALSE)-宠物成长!$E$30)*宠物成长!$C$2/宠物成长!$C$3*(1+VLOOKUP(宠物属性点预览!L$2,宠物成长!$F$5:$K$25,3,FALSE)+0)</f>
        <v>1637.2242242242241</v>
      </c>
      <c r="M38" s="9">
        <f>(宠物成长!$C$1+宠物成长!$C$2/宠物成长!$C$3*宠物成长!$E$30)*(1+VLOOKUP(宠物属性点预览!M$2,宠物成长!$F$4:$K$25,4,FALSE)+0)+(VLOOKUP(宠物属性点预览!$B38,宠物成长!$D$30:$E$129,2,FALSE)-宠物成长!$E$30)*宠物成长!$C$2/宠物成长!$C$3*(1+VLOOKUP(宠物属性点预览!M$2,宠物成长!$F$5:$K$25,3,FALSE)+0)</f>
        <v>1890.9147004147003</v>
      </c>
      <c r="N38" s="9">
        <f>(宠物成长!$C$1+宠物成长!$C$2/宠物成长!$C$3*宠物成长!$E$30)*(1+VLOOKUP(宠物属性点预览!N$2,宠物成长!$F$4:$K$25,4,FALSE)+0)+(VLOOKUP(宠物属性点预览!$B38,宠物成长!$D$30:$E$129,2,FALSE)-宠物成长!$E$30)*宠物成长!$C$2/宠物成长!$C$3*(1+VLOOKUP(宠物属性点预览!N$2,宠物成长!$F$5:$K$25,3,FALSE)+0)</f>
        <v>2145.8615089253385</v>
      </c>
      <c r="O38" s="9">
        <f>(宠物成长!$C$1+宠物成长!$C$2/宠物成长!$C$3*宠物成长!$E$30)*(1+VLOOKUP(宠物属性点预览!O$2,宠物成长!$F$4:$K$25,4,FALSE)+0)+(VLOOKUP(宠物属性点预览!$B38,宠物成长!$D$30:$E$129,2,FALSE)-宠物成长!$E$30)*宠物成长!$C$2/宠物成长!$C$3*(1+VLOOKUP(宠物属性点预览!O$2,宠物成长!$F$5:$K$25,3,FALSE)+0)</f>
        <v>2401.8230473868766</v>
      </c>
      <c r="P38" s="9">
        <f>(宠物成长!$C$1+宠物成长!$C$2/宠物成长!$C$3*宠物成长!$E$30)*(1+VLOOKUP(宠物属性点预览!P$2,宠物成长!$F$4:$K$25,4,FALSE)+0)+(VLOOKUP(宠物属性点预览!$B38,宠物成长!$D$30:$E$129,2,FALSE)-宠物成长!$E$30)*宠物成长!$C$2/宠物成长!$C$3*(1+VLOOKUP(宠物属性点预览!P$2,宠物成长!$F$5:$K$25,3,FALSE)+0)</f>
        <v>2658.6212930009119</v>
      </c>
      <c r="Q38" s="9">
        <f>(宠物成长!$C$1+宠物成长!$C$2/宠物成长!$C$3*宠物成长!$E$30)*(1+VLOOKUP(宠物属性点预览!Q$2,宠物成长!$F$4:$K$25,4,FALSE)+0)+(VLOOKUP(宠物属性点预览!$B38,宠物成长!$D$30:$E$129,2,FALSE)-宠物成长!$E$30)*宠物成长!$C$2/宠物成长!$C$3*(1+VLOOKUP(宠物属性点预览!Q$2,宠物成长!$F$5:$K$25,3,FALSE)+0)</f>
        <v>2916.1212930009119</v>
      </c>
      <c r="R38" s="9">
        <f>(宠物成长!$C$1+宠物成长!$C$2/宠物成长!$C$3*宠物成长!$E$30)*(1+VLOOKUP(宠物属性点预览!R$2,宠物成长!$F$4:$K$25,4,FALSE)+0)+(VLOOKUP(宠物属性点预览!$B38,宠物成长!$D$30:$E$129,2,FALSE)-宠物成长!$E$30)*宠物成长!$C$2/宠物成长!$C$3*(1+VLOOKUP(宠物属性点预览!R$2,宠物成长!$F$5:$K$25,3,FALSE)+0)</f>
        <v>3174.218307926285</v>
      </c>
      <c r="S38" s="9">
        <f>(宠物成长!$C$1+宠物成长!$C$2/宠物成长!$C$3*宠物成长!$E$30)*(1+VLOOKUP(宠物属性点预览!S$2,宠物成长!$F$4:$K$25,4,FALSE)+0)+(VLOOKUP(宠物属性点预览!$B38,宠物成长!$D$30:$E$129,2,FALSE)-宠物成长!$E$30)*宠物成长!$C$2/宠物成长!$C$3*(1+VLOOKUP(宠物属性点预览!S$2,宠物成长!$F$5:$K$25,3,FALSE)+0)</f>
        <v>3432.8294190373958</v>
      </c>
      <c r="T38" s="83">
        <f>J38</f>
        <v>1135.1296296296296</v>
      </c>
      <c r="V38" s="9">
        <f>(宠物成长!$C$1+宠物成长!$C$2/宠物成长!$C$3*宠物成长!$E$30)*(1+宠物成长!$I$12+VLOOKUP(宠物属性点预览!V$2,宠物成长!$O$5:$R$10,3,FALSE))+(VLOOKUP(宠物属性点预览!$B38,宠物成长!$D$30:$E$129,2,FALSE)-宠物成长!$E$30)*宠物成长!$C$2/宠物成长!$C$3*(1+宠物成长!$H$12+VLOOKUP(宠物属性点预览!V$2,宠物成长!$O$5:$R$10,2,FALSE))</f>
        <v>1135.1296296296296</v>
      </c>
      <c r="W38" s="9">
        <f>(宠物成长!$C$1+宠物成长!$C$2/宠物成长!$C$3*宠物成长!$E$30)*(1+宠物成长!$I$12+VLOOKUP(宠物属性点预览!W$2,宠物成长!$O$5:$R$10,3,FALSE))+(VLOOKUP(宠物属性点预览!$B38,宠物成长!$D$30:$E$129,2,FALSE)-宠物成长!$E$30)*宠物成长!$C$2/宠物成长!$C$3*(1+宠物成长!$H$12+VLOOKUP(宠物属性点预览!W$2,宠物成长!$O$5:$R$10,2,FALSE))</f>
        <v>1480.1296296296296</v>
      </c>
      <c r="X38" s="9">
        <f>(宠物成长!$C$1+宠物成长!$C$2/宠物成长!$C$3*宠物成长!$E$30)*(1+宠物成长!$I$12+VLOOKUP(宠物属性点预览!X$2,宠物成长!$O$5:$R$10,3,FALSE))+(VLOOKUP(宠物属性点预览!$B38,宠物成长!$D$30:$E$129,2,FALSE)-宠物成长!$E$30)*宠物成长!$C$2/宠物成长!$C$3*(1+宠物成长!$H$12+VLOOKUP(宠物属性点预览!X$2,宠物成长!$O$5:$R$10,2,FALSE))</f>
        <v>1887.1296296296296</v>
      </c>
      <c r="Y38" s="9">
        <f>(宠物成长!$C$1+宠物成长!$C$2/宠物成长!$C$3*宠物成长!$E$30)*(1+宠物成长!$I$12+VLOOKUP(宠物属性点预览!Y$2,宠物成长!$O$5:$R$10,3,FALSE))+(VLOOKUP(宠物属性点预览!$B38,宠物成长!$D$30:$E$129,2,FALSE)-宠物成长!$E$30)*宠物成长!$C$2/宠物成长!$C$3*(1+宠物成长!$H$12+VLOOKUP(宠物属性点预览!Y$2,宠物成长!$O$5:$R$10,2,FALSE))</f>
        <v>2356.1296296296296</v>
      </c>
      <c r="Z38" s="9">
        <f>(宠物成长!$C$1+宠物成长!$C$2/宠物成长!$C$3*宠物成长!$E$30)*(1+宠物成长!$I$12+VLOOKUP(宠物属性点预览!Z$2,宠物成长!$O$5:$R$10,3,FALSE))+(VLOOKUP(宠物属性点预览!$B38,宠物成长!$D$30:$E$129,2,FALSE)-宠物成长!$E$30)*宠物成长!$C$2/宠物成长!$C$3*(1+宠物成长!$H$12+VLOOKUP(宠物属性点预览!Z$2,宠物成长!$O$5:$R$10,2,FALSE))</f>
        <v>2825.1296296296296</v>
      </c>
    </row>
    <row r="39" spans="2:31" x14ac:dyDescent="0.15">
      <c r="B39" s="1">
        <v>37</v>
      </c>
      <c r="C39" s="9">
        <f>(宠物成长!$C$1+宠物成长!$C$2/宠物成长!$C$3*宠物成长!$E$30)*(1+VLOOKUP(宠物属性点预览!C$2,宠物成长!$F$4:$K$25,4,FALSE)+0)+(VLOOKUP(宠物属性点预览!$B39,宠物成长!$D$30:$E$129,2,FALSE)-宠物成长!$E$30)*宠物成长!$C$2/宠物成长!$C$3*(1+VLOOKUP(宠物属性点预览!C$2,宠物成长!$F$5:$K$25,3,FALSE)+0)</f>
        <v>188</v>
      </c>
      <c r="D39" s="9">
        <f>(宠物成长!$C$1+宠物成长!$C$2/宠物成长!$C$3*宠物成长!$E$30)*(1+VLOOKUP(宠物属性点预览!D$2,宠物成长!$F$4:$K$25,4,FALSE)+0)+(VLOOKUP(宠物属性点预览!$B39,宠物成长!$D$30:$E$129,2,FALSE)-宠物成长!$E$30)*宠物成长!$C$2/宠物成长!$C$3*(1+VLOOKUP(宠物属性点预览!D$2,宠物成长!$F$5:$K$25,3,FALSE)+0)</f>
        <v>234.5</v>
      </c>
      <c r="E39" s="9">
        <f>(宠物成长!$C$1+宠物成长!$C$2/宠物成长!$C$3*宠物成长!$E$30)*(1+VLOOKUP(宠物属性点预览!E$2,宠物成长!$F$4:$K$25,4,FALSE)+0)+(VLOOKUP(宠物属性点预览!$B39,宠物成长!$D$30:$E$129,2,FALSE)-宠物成长!$E$30)*宠物成长!$C$2/宠物成长!$C$3*(1+VLOOKUP(宠物属性点预览!E$2,宠物成长!$F$5:$K$25,3,FALSE)+0)</f>
        <v>299.60000000000002</v>
      </c>
      <c r="F39" s="9">
        <f>(宠物成长!$C$1+宠物成长!$C$2/宠物成长!$C$3*宠物成长!$E$30)*(1+VLOOKUP(宠物属性点预览!F$2,宠物成长!$F$4:$K$25,4,FALSE)+0)+(VLOOKUP(宠物属性点预览!$B39,宠物成长!$D$30:$E$129,2,FALSE)-宠物成长!$E$30)*宠物成长!$C$2/宠物成长!$C$3*(1+VLOOKUP(宠物属性点预览!F$2,宠物成长!$F$5:$K$25,3,FALSE)+0)</f>
        <v>386.40000000000003</v>
      </c>
      <c r="G39" s="9">
        <f>(宠物成长!$C$1+宠物成长!$C$2/宠物成长!$C$3*宠物成长!$E$30)*(1+VLOOKUP(宠物属性点预览!G$2,宠物成长!$F$4:$K$25,4,FALSE)+0)+(VLOOKUP(宠物属性点预览!$B39,宠物成长!$D$30:$E$129,2,FALSE)-宠物成长!$E$30)*宠物成长!$C$2/宠物成长!$C$3*(1+VLOOKUP(宠物属性点预览!G$2,宠物成长!$F$5:$K$25,3,FALSE)+0)</f>
        <v>503.59999999999997</v>
      </c>
      <c r="H39" s="9">
        <f>(宠物成长!$C$1+宠物成长!$C$2/宠物成长!$C$3*宠物成长!$E$30)*(1+VLOOKUP(宠物属性点预览!H$2,宠物成长!$F$4:$K$25,4,FALSE)+0)+(VLOOKUP(宠物属性点预览!$B39,宠物成长!$D$30:$E$129,2,FALSE)-宠物成长!$E$30)*宠物成长!$C$2/宠物成长!$C$3*(1+VLOOKUP(宠物属性点预览!H$2,宠物成长!$F$5:$K$25,3,FALSE)+0)</f>
        <v>670.4</v>
      </c>
      <c r="I39" s="9">
        <f>(宠物成长!$C$1+宠物成长!$C$2/宠物成长!$C$3*宠物成长!$E$30)*(1+VLOOKUP(宠物属性点预览!I$2,宠物成长!$F$4:$K$25,4,FALSE)+0)+(VLOOKUP(宠物属性点预览!$B39,宠物成长!$D$30:$E$129,2,FALSE)-宠物成长!$E$30)*宠物成长!$C$2/宠物成长!$C$3*(1+VLOOKUP(宠物属性点预览!I$2,宠物成长!$F$5:$K$25,3,FALSE)+0)</f>
        <v>893</v>
      </c>
      <c r="J39" s="9">
        <f>(宠物成长!$C$1+宠物成长!$C$2/宠物成长!$C$3*宠物成长!$E$30)*(1+VLOOKUP(宠物属性点预览!J$2,宠物成长!$F$4:$K$25,4,FALSE)+0)+(VLOOKUP(宠物属性点预览!$B39,宠物成长!$D$30:$E$129,2,FALSE)-宠物成长!$E$30)*宠物成长!$C$2/宠物成长!$C$3*(1+VLOOKUP(宠物属性点预览!J$2,宠物成长!$F$5:$K$25,3,FALSE)+0)</f>
        <v>1140.6296296296296</v>
      </c>
      <c r="K39" s="9">
        <f>(宠物成长!$C$1+宠物成长!$C$2/宠物成长!$C$3*宠物成长!$E$30)*(1+VLOOKUP(宠物属性点预览!K$2,宠物成长!$F$4:$K$25,4,FALSE)+0)+(VLOOKUP(宠物属性点预览!$B39,宠物成长!$D$30:$E$129,2,FALSE)-宠物成长!$E$30)*宠物成长!$C$2/宠物成长!$C$3*(1+VLOOKUP(宠物属性点预览!K$2,宠物成长!$F$5:$K$25,3,FALSE)+0)</f>
        <v>1391.1296296296296</v>
      </c>
      <c r="L39" s="9">
        <f>(宠物成长!$C$1+宠物成长!$C$2/宠物成长!$C$3*宠物成长!$E$30)*(1+VLOOKUP(宠物属性点预览!L$2,宠物成长!$F$4:$K$25,4,FALSE)+0)+(VLOOKUP(宠物属性点预览!$B39,宠物成长!$D$30:$E$129,2,FALSE)-宠物成长!$E$30)*宠物成长!$C$2/宠物成长!$C$3*(1+VLOOKUP(宠物属性点预览!L$2,宠物成长!$F$5:$K$25,3,FALSE)+0)</f>
        <v>1643.7242242242241</v>
      </c>
      <c r="M39" s="9">
        <f>(宠物成长!$C$1+宠物成长!$C$2/宠物成长!$C$3*宠物成长!$E$30)*(1+VLOOKUP(宠物属性点预览!M$2,宠物成长!$F$4:$K$25,4,FALSE)+0)+(VLOOKUP(宠物属性点预览!$B39,宠物成长!$D$30:$E$129,2,FALSE)-宠物成长!$E$30)*宠物成长!$C$2/宠物成长!$C$3*(1+VLOOKUP(宠物属性点预览!M$2,宠物成长!$F$5:$K$25,3,FALSE)+0)</f>
        <v>1897.9147004147003</v>
      </c>
      <c r="N39" s="9">
        <f>(宠物成长!$C$1+宠物成长!$C$2/宠物成长!$C$3*宠物成长!$E$30)*(1+VLOOKUP(宠物属性点预览!N$2,宠物成长!$F$4:$K$25,4,FALSE)+0)+(VLOOKUP(宠物属性点预览!$B39,宠物成长!$D$30:$E$129,2,FALSE)-宠物成长!$E$30)*宠物成长!$C$2/宠物成长!$C$3*(1+VLOOKUP(宠物属性点预览!N$2,宠物成长!$F$5:$K$25,3,FALSE)+0)</f>
        <v>2153.3615089253385</v>
      </c>
      <c r="O39" s="9">
        <f>(宠物成长!$C$1+宠物成长!$C$2/宠物成长!$C$3*宠物成长!$E$30)*(1+VLOOKUP(宠物属性点预览!O$2,宠物成长!$F$4:$K$25,4,FALSE)+0)+(VLOOKUP(宠物属性点预览!$B39,宠物成长!$D$30:$E$129,2,FALSE)-宠物成长!$E$30)*宠物成长!$C$2/宠物成长!$C$3*(1+VLOOKUP(宠物属性点预览!O$2,宠物成长!$F$5:$K$25,3,FALSE)+0)</f>
        <v>2409.8230473868766</v>
      </c>
      <c r="P39" s="9">
        <f>(宠物成长!$C$1+宠物成长!$C$2/宠物成长!$C$3*宠物成长!$E$30)*(1+VLOOKUP(宠物属性点预览!P$2,宠物成长!$F$4:$K$25,4,FALSE)+0)+(VLOOKUP(宠物属性点预览!$B39,宠物成长!$D$30:$E$129,2,FALSE)-宠物成长!$E$30)*宠物成长!$C$2/宠物成长!$C$3*(1+VLOOKUP(宠物属性点预览!P$2,宠物成长!$F$5:$K$25,3,FALSE)+0)</f>
        <v>2667.1212930009119</v>
      </c>
      <c r="Q39" s="9">
        <f>(宠物成长!$C$1+宠物成长!$C$2/宠物成长!$C$3*宠物成长!$E$30)*(1+VLOOKUP(宠物属性点预览!Q$2,宠物成长!$F$4:$K$25,4,FALSE)+0)+(VLOOKUP(宠物属性点预览!$B39,宠物成长!$D$30:$E$129,2,FALSE)-宠物成长!$E$30)*宠物成长!$C$2/宠物成长!$C$3*(1+VLOOKUP(宠物属性点预览!Q$2,宠物成长!$F$5:$K$25,3,FALSE)+0)</f>
        <v>2925.1212930009119</v>
      </c>
      <c r="R39" s="9">
        <f>(宠物成长!$C$1+宠物成长!$C$2/宠物成长!$C$3*宠物成长!$E$30)*(1+VLOOKUP(宠物属性点预览!R$2,宠物成长!$F$4:$K$25,4,FALSE)+0)+(VLOOKUP(宠物属性点预览!$B39,宠物成长!$D$30:$E$129,2,FALSE)-宠物成长!$E$30)*宠物成长!$C$2/宠物成长!$C$3*(1+VLOOKUP(宠物属性点预览!R$2,宠物成长!$F$5:$K$25,3,FALSE)+0)</f>
        <v>3183.718307926285</v>
      </c>
      <c r="S39" s="9">
        <f>(宠物成长!$C$1+宠物成长!$C$2/宠物成长!$C$3*宠物成长!$E$30)*(1+VLOOKUP(宠物属性点预览!S$2,宠物成长!$F$4:$K$25,4,FALSE)+0)+(VLOOKUP(宠物属性点预览!$B39,宠物成长!$D$30:$E$129,2,FALSE)-宠物成长!$E$30)*宠物成长!$C$2/宠物成长!$C$3*(1+VLOOKUP(宠物属性点预览!S$2,宠物成长!$F$5:$K$25,3,FALSE)+0)</f>
        <v>3442.8294190373958</v>
      </c>
      <c r="T39" s="85">
        <f t="shared" ref="T39:T42" si="8">J39</f>
        <v>1140.6296296296296</v>
      </c>
      <c r="V39" s="9">
        <f>(宠物成长!$C$1+宠物成长!$C$2/宠物成长!$C$3*宠物成长!$E$30)*(1+宠物成长!$I$12+VLOOKUP(宠物属性点预览!V$2,宠物成长!$O$5:$R$10,3,FALSE))+(VLOOKUP(宠物属性点预览!$B39,宠物成长!$D$30:$E$129,2,FALSE)-宠物成长!$E$30)*宠物成长!$C$2/宠物成长!$C$3*(1+宠物成长!$H$12+VLOOKUP(宠物属性点预览!V$2,宠物成长!$O$5:$R$10,2,FALSE))</f>
        <v>1140.6296296296296</v>
      </c>
      <c r="W39" s="9">
        <f>(宠物成长!$C$1+宠物成长!$C$2/宠物成长!$C$3*宠物成长!$E$30)*(1+宠物成长!$I$12+VLOOKUP(宠物属性点预览!W$2,宠物成长!$O$5:$R$10,3,FALSE))+(VLOOKUP(宠物属性点预览!$B39,宠物成长!$D$30:$E$129,2,FALSE)-宠物成长!$E$30)*宠物成长!$C$2/宠物成长!$C$3*(1+宠物成长!$H$12+VLOOKUP(宠物属性点预览!W$2,宠物成长!$O$5:$R$10,2,FALSE))</f>
        <v>1486.6296296296296</v>
      </c>
      <c r="X39" s="9">
        <f>(宠物成长!$C$1+宠物成长!$C$2/宠物成长!$C$3*宠物成长!$E$30)*(1+宠物成长!$I$12+VLOOKUP(宠物属性点预览!X$2,宠物成长!$O$5:$R$10,3,FALSE))+(VLOOKUP(宠物属性点预览!$B39,宠物成长!$D$30:$E$129,2,FALSE)-宠物成长!$E$30)*宠物成长!$C$2/宠物成长!$C$3*(1+宠物成长!$H$12+VLOOKUP(宠物属性点预览!X$2,宠物成长!$O$5:$R$10,2,FALSE))</f>
        <v>1894.6296296296296</v>
      </c>
      <c r="Y39" s="9">
        <f>(宠物成长!$C$1+宠物成长!$C$2/宠物成长!$C$3*宠物成长!$E$30)*(1+宠物成长!$I$12+VLOOKUP(宠物属性点预览!Y$2,宠物成长!$O$5:$R$10,3,FALSE))+(VLOOKUP(宠物属性点预览!$B39,宠物成长!$D$30:$E$129,2,FALSE)-宠物成长!$E$30)*宠物成长!$C$2/宠物成长!$C$3*(1+宠物成长!$H$12+VLOOKUP(宠物属性点预览!Y$2,宠物成长!$O$5:$R$10,2,FALSE))</f>
        <v>2364.6296296296296</v>
      </c>
      <c r="Z39" s="9">
        <f>(宠物成长!$C$1+宠物成长!$C$2/宠物成长!$C$3*宠物成长!$E$30)*(1+宠物成长!$I$12+VLOOKUP(宠物属性点预览!Z$2,宠物成长!$O$5:$R$10,3,FALSE))+(VLOOKUP(宠物属性点预览!$B39,宠物成长!$D$30:$E$129,2,FALSE)-宠物成长!$E$30)*宠物成长!$C$2/宠物成长!$C$3*(1+宠物成长!$H$12+VLOOKUP(宠物属性点预览!Z$2,宠物成长!$O$5:$R$10,2,FALSE))</f>
        <v>2834.6296296296296</v>
      </c>
    </row>
    <row r="40" spans="2:31" x14ac:dyDescent="0.15">
      <c r="B40" s="1">
        <v>38</v>
      </c>
      <c r="C40" s="9">
        <f>(宠物成长!$C$1+宠物成长!$C$2/宠物成长!$C$3*宠物成长!$E$30)*(1+VLOOKUP(宠物属性点预览!C$2,宠物成长!$F$4:$K$25,4,FALSE)+0)+(VLOOKUP(宠物属性点预览!$B40,宠物成长!$D$30:$E$129,2,FALSE)-宠物成长!$E$30)*宠物成长!$C$2/宠物成长!$C$3*(1+VLOOKUP(宠物属性点预览!C$2,宠物成长!$F$5:$K$25,3,FALSE)+0)</f>
        <v>191.5</v>
      </c>
      <c r="D40" s="9">
        <f>(宠物成长!$C$1+宠物成长!$C$2/宠物成长!$C$3*宠物成长!$E$30)*(1+VLOOKUP(宠物属性点预览!D$2,宠物成长!$F$4:$K$25,4,FALSE)+0)+(VLOOKUP(宠物属性点预览!$B40,宠物成长!$D$30:$E$129,2,FALSE)-宠物成长!$E$30)*宠物成长!$C$2/宠物成长!$C$3*(1+VLOOKUP(宠物属性点预览!D$2,宠物成长!$F$5:$K$25,3,FALSE)+0)</f>
        <v>238</v>
      </c>
      <c r="E40" s="9">
        <f>(宠物成长!$C$1+宠物成长!$C$2/宠物成长!$C$3*宠物成长!$E$30)*(1+VLOOKUP(宠物属性点预览!E$2,宠物成长!$F$4:$K$25,4,FALSE)+0)+(VLOOKUP(宠物属性点预览!$B40,宠物成长!$D$30:$E$129,2,FALSE)-宠物成长!$E$30)*宠物成长!$C$2/宠物成长!$C$3*(1+VLOOKUP(宠物属性点预览!E$2,宠物成长!$F$5:$K$25,3,FALSE)+0)</f>
        <v>303.10000000000002</v>
      </c>
      <c r="F40" s="9">
        <f>(宠物成长!$C$1+宠物成长!$C$2/宠物成长!$C$3*宠物成长!$E$30)*(1+VLOOKUP(宠物属性点预览!F$2,宠物成长!$F$4:$K$25,4,FALSE)+0)+(VLOOKUP(宠物属性点预览!$B40,宠物成长!$D$30:$E$129,2,FALSE)-宠物成长!$E$30)*宠物成长!$C$2/宠物成长!$C$3*(1+VLOOKUP(宠物属性点预览!F$2,宠物成长!$F$5:$K$25,3,FALSE)+0)</f>
        <v>389.90000000000003</v>
      </c>
      <c r="G40" s="9">
        <f>(宠物成长!$C$1+宠物成长!$C$2/宠物成长!$C$3*宠物成长!$E$30)*(1+VLOOKUP(宠物属性点预览!G$2,宠物成长!$F$4:$K$25,4,FALSE)+0)+(VLOOKUP(宠物属性点预览!$B40,宠物成长!$D$30:$E$129,2,FALSE)-宠物成长!$E$30)*宠物成长!$C$2/宠物成长!$C$3*(1+VLOOKUP(宠物属性点预览!G$2,宠物成长!$F$5:$K$25,3,FALSE)+0)</f>
        <v>507.59999999999997</v>
      </c>
      <c r="H40" s="9">
        <f>(宠物成长!$C$1+宠物成长!$C$2/宠物成长!$C$3*宠物成长!$E$30)*(1+VLOOKUP(宠物属性点预览!H$2,宠物成长!$F$4:$K$25,4,FALSE)+0)+(VLOOKUP(宠物属性点预览!$B40,宠物成长!$D$30:$E$129,2,FALSE)-宠物成长!$E$30)*宠物成长!$C$2/宠物成长!$C$3*(1+VLOOKUP(宠物属性点预览!H$2,宠物成长!$F$5:$K$25,3,FALSE)+0)</f>
        <v>674.9</v>
      </c>
      <c r="I40" s="9">
        <f>(宠物成长!$C$1+宠物成长!$C$2/宠物成长!$C$3*宠物成长!$E$30)*(1+VLOOKUP(宠物属性点预览!I$2,宠物成长!$F$4:$K$25,4,FALSE)+0)+(VLOOKUP(宠物属性点预览!$B40,宠物成长!$D$30:$E$129,2,FALSE)-宠物成长!$E$30)*宠物成长!$C$2/宠物成长!$C$3*(1+VLOOKUP(宠物属性点预览!I$2,宠物成长!$F$5:$K$25,3,FALSE)+0)</f>
        <v>898</v>
      </c>
      <c r="J40" s="9">
        <f>(宠物成长!$C$1+宠物成长!$C$2/宠物成长!$C$3*宠物成长!$E$30)*(1+VLOOKUP(宠物属性点预览!J$2,宠物成长!$F$4:$K$25,4,FALSE)+0)+(VLOOKUP(宠物属性点预览!$B40,宠物成长!$D$30:$E$129,2,FALSE)-宠物成长!$E$30)*宠物成长!$C$2/宠物成长!$C$3*(1+VLOOKUP(宠物属性点预览!J$2,宠物成长!$F$5:$K$25,3,FALSE)+0)</f>
        <v>1146.1296296296296</v>
      </c>
      <c r="K40" s="9">
        <f>(宠物成长!$C$1+宠物成长!$C$2/宠物成长!$C$3*宠物成长!$E$30)*(1+VLOOKUP(宠物属性点预览!K$2,宠物成长!$F$4:$K$25,4,FALSE)+0)+(VLOOKUP(宠物属性点预览!$B40,宠物成长!$D$30:$E$129,2,FALSE)-宠物成长!$E$30)*宠物成长!$C$2/宠物成长!$C$3*(1+VLOOKUP(宠物属性点预览!K$2,宠物成长!$F$5:$K$25,3,FALSE)+0)</f>
        <v>1397.1296296296296</v>
      </c>
      <c r="L40" s="9">
        <f>(宠物成长!$C$1+宠物成长!$C$2/宠物成长!$C$3*宠物成长!$E$30)*(1+VLOOKUP(宠物属性点预览!L$2,宠物成长!$F$4:$K$25,4,FALSE)+0)+(VLOOKUP(宠物属性点预览!$B40,宠物成长!$D$30:$E$129,2,FALSE)-宠物成长!$E$30)*宠物成长!$C$2/宠物成长!$C$3*(1+VLOOKUP(宠物属性点预览!L$2,宠物成长!$F$5:$K$25,3,FALSE)+0)</f>
        <v>1650.2242242242241</v>
      </c>
      <c r="M40" s="9">
        <f>(宠物成长!$C$1+宠物成长!$C$2/宠物成长!$C$3*宠物成长!$E$30)*(1+VLOOKUP(宠物属性点预览!M$2,宠物成长!$F$4:$K$25,4,FALSE)+0)+(VLOOKUP(宠物属性点预览!$B40,宠物成长!$D$30:$E$129,2,FALSE)-宠物成长!$E$30)*宠物成长!$C$2/宠物成长!$C$3*(1+VLOOKUP(宠物属性点预览!M$2,宠物成长!$F$5:$K$25,3,FALSE)+0)</f>
        <v>1904.9147004147003</v>
      </c>
      <c r="N40" s="9">
        <f>(宠物成长!$C$1+宠物成长!$C$2/宠物成长!$C$3*宠物成长!$E$30)*(1+VLOOKUP(宠物属性点预览!N$2,宠物成长!$F$4:$K$25,4,FALSE)+0)+(VLOOKUP(宠物属性点预览!$B40,宠物成长!$D$30:$E$129,2,FALSE)-宠物成长!$E$30)*宠物成长!$C$2/宠物成长!$C$3*(1+VLOOKUP(宠物属性点预览!N$2,宠物成长!$F$5:$K$25,3,FALSE)+0)</f>
        <v>2160.8615089253385</v>
      </c>
      <c r="O40" s="9">
        <f>(宠物成长!$C$1+宠物成长!$C$2/宠物成长!$C$3*宠物成长!$E$30)*(1+VLOOKUP(宠物属性点预览!O$2,宠物成长!$F$4:$K$25,4,FALSE)+0)+(VLOOKUP(宠物属性点预览!$B40,宠物成长!$D$30:$E$129,2,FALSE)-宠物成长!$E$30)*宠物成长!$C$2/宠物成长!$C$3*(1+VLOOKUP(宠物属性点预览!O$2,宠物成长!$F$5:$K$25,3,FALSE)+0)</f>
        <v>2417.8230473868766</v>
      </c>
      <c r="P40" s="9">
        <f>(宠物成长!$C$1+宠物成长!$C$2/宠物成长!$C$3*宠物成长!$E$30)*(1+VLOOKUP(宠物属性点预览!P$2,宠物成长!$F$4:$K$25,4,FALSE)+0)+(VLOOKUP(宠物属性点预览!$B40,宠物成长!$D$30:$E$129,2,FALSE)-宠物成长!$E$30)*宠物成长!$C$2/宠物成长!$C$3*(1+VLOOKUP(宠物属性点预览!P$2,宠物成长!$F$5:$K$25,3,FALSE)+0)</f>
        <v>2675.6212930009119</v>
      </c>
      <c r="Q40" s="9">
        <f>(宠物成长!$C$1+宠物成长!$C$2/宠物成长!$C$3*宠物成长!$E$30)*(1+VLOOKUP(宠物属性点预览!Q$2,宠物成长!$F$4:$K$25,4,FALSE)+0)+(VLOOKUP(宠物属性点预览!$B40,宠物成长!$D$30:$E$129,2,FALSE)-宠物成长!$E$30)*宠物成长!$C$2/宠物成长!$C$3*(1+VLOOKUP(宠物属性点预览!Q$2,宠物成长!$F$5:$K$25,3,FALSE)+0)</f>
        <v>2934.1212930009119</v>
      </c>
      <c r="R40" s="9">
        <f>(宠物成长!$C$1+宠物成长!$C$2/宠物成长!$C$3*宠物成长!$E$30)*(1+VLOOKUP(宠物属性点预览!R$2,宠物成长!$F$4:$K$25,4,FALSE)+0)+(VLOOKUP(宠物属性点预览!$B40,宠物成长!$D$30:$E$129,2,FALSE)-宠物成长!$E$30)*宠物成长!$C$2/宠物成长!$C$3*(1+VLOOKUP(宠物属性点预览!R$2,宠物成长!$F$5:$K$25,3,FALSE)+0)</f>
        <v>3193.218307926285</v>
      </c>
      <c r="S40" s="9">
        <f>(宠物成长!$C$1+宠物成长!$C$2/宠物成长!$C$3*宠物成长!$E$30)*(1+VLOOKUP(宠物属性点预览!S$2,宠物成长!$F$4:$K$25,4,FALSE)+0)+(VLOOKUP(宠物属性点预览!$B40,宠物成长!$D$30:$E$129,2,FALSE)-宠物成长!$E$30)*宠物成长!$C$2/宠物成长!$C$3*(1+VLOOKUP(宠物属性点预览!S$2,宠物成长!$F$5:$K$25,3,FALSE)+0)</f>
        <v>3452.8294190373958</v>
      </c>
      <c r="T40" s="85">
        <f t="shared" si="8"/>
        <v>1146.1296296296296</v>
      </c>
      <c r="U40" s="1">
        <f>(T40-T39)/T39</f>
        <v>4.8218982368412513E-3</v>
      </c>
      <c r="V40" s="9">
        <f>(宠物成长!$C$1+宠物成长!$C$2/宠物成长!$C$3*宠物成长!$E$30)*(1+宠物成长!$I$12+VLOOKUP(宠物属性点预览!V$2,宠物成长!$O$5:$R$10,3,FALSE))+(VLOOKUP(宠物属性点预览!$B40,宠物成长!$D$30:$E$129,2,FALSE)-宠物成长!$E$30)*宠物成长!$C$2/宠物成长!$C$3*(1+宠物成长!$H$12+VLOOKUP(宠物属性点预览!V$2,宠物成长!$O$5:$R$10,2,FALSE))</f>
        <v>1146.1296296296296</v>
      </c>
      <c r="W40" s="9">
        <f>(宠物成长!$C$1+宠物成长!$C$2/宠物成长!$C$3*宠物成长!$E$30)*(1+宠物成长!$I$12+VLOOKUP(宠物属性点预览!W$2,宠物成长!$O$5:$R$10,3,FALSE))+(VLOOKUP(宠物属性点预览!$B40,宠物成长!$D$30:$E$129,2,FALSE)-宠物成长!$E$30)*宠物成长!$C$2/宠物成长!$C$3*(1+宠物成长!$H$12+VLOOKUP(宠物属性点预览!W$2,宠物成长!$O$5:$R$10,2,FALSE))</f>
        <v>1493.1296296296296</v>
      </c>
      <c r="X40" s="9">
        <f>(宠物成长!$C$1+宠物成长!$C$2/宠物成长!$C$3*宠物成长!$E$30)*(1+宠物成长!$I$12+VLOOKUP(宠物属性点预览!X$2,宠物成长!$O$5:$R$10,3,FALSE))+(VLOOKUP(宠物属性点预览!$B40,宠物成长!$D$30:$E$129,2,FALSE)-宠物成长!$E$30)*宠物成长!$C$2/宠物成长!$C$3*(1+宠物成长!$H$12+VLOOKUP(宠物属性点预览!X$2,宠物成长!$O$5:$R$10,2,FALSE))</f>
        <v>1902.1296296296296</v>
      </c>
      <c r="Y40" s="9">
        <f>(宠物成长!$C$1+宠物成长!$C$2/宠物成长!$C$3*宠物成长!$E$30)*(1+宠物成长!$I$12+VLOOKUP(宠物属性点预览!Y$2,宠物成长!$O$5:$R$10,3,FALSE))+(VLOOKUP(宠物属性点预览!$B40,宠物成长!$D$30:$E$129,2,FALSE)-宠物成长!$E$30)*宠物成长!$C$2/宠物成长!$C$3*(1+宠物成长!$H$12+VLOOKUP(宠物属性点预览!Y$2,宠物成长!$O$5:$R$10,2,FALSE))</f>
        <v>2373.1296296296296</v>
      </c>
      <c r="Z40" s="9">
        <f>(宠物成长!$C$1+宠物成长!$C$2/宠物成长!$C$3*宠物成长!$E$30)*(1+宠物成长!$I$12+VLOOKUP(宠物属性点预览!Z$2,宠物成长!$O$5:$R$10,3,FALSE))+(VLOOKUP(宠物属性点预览!$B40,宠物成长!$D$30:$E$129,2,FALSE)-宠物成长!$E$30)*宠物成长!$C$2/宠物成长!$C$3*(1+宠物成长!$H$12+VLOOKUP(宠物属性点预览!Z$2,宠物成长!$O$5:$R$10,2,FALSE))</f>
        <v>2844.1296296296296</v>
      </c>
      <c r="AA40" s="1">
        <f>(Z40-Z39)/Z39</f>
        <v>3.3514078526164499E-3</v>
      </c>
    </row>
    <row r="41" spans="2:31" x14ac:dyDescent="0.15">
      <c r="B41" s="1">
        <v>39</v>
      </c>
      <c r="C41" s="9">
        <f>(宠物成长!$C$1+宠物成长!$C$2/宠物成长!$C$3*宠物成长!$E$30)*(1+VLOOKUP(宠物属性点预览!C$2,宠物成长!$F$4:$K$25,4,FALSE)+0)+(VLOOKUP(宠物属性点预览!$B41,宠物成长!$D$30:$E$129,2,FALSE)-宠物成长!$E$30)*宠物成长!$C$2/宠物成长!$C$3*(1+VLOOKUP(宠物属性点预览!C$2,宠物成长!$F$5:$K$25,3,FALSE)+0)</f>
        <v>195</v>
      </c>
      <c r="D41" s="9">
        <f>(宠物成长!$C$1+宠物成长!$C$2/宠物成长!$C$3*宠物成长!$E$30)*(1+VLOOKUP(宠物属性点预览!D$2,宠物成长!$F$4:$K$25,4,FALSE)+0)+(VLOOKUP(宠物属性点预览!$B41,宠物成长!$D$30:$E$129,2,FALSE)-宠物成长!$E$30)*宠物成长!$C$2/宠物成长!$C$3*(1+VLOOKUP(宠物属性点预览!D$2,宠物成长!$F$5:$K$25,3,FALSE)+0)</f>
        <v>241.5</v>
      </c>
      <c r="E41" s="9">
        <f>(宠物成长!$C$1+宠物成长!$C$2/宠物成长!$C$3*宠物成长!$E$30)*(1+VLOOKUP(宠物属性点预览!E$2,宠物成长!$F$4:$K$25,4,FALSE)+0)+(VLOOKUP(宠物属性点预览!$B41,宠物成长!$D$30:$E$129,2,FALSE)-宠物成长!$E$30)*宠物成长!$C$2/宠物成长!$C$3*(1+VLOOKUP(宠物属性点预览!E$2,宠物成长!$F$5:$K$25,3,FALSE)+0)</f>
        <v>306.60000000000002</v>
      </c>
      <c r="F41" s="9">
        <f>(宠物成长!$C$1+宠物成长!$C$2/宠物成长!$C$3*宠物成长!$E$30)*(1+VLOOKUP(宠物属性点预览!F$2,宠物成长!$F$4:$K$25,4,FALSE)+0)+(VLOOKUP(宠物属性点预览!$B41,宠物成长!$D$30:$E$129,2,FALSE)-宠物成长!$E$30)*宠物成长!$C$2/宠物成长!$C$3*(1+VLOOKUP(宠物属性点预览!F$2,宠物成长!$F$5:$K$25,3,FALSE)+0)</f>
        <v>393.40000000000003</v>
      </c>
      <c r="G41" s="9">
        <f>(宠物成长!$C$1+宠物成长!$C$2/宠物成长!$C$3*宠物成长!$E$30)*(1+VLOOKUP(宠物属性点预览!G$2,宠物成长!$F$4:$K$25,4,FALSE)+0)+(VLOOKUP(宠物属性点预览!$B41,宠物成长!$D$30:$E$129,2,FALSE)-宠物成长!$E$30)*宠物成长!$C$2/宠物成长!$C$3*(1+VLOOKUP(宠物属性点预览!G$2,宠物成长!$F$5:$K$25,3,FALSE)+0)</f>
        <v>511.59999999999997</v>
      </c>
      <c r="H41" s="9">
        <f>(宠物成长!$C$1+宠物成长!$C$2/宠物成长!$C$3*宠物成长!$E$30)*(1+VLOOKUP(宠物属性点预览!H$2,宠物成长!$F$4:$K$25,4,FALSE)+0)+(VLOOKUP(宠物属性点预览!$B41,宠物成长!$D$30:$E$129,2,FALSE)-宠物成长!$E$30)*宠物成长!$C$2/宠物成长!$C$3*(1+VLOOKUP(宠物属性点预览!H$2,宠物成长!$F$5:$K$25,3,FALSE)+0)</f>
        <v>679.4</v>
      </c>
      <c r="I41" s="9">
        <f>(宠物成长!$C$1+宠物成长!$C$2/宠物成长!$C$3*宠物成长!$E$30)*(1+VLOOKUP(宠物属性点预览!I$2,宠物成长!$F$4:$K$25,4,FALSE)+0)+(VLOOKUP(宠物属性点预览!$B41,宠物成长!$D$30:$E$129,2,FALSE)-宠物成长!$E$30)*宠物成长!$C$2/宠物成长!$C$3*(1+VLOOKUP(宠物属性点预览!I$2,宠物成长!$F$5:$K$25,3,FALSE)+0)</f>
        <v>903</v>
      </c>
      <c r="J41" s="9">
        <f>(宠物成长!$C$1+宠物成长!$C$2/宠物成长!$C$3*宠物成长!$E$30)*(1+VLOOKUP(宠物属性点预览!J$2,宠物成长!$F$4:$K$25,4,FALSE)+0)+(VLOOKUP(宠物属性点预览!$B41,宠物成长!$D$30:$E$129,2,FALSE)-宠物成长!$E$30)*宠物成长!$C$2/宠物成长!$C$3*(1+VLOOKUP(宠物属性点预览!J$2,宠物成长!$F$5:$K$25,3,FALSE)+0)</f>
        <v>1151.6296296296296</v>
      </c>
      <c r="K41" s="9">
        <f>(宠物成长!$C$1+宠物成长!$C$2/宠物成长!$C$3*宠物成长!$E$30)*(1+VLOOKUP(宠物属性点预览!K$2,宠物成长!$F$4:$K$25,4,FALSE)+0)+(VLOOKUP(宠物属性点预览!$B41,宠物成长!$D$30:$E$129,2,FALSE)-宠物成长!$E$30)*宠物成长!$C$2/宠物成长!$C$3*(1+VLOOKUP(宠物属性点预览!K$2,宠物成长!$F$5:$K$25,3,FALSE)+0)</f>
        <v>1403.1296296296296</v>
      </c>
      <c r="L41" s="9">
        <f>(宠物成长!$C$1+宠物成长!$C$2/宠物成长!$C$3*宠物成长!$E$30)*(1+VLOOKUP(宠物属性点预览!L$2,宠物成长!$F$4:$K$25,4,FALSE)+0)+(VLOOKUP(宠物属性点预览!$B41,宠物成长!$D$30:$E$129,2,FALSE)-宠物成长!$E$30)*宠物成长!$C$2/宠物成长!$C$3*(1+VLOOKUP(宠物属性点预览!L$2,宠物成长!$F$5:$K$25,3,FALSE)+0)</f>
        <v>1656.7242242242241</v>
      </c>
      <c r="M41" s="9">
        <f>(宠物成长!$C$1+宠物成长!$C$2/宠物成长!$C$3*宠物成长!$E$30)*(1+VLOOKUP(宠物属性点预览!M$2,宠物成长!$F$4:$K$25,4,FALSE)+0)+(VLOOKUP(宠物属性点预览!$B41,宠物成长!$D$30:$E$129,2,FALSE)-宠物成长!$E$30)*宠物成长!$C$2/宠物成长!$C$3*(1+VLOOKUP(宠物属性点预览!M$2,宠物成长!$F$5:$K$25,3,FALSE)+0)</f>
        <v>1911.9147004147003</v>
      </c>
      <c r="N41" s="9">
        <f>(宠物成长!$C$1+宠物成长!$C$2/宠物成长!$C$3*宠物成长!$E$30)*(1+VLOOKUP(宠物属性点预览!N$2,宠物成长!$F$4:$K$25,4,FALSE)+0)+(VLOOKUP(宠物属性点预览!$B41,宠物成长!$D$30:$E$129,2,FALSE)-宠物成长!$E$30)*宠物成长!$C$2/宠物成长!$C$3*(1+VLOOKUP(宠物属性点预览!N$2,宠物成长!$F$5:$K$25,3,FALSE)+0)</f>
        <v>2168.3615089253385</v>
      </c>
      <c r="O41" s="9">
        <f>(宠物成长!$C$1+宠物成长!$C$2/宠物成长!$C$3*宠物成长!$E$30)*(1+VLOOKUP(宠物属性点预览!O$2,宠物成长!$F$4:$K$25,4,FALSE)+0)+(VLOOKUP(宠物属性点预览!$B41,宠物成长!$D$30:$E$129,2,FALSE)-宠物成长!$E$30)*宠物成长!$C$2/宠物成长!$C$3*(1+VLOOKUP(宠物属性点预览!O$2,宠物成长!$F$5:$K$25,3,FALSE)+0)</f>
        <v>2425.8230473868766</v>
      </c>
      <c r="P41" s="9">
        <f>(宠物成长!$C$1+宠物成长!$C$2/宠物成长!$C$3*宠物成长!$E$30)*(1+VLOOKUP(宠物属性点预览!P$2,宠物成长!$F$4:$K$25,4,FALSE)+0)+(VLOOKUP(宠物属性点预览!$B41,宠物成长!$D$30:$E$129,2,FALSE)-宠物成长!$E$30)*宠物成长!$C$2/宠物成长!$C$3*(1+VLOOKUP(宠物属性点预览!P$2,宠物成长!$F$5:$K$25,3,FALSE)+0)</f>
        <v>2684.1212930009119</v>
      </c>
      <c r="Q41" s="9">
        <f>(宠物成长!$C$1+宠物成长!$C$2/宠物成长!$C$3*宠物成长!$E$30)*(1+VLOOKUP(宠物属性点预览!Q$2,宠物成长!$F$4:$K$25,4,FALSE)+0)+(VLOOKUP(宠物属性点预览!$B41,宠物成长!$D$30:$E$129,2,FALSE)-宠物成长!$E$30)*宠物成长!$C$2/宠物成长!$C$3*(1+VLOOKUP(宠物属性点预览!Q$2,宠物成长!$F$5:$K$25,3,FALSE)+0)</f>
        <v>2943.1212930009119</v>
      </c>
      <c r="R41" s="9">
        <f>(宠物成长!$C$1+宠物成长!$C$2/宠物成长!$C$3*宠物成长!$E$30)*(1+VLOOKUP(宠物属性点预览!R$2,宠物成长!$F$4:$K$25,4,FALSE)+0)+(VLOOKUP(宠物属性点预览!$B41,宠物成长!$D$30:$E$129,2,FALSE)-宠物成长!$E$30)*宠物成长!$C$2/宠物成长!$C$3*(1+VLOOKUP(宠物属性点预览!R$2,宠物成长!$F$5:$K$25,3,FALSE)+0)</f>
        <v>3202.718307926285</v>
      </c>
      <c r="S41" s="9">
        <f>(宠物成长!$C$1+宠物成长!$C$2/宠物成长!$C$3*宠物成长!$E$30)*(1+VLOOKUP(宠物属性点预览!S$2,宠物成长!$F$4:$K$25,4,FALSE)+0)+(VLOOKUP(宠物属性点预览!$B41,宠物成长!$D$30:$E$129,2,FALSE)-宠物成长!$E$30)*宠物成长!$C$2/宠物成长!$C$3*(1+VLOOKUP(宠物属性点预览!S$2,宠物成长!$F$5:$K$25,3,FALSE)+0)</f>
        <v>3462.8294190373958</v>
      </c>
      <c r="T41" s="83">
        <f t="shared" si="8"/>
        <v>1151.6296296296296</v>
      </c>
      <c r="V41" s="9">
        <f>(宠物成长!$C$1+宠物成长!$C$2/宠物成长!$C$3*宠物成长!$E$30)*(1+宠物成长!$I$12+VLOOKUP(宠物属性点预览!V$2,宠物成长!$O$5:$R$10,3,FALSE))+(VLOOKUP(宠物属性点预览!$B41,宠物成长!$D$30:$E$129,2,FALSE)-宠物成长!$E$30)*宠物成长!$C$2/宠物成长!$C$3*(1+宠物成长!$H$12+VLOOKUP(宠物属性点预览!V$2,宠物成长!$O$5:$R$10,2,FALSE))</f>
        <v>1151.6296296296296</v>
      </c>
      <c r="W41" s="9">
        <f>(宠物成长!$C$1+宠物成长!$C$2/宠物成长!$C$3*宠物成长!$E$30)*(1+宠物成长!$I$12+VLOOKUP(宠物属性点预览!W$2,宠物成长!$O$5:$R$10,3,FALSE))+(VLOOKUP(宠物属性点预览!$B41,宠物成长!$D$30:$E$129,2,FALSE)-宠物成长!$E$30)*宠物成长!$C$2/宠物成长!$C$3*(1+宠物成长!$H$12+VLOOKUP(宠物属性点预览!W$2,宠物成长!$O$5:$R$10,2,FALSE))</f>
        <v>1499.6296296296296</v>
      </c>
      <c r="X41" s="9">
        <f>(宠物成长!$C$1+宠物成长!$C$2/宠物成长!$C$3*宠物成长!$E$30)*(1+宠物成长!$I$12+VLOOKUP(宠物属性点预览!X$2,宠物成长!$O$5:$R$10,3,FALSE))+(VLOOKUP(宠物属性点预览!$B41,宠物成长!$D$30:$E$129,2,FALSE)-宠物成长!$E$30)*宠物成长!$C$2/宠物成长!$C$3*(1+宠物成长!$H$12+VLOOKUP(宠物属性点预览!X$2,宠物成长!$O$5:$R$10,2,FALSE))</f>
        <v>1909.6296296296296</v>
      </c>
      <c r="Y41" s="9">
        <f>(宠物成长!$C$1+宠物成长!$C$2/宠物成长!$C$3*宠物成长!$E$30)*(1+宠物成长!$I$12+VLOOKUP(宠物属性点预览!Y$2,宠物成长!$O$5:$R$10,3,FALSE))+(VLOOKUP(宠物属性点预览!$B41,宠物成长!$D$30:$E$129,2,FALSE)-宠物成长!$E$30)*宠物成长!$C$2/宠物成长!$C$3*(1+宠物成长!$H$12+VLOOKUP(宠物属性点预览!Y$2,宠物成长!$O$5:$R$10,2,FALSE))</f>
        <v>2381.6296296296296</v>
      </c>
      <c r="Z41" s="9">
        <f>(宠物成长!$C$1+宠物成长!$C$2/宠物成长!$C$3*宠物成长!$E$30)*(1+宠物成长!$I$12+VLOOKUP(宠物属性点预览!Z$2,宠物成长!$O$5:$R$10,3,FALSE))+(VLOOKUP(宠物属性点预览!$B41,宠物成长!$D$30:$E$129,2,FALSE)-宠物成长!$E$30)*宠物成长!$C$2/宠物成长!$C$3*(1+宠物成长!$H$12+VLOOKUP(宠物属性点预览!Z$2,宠物成长!$O$5:$R$10,2,FALSE))</f>
        <v>2853.6296296296296</v>
      </c>
    </row>
    <row r="42" spans="2:31" x14ac:dyDescent="0.15">
      <c r="B42" s="1">
        <v>40</v>
      </c>
      <c r="C42" s="9">
        <f>(宠物成长!$C$1+宠物成长!$C$2/宠物成长!$C$3*宠物成长!$E$30)*(1+VLOOKUP(宠物属性点预览!C$2,宠物成长!$F$4:$K$25,4,FALSE)+0)+(VLOOKUP(宠物属性点预览!$B42,宠物成长!$D$30:$E$129,2,FALSE)-宠物成长!$E$30)*宠物成长!$C$2/宠物成长!$C$3*(1+VLOOKUP(宠物属性点预览!C$2,宠物成长!$F$5:$K$25,3,FALSE)+0)</f>
        <v>198.5</v>
      </c>
      <c r="D42" s="9">
        <f>(宠物成长!$C$1+宠物成长!$C$2/宠物成长!$C$3*宠物成长!$E$30)*(1+VLOOKUP(宠物属性点预览!D$2,宠物成长!$F$4:$K$25,4,FALSE)+0)+(VLOOKUP(宠物属性点预览!$B42,宠物成长!$D$30:$E$129,2,FALSE)-宠物成长!$E$30)*宠物成长!$C$2/宠物成长!$C$3*(1+VLOOKUP(宠物属性点预览!D$2,宠物成长!$F$5:$K$25,3,FALSE)+0)</f>
        <v>245</v>
      </c>
      <c r="E42" s="9">
        <f>(宠物成长!$C$1+宠物成长!$C$2/宠物成长!$C$3*宠物成长!$E$30)*(1+VLOOKUP(宠物属性点预览!E$2,宠物成长!$F$4:$K$25,4,FALSE)+0)+(VLOOKUP(宠物属性点预览!$B42,宠物成长!$D$30:$E$129,2,FALSE)-宠物成长!$E$30)*宠物成长!$C$2/宠物成长!$C$3*(1+VLOOKUP(宠物属性点预览!E$2,宠物成长!$F$5:$K$25,3,FALSE)+0)</f>
        <v>310.10000000000002</v>
      </c>
      <c r="F42" s="9">
        <f>(宠物成长!$C$1+宠物成长!$C$2/宠物成长!$C$3*宠物成长!$E$30)*(1+VLOOKUP(宠物属性点预览!F$2,宠物成长!$F$4:$K$25,4,FALSE)+0)+(VLOOKUP(宠物属性点预览!$B42,宠物成长!$D$30:$E$129,2,FALSE)-宠物成长!$E$30)*宠物成长!$C$2/宠物成长!$C$3*(1+VLOOKUP(宠物属性点预览!F$2,宠物成长!$F$5:$K$25,3,FALSE)+0)</f>
        <v>396.90000000000003</v>
      </c>
      <c r="G42" s="9">
        <f>(宠物成长!$C$1+宠物成长!$C$2/宠物成长!$C$3*宠物成长!$E$30)*(1+VLOOKUP(宠物属性点预览!G$2,宠物成长!$F$4:$K$25,4,FALSE)+0)+(VLOOKUP(宠物属性点预览!$B42,宠物成长!$D$30:$E$129,2,FALSE)-宠物成长!$E$30)*宠物成长!$C$2/宠物成长!$C$3*(1+VLOOKUP(宠物属性点预览!G$2,宠物成长!$F$5:$K$25,3,FALSE)+0)</f>
        <v>515.59999999999991</v>
      </c>
      <c r="H42" s="9">
        <f>(宠物成长!$C$1+宠物成长!$C$2/宠物成长!$C$3*宠物成长!$E$30)*(1+VLOOKUP(宠物属性点预览!H$2,宠物成长!$F$4:$K$25,4,FALSE)+0)+(VLOOKUP(宠物属性点预览!$B42,宠物成长!$D$30:$E$129,2,FALSE)-宠物成长!$E$30)*宠物成长!$C$2/宠物成长!$C$3*(1+VLOOKUP(宠物属性点预览!H$2,宠物成长!$F$5:$K$25,3,FALSE)+0)</f>
        <v>683.9</v>
      </c>
      <c r="I42" s="9">
        <f>(宠物成长!$C$1+宠物成长!$C$2/宠物成长!$C$3*宠物成长!$E$30)*(1+VLOOKUP(宠物属性点预览!I$2,宠物成长!$F$4:$K$25,4,FALSE)+0)+(VLOOKUP(宠物属性点预览!$B42,宠物成长!$D$30:$E$129,2,FALSE)-宠物成长!$E$30)*宠物成长!$C$2/宠物成长!$C$3*(1+VLOOKUP(宠物属性点预览!I$2,宠物成长!$F$5:$K$25,3,FALSE)+0)</f>
        <v>908</v>
      </c>
      <c r="J42" s="9">
        <f>(宠物成长!$C$1+宠物成长!$C$2/宠物成长!$C$3*宠物成长!$E$30)*(1+VLOOKUP(宠物属性点预览!J$2,宠物成长!$F$4:$K$25,4,FALSE)+0)+(VLOOKUP(宠物属性点预览!$B42,宠物成长!$D$30:$E$129,2,FALSE)-宠物成长!$E$30)*宠物成长!$C$2/宠物成长!$C$3*(1+VLOOKUP(宠物属性点预览!J$2,宠物成长!$F$5:$K$25,3,FALSE)+0)</f>
        <v>1157.1296296296296</v>
      </c>
      <c r="K42" s="83">
        <f>(宠物成长!$C$1+宠物成长!$C$2/宠物成长!$C$3*宠物成长!$E$30)*(1+VLOOKUP(宠物属性点预览!K$2,宠物成长!$F$4:$K$25,4,FALSE)+0)+(VLOOKUP(宠物属性点预览!$B42,宠物成长!$D$30:$E$129,2,FALSE)-宠物成长!$E$30)*宠物成长!$C$2/宠物成长!$C$3*(1+VLOOKUP(宠物属性点预览!K$2,宠物成长!$F$5:$K$25,3,FALSE)+0)</f>
        <v>1409.1296296296296</v>
      </c>
      <c r="L42" s="9">
        <f>(宠物成长!$C$1+宠物成长!$C$2/宠物成长!$C$3*宠物成长!$E$30)*(1+VLOOKUP(宠物属性点预览!L$2,宠物成长!$F$4:$K$25,4,FALSE)+0)+(VLOOKUP(宠物属性点预览!$B42,宠物成长!$D$30:$E$129,2,FALSE)-宠物成长!$E$30)*宠物成长!$C$2/宠物成长!$C$3*(1+VLOOKUP(宠物属性点预览!L$2,宠物成长!$F$5:$K$25,3,FALSE)+0)</f>
        <v>1663.2242242242241</v>
      </c>
      <c r="M42" s="9">
        <f>(宠物成长!$C$1+宠物成长!$C$2/宠物成长!$C$3*宠物成长!$E$30)*(1+VLOOKUP(宠物属性点预览!M$2,宠物成长!$F$4:$K$25,4,FALSE)+0)+(VLOOKUP(宠物属性点预览!$B42,宠物成长!$D$30:$E$129,2,FALSE)-宠物成长!$E$30)*宠物成长!$C$2/宠物成长!$C$3*(1+VLOOKUP(宠物属性点预览!M$2,宠物成长!$F$5:$K$25,3,FALSE)+0)</f>
        <v>1918.9147004147003</v>
      </c>
      <c r="N42" s="9">
        <f>(宠物成长!$C$1+宠物成长!$C$2/宠物成长!$C$3*宠物成长!$E$30)*(1+VLOOKUP(宠物属性点预览!N$2,宠物成长!$F$4:$K$25,4,FALSE)+0)+(VLOOKUP(宠物属性点预览!$B42,宠物成长!$D$30:$E$129,2,FALSE)-宠物成长!$E$30)*宠物成长!$C$2/宠物成长!$C$3*(1+VLOOKUP(宠物属性点预览!N$2,宠物成长!$F$5:$K$25,3,FALSE)+0)</f>
        <v>2175.8615089253385</v>
      </c>
      <c r="O42" s="9">
        <f>(宠物成长!$C$1+宠物成长!$C$2/宠物成长!$C$3*宠物成长!$E$30)*(1+VLOOKUP(宠物属性点预览!O$2,宠物成长!$F$4:$K$25,4,FALSE)+0)+(VLOOKUP(宠物属性点预览!$B42,宠物成长!$D$30:$E$129,2,FALSE)-宠物成长!$E$30)*宠物成长!$C$2/宠物成长!$C$3*(1+VLOOKUP(宠物属性点预览!O$2,宠物成长!$F$5:$K$25,3,FALSE)+0)</f>
        <v>2433.8230473868766</v>
      </c>
      <c r="P42" s="9">
        <f>(宠物成长!$C$1+宠物成长!$C$2/宠物成长!$C$3*宠物成长!$E$30)*(1+VLOOKUP(宠物属性点预览!P$2,宠物成长!$F$4:$K$25,4,FALSE)+0)+(VLOOKUP(宠物属性点预览!$B42,宠物成长!$D$30:$E$129,2,FALSE)-宠物成长!$E$30)*宠物成长!$C$2/宠物成长!$C$3*(1+VLOOKUP(宠物属性点预览!P$2,宠物成长!$F$5:$K$25,3,FALSE)+0)</f>
        <v>2692.6212930009119</v>
      </c>
      <c r="Q42" s="9">
        <f>(宠物成长!$C$1+宠物成长!$C$2/宠物成长!$C$3*宠物成长!$E$30)*(1+VLOOKUP(宠物属性点预览!Q$2,宠物成长!$F$4:$K$25,4,FALSE)+0)+(VLOOKUP(宠物属性点预览!$B42,宠物成长!$D$30:$E$129,2,FALSE)-宠物成长!$E$30)*宠物成长!$C$2/宠物成长!$C$3*(1+VLOOKUP(宠物属性点预览!Q$2,宠物成长!$F$5:$K$25,3,FALSE)+0)</f>
        <v>2952.1212930009119</v>
      </c>
      <c r="R42" s="9">
        <f>(宠物成长!$C$1+宠物成长!$C$2/宠物成长!$C$3*宠物成长!$E$30)*(1+VLOOKUP(宠物属性点预览!R$2,宠物成长!$F$4:$K$25,4,FALSE)+0)+(VLOOKUP(宠物属性点预览!$B42,宠物成长!$D$30:$E$129,2,FALSE)-宠物成长!$E$30)*宠物成长!$C$2/宠物成长!$C$3*(1+VLOOKUP(宠物属性点预览!R$2,宠物成长!$F$5:$K$25,3,FALSE)+0)</f>
        <v>3212.218307926285</v>
      </c>
      <c r="S42" s="9">
        <f>(宠物成长!$C$1+宠物成长!$C$2/宠物成长!$C$3*宠物成长!$E$30)*(1+VLOOKUP(宠物属性点预览!S$2,宠物成长!$F$4:$K$25,4,FALSE)+0)+(VLOOKUP(宠物属性点预览!$B42,宠物成长!$D$30:$E$129,2,FALSE)-宠物成长!$E$30)*宠物成长!$C$2/宠物成长!$C$3*(1+VLOOKUP(宠物属性点预览!S$2,宠物成长!$F$5:$K$25,3,FALSE)+0)</f>
        <v>3472.8294190373958</v>
      </c>
      <c r="T42" s="83">
        <f t="shared" si="8"/>
        <v>1157.1296296296296</v>
      </c>
      <c r="U42" s="9">
        <f>K42</f>
        <v>1409.1296296296296</v>
      </c>
      <c r="V42" s="9">
        <f>(宠物成长!$C$1+宠物成长!$C$2/宠物成长!$C$3*宠物成长!$E$30)*(1+宠物成长!$I$13+VLOOKUP(宠物属性点预览!V$2,宠物成长!$O$5:$R$10,3,FALSE))+(VLOOKUP(宠物属性点预览!$B42,宠物成长!$D$30:$E$129,2,FALSE)-宠物成长!$E$30)*宠物成长!$C$2/宠物成长!$C$3*(1+宠物成长!$H$13+VLOOKUP(宠物属性点预览!V$2,宠物成长!$O$5:$R$10,2,FALSE))</f>
        <v>1409.1296296296296</v>
      </c>
      <c r="W42" s="9">
        <f>(宠物成长!$C$1+宠物成长!$C$2/宠物成长!$C$3*宠物成长!$E$30)*(1+宠物成长!$I$13+VLOOKUP(宠物属性点预览!W$2,宠物成长!$O$5:$R$10,3,FALSE))+(VLOOKUP(宠物属性点预览!$B42,宠物成长!$D$30:$E$129,2,FALSE)-宠物成长!$E$30)*宠物成长!$C$2/宠物成长!$C$3*(1+宠物成长!$H$13+VLOOKUP(宠物属性点预览!W$2,宠物成长!$O$5:$R$10,2,FALSE))</f>
        <v>1758.1296296296296</v>
      </c>
      <c r="X42" s="9">
        <f>(宠物成长!$C$1+宠物成长!$C$2/宠物成长!$C$3*宠物成长!$E$30)*(1+宠物成长!$I$13+VLOOKUP(宠物属性点预览!X$2,宠物成长!$O$5:$R$10,3,FALSE))+(VLOOKUP(宠物属性点预览!$B42,宠物成长!$D$30:$E$129,2,FALSE)-宠物成长!$E$30)*宠物成长!$C$2/宠物成长!$C$3*(1+宠物成长!$H$13+VLOOKUP(宠物属性点预览!X$2,宠物成长!$O$5:$R$10,2,FALSE))</f>
        <v>2169.1296296296296</v>
      </c>
      <c r="Y42" s="9">
        <f>(宠物成长!$C$1+宠物成长!$C$2/宠物成长!$C$3*宠物成长!$E$30)*(1+宠物成长!$I$13+VLOOKUP(宠物属性点预览!Y$2,宠物成长!$O$5:$R$10,3,FALSE))+(VLOOKUP(宠物属性点预览!$B42,宠物成长!$D$30:$E$129,2,FALSE)-宠物成长!$E$30)*宠物成长!$C$2/宠物成长!$C$3*(1+宠物成长!$H$13+VLOOKUP(宠物属性点预览!Y$2,宠物成长!$O$5:$R$10,2,FALSE))</f>
        <v>2642.1296296296296</v>
      </c>
      <c r="Z42" s="9">
        <f>(宠物成长!$C$1+宠物成长!$C$2/宠物成长!$C$3*宠物成长!$E$30)*(1+宠物成长!$I$13+VLOOKUP(宠物属性点预览!Z$2,宠物成长!$O$5:$R$10,3,FALSE))+(VLOOKUP(宠物属性点预览!$B42,宠物成长!$D$30:$E$129,2,FALSE)-宠物成长!$E$30)*宠物成长!$C$2/宠物成长!$C$3*(1+宠物成长!$H$13+VLOOKUP(宠物属性点预览!Z$2,宠物成长!$O$5:$R$10,2,FALSE))</f>
        <v>3115.1296296296296</v>
      </c>
    </row>
    <row r="43" spans="2:31" x14ac:dyDescent="0.15">
      <c r="B43" s="1">
        <v>41</v>
      </c>
      <c r="C43" s="9">
        <f>(宠物成长!$C$1+宠物成长!$C$2/宠物成长!$C$3*宠物成长!$E$30)*(1+VLOOKUP(宠物属性点预览!C$2,宠物成长!$F$4:$K$25,4,FALSE)+0)+(VLOOKUP(宠物属性点预览!$B43,宠物成长!$D$30:$E$129,2,FALSE)-宠物成长!$E$30)*宠物成长!$C$2/宠物成长!$C$3*(1+VLOOKUP(宠物属性点预览!C$2,宠物成长!$F$5:$K$25,3,FALSE)+0)</f>
        <v>202</v>
      </c>
      <c r="D43" s="9">
        <f>(宠物成长!$C$1+宠物成长!$C$2/宠物成长!$C$3*宠物成长!$E$30)*(1+VLOOKUP(宠物属性点预览!D$2,宠物成长!$F$4:$K$25,4,FALSE)+0)+(VLOOKUP(宠物属性点预览!$B43,宠物成长!$D$30:$E$129,2,FALSE)-宠物成长!$E$30)*宠物成长!$C$2/宠物成长!$C$3*(1+VLOOKUP(宠物属性点预览!D$2,宠物成长!$F$5:$K$25,3,FALSE)+0)</f>
        <v>248.5</v>
      </c>
      <c r="E43" s="9">
        <f>(宠物成长!$C$1+宠物成长!$C$2/宠物成长!$C$3*宠物成长!$E$30)*(1+VLOOKUP(宠物属性点预览!E$2,宠物成长!$F$4:$K$25,4,FALSE)+0)+(VLOOKUP(宠物属性点预览!$B43,宠物成长!$D$30:$E$129,2,FALSE)-宠物成长!$E$30)*宠物成长!$C$2/宠物成长!$C$3*(1+VLOOKUP(宠物属性点预览!E$2,宠物成长!$F$5:$K$25,3,FALSE)+0)</f>
        <v>313.60000000000002</v>
      </c>
      <c r="F43" s="9">
        <f>(宠物成长!$C$1+宠物成长!$C$2/宠物成长!$C$3*宠物成长!$E$30)*(1+VLOOKUP(宠物属性点预览!F$2,宠物成长!$F$4:$K$25,4,FALSE)+0)+(VLOOKUP(宠物属性点预览!$B43,宠物成长!$D$30:$E$129,2,FALSE)-宠物成长!$E$30)*宠物成长!$C$2/宠物成长!$C$3*(1+VLOOKUP(宠物属性点预览!F$2,宠物成长!$F$5:$K$25,3,FALSE)+0)</f>
        <v>400.40000000000003</v>
      </c>
      <c r="G43" s="9">
        <f>(宠物成长!$C$1+宠物成长!$C$2/宠物成长!$C$3*宠物成长!$E$30)*(1+VLOOKUP(宠物属性点预览!G$2,宠物成长!$F$4:$K$25,4,FALSE)+0)+(VLOOKUP(宠物属性点预览!$B43,宠物成长!$D$30:$E$129,2,FALSE)-宠物成长!$E$30)*宠物成长!$C$2/宠物成长!$C$3*(1+VLOOKUP(宠物属性点预览!G$2,宠物成长!$F$5:$K$25,3,FALSE)+0)</f>
        <v>519.59999999999991</v>
      </c>
      <c r="H43" s="9">
        <f>(宠物成长!$C$1+宠物成长!$C$2/宠物成长!$C$3*宠物成长!$E$30)*(1+VLOOKUP(宠物属性点预览!H$2,宠物成长!$F$4:$K$25,4,FALSE)+0)+(VLOOKUP(宠物属性点预览!$B43,宠物成长!$D$30:$E$129,2,FALSE)-宠物成长!$E$30)*宠物成长!$C$2/宠物成长!$C$3*(1+VLOOKUP(宠物属性点预览!H$2,宠物成长!$F$5:$K$25,3,FALSE)+0)</f>
        <v>688.4</v>
      </c>
      <c r="I43" s="9">
        <f>(宠物成长!$C$1+宠物成长!$C$2/宠物成长!$C$3*宠物成长!$E$30)*(1+VLOOKUP(宠物属性点预览!I$2,宠物成长!$F$4:$K$25,4,FALSE)+0)+(VLOOKUP(宠物属性点预览!$B43,宠物成长!$D$30:$E$129,2,FALSE)-宠物成长!$E$30)*宠物成长!$C$2/宠物成长!$C$3*(1+VLOOKUP(宠物属性点预览!I$2,宠物成长!$F$5:$K$25,3,FALSE)+0)</f>
        <v>913</v>
      </c>
      <c r="J43" s="9">
        <f>(宠物成长!$C$1+宠物成长!$C$2/宠物成长!$C$3*宠物成长!$E$30)*(1+VLOOKUP(宠物属性点预览!J$2,宠物成长!$F$4:$K$25,4,FALSE)+0)+(VLOOKUP(宠物属性点预览!$B43,宠物成长!$D$30:$E$129,2,FALSE)-宠物成长!$E$30)*宠物成长!$C$2/宠物成长!$C$3*(1+VLOOKUP(宠物属性点预览!J$2,宠物成长!$F$5:$K$25,3,FALSE)+0)</f>
        <v>1162.6296296296296</v>
      </c>
      <c r="K43" s="9">
        <f>(宠物成长!$C$1+宠物成长!$C$2/宠物成长!$C$3*宠物成长!$E$30)*(1+VLOOKUP(宠物属性点预览!K$2,宠物成长!$F$4:$K$25,4,FALSE)+0)+(VLOOKUP(宠物属性点预览!$B43,宠物成长!$D$30:$E$129,2,FALSE)-宠物成长!$E$30)*宠物成长!$C$2/宠物成长!$C$3*(1+VLOOKUP(宠物属性点预览!K$2,宠物成长!$F$5:$K$25,3,FALSE)+0)</f>
        <v>1415.1296296296296</v>
      </c>
      <c r="L43" s="9">
        <f>(宠物成长!$C$1+宠物成长!$C$2/宠物成长!$C$3*宠物成长!$E$30)*(1+VLOOKUP(宠物属性点预览!L$2,宠物成长!$F$4:$K$25,4,FALSE)+0)+(VLOOKUP(宠物属性点预览!$B43,宠物成长!$D$30:$E$129,2,FALSE)-宠物成长!$E$30)*宠物成长!$C$2/宠物成长!$C$3*(1+VLOOKUP(宠物属性点预览!L$2,宠物成长!$F$5:$K$25,3,FALSE)+0)</f>
        <v>1669.7242242242241</v>
      </c>
      <c r="M43" s="9">
        <f>(宠物成长!$C$1+宠物成长!$C$2/宠物成长!$C$3*宠物成长!$E$30)*(1+VLOOKUP(宠物属性点预览!M$2,宠物成长!$F$4:$K$25,4,FALSE)+0)+(VLOOKUP(宠物属性点预览!$B43,宠物成长!$D$30:$E$129,2,FALSE)-宠物成长!$E$30)*宠物成长!$C$2/宠物成长!$C$3*(1+VLOOKUP(宠物属性点预览!M$2,宠物成长!$F$5:$K$25,3,FALSE)+0)</f>
        <v>1925.9147004147003</v>
      </c>
      <c r="N43" s="9">
        <f>(宠物成长!$C$1+宠物成长!$C$2/宠物成长!$C$3*宠物成长!$E$30)*(1+VLOOKUP(宠物属性点预览!N$2,宠物成长!$F$4:$K$25,4,FALSE)+0)+(VLOOKUP(宠物属性点预览!$B43,宠物成长!$D$30:$E$129,2,FALSE)-宠物成长!$E$30)*宠物成长!$C$2/宠物成长!$C$3*(1+VLOOKUP(宠物属性点预览!N$2,宠物成长!$F$5:$K$25,3,FALSE)+0)</f>
        <v>2183.3615089253385</v>
      </c>
      <c r="O43" s="9">
        <f>(宠物成长!$C$1+宠物成长!$C$2/宠物成长!$C$3*宠物成长!$E$30)*(1+VLOOKUP(宠物属性点预览!O$2,宠物成长!$F$4:$K$25,4,FALSE)+0)+(VLOOKUP(宠物属性点预览!$B43,宠物成长!$D$30:$E$129,2,FALSE)-宠物成长!$E$30)*宠物成长!$C$2/宠物成长!$C$3*(1+VLOOKUP(宠物属性点预览!O$2,宠物成长!$F$5:$K$25,3,FALSE)+0)</f>
        <v>2441.8230473868766</v>
      </c>
      <c r="P43" s="9">
        <f>(宠物成长!$C$1+宠物成长!$C$2/宠物成长!$C$3*宠物成长!$E$30)*(1+VLOOKUP(宠物属性点预览!P$2,宠物成长!$F$4:$K$25,4,FALSE)+0)+(VLOOKUP(宠物属性点预览!$B43,宠物成长!$D$30:$E$129,2,FALSE)-宠物成长!$E$30)*宠物成长!$C$2/宠物成长!$C$3*(1+VLOOKUP(宠物属性点预览!P$2,宠物成长!$F$5:$K$25,3,FALSE)+0)</f>
        <v>2701.1212930009119</v>
      </c>
      <c r="Q43" s="9">
        <f>(宠物成长!$C$1+宠物成长!$C$2/宠物成长!$C$3*宠物成长!$E$30)*(1+VLOOKUP(宠物属性点预览!Q$2,宠物成长!$F$4:$K$25,4,FALSE)+0)+(VLOOKUP(宠物属性点预览!$B43,宠物成长!$D$30:$E$129,2,FALSE)-宠物成长!$E$30)*宠物成长!$C$2/宠物成长!$C$3*(1+VLOOKUP(宠物属性点预览!Q$2,宠物成长!$F$5:$K$25,3,FALSE)+0)</f>
        <v>2961.1212930009119</v>
      </c>
      <c r="R43" s="9">
        <f>(宠物成长!$C$1+宠物成长!$C$2/宠物成长!$C$3*宠物成长!$E$30)*(1+VLOOKUP(宠物属性点预览!R$2,宠物成长!$F$4:$K$25,4,FALSE)+0)+(VLOOKUP(宠物属性点预览!$B43,宠物成长!$D$30:$E$129,2,FALSE)-宠物成长!$E$30)*宠物成长!$C$2/宠物成长!$C$3*(1+VLOOKUP(宠物属性点预览!R$2,宠物成长!$F$5:$K$25,3,FALSE)+0)</f>
        <v>3221.718307926285</v>
      </c>
      <c r="S43" s="9">
        <f>(宠物成长!$C$1+宠物成长!$C$2/宠物成长!$C$3*宠物成长!$E$30)*(1+VLOOKUP(宠物属性点预览!S$2,宠物成长!$F$4:$K$25,4,FALSE)+0)+(VLOOKUP(宠物属性点预览!$B43,宠物成长!$D$30:$E$129,2,FALSE)-宠物成长!$E$30)*宠物成长!$C$2/宠物成长!$C$3*(1+VLOOKUP(宠物属性点预览!S$2,宠物成长!$F$5:$K$25,3,FALSE)+0)</f>
        <v>3482.8294190373958</v>
      </c>
      <c r="T43" s="83">
        <f>K43</f>
        <v>1415.1296296296296</v>
      </c>
      <c r="V43" s="9">
        <f>(宠物成长!$C$1+宠物成长!$C$2/宠物成长!$C$3*宠物成长!$E$30)*(1+宠物成长!$I$13+VLOOKUP(宠物属性点预览!V$2,宠物成长!$O$5:$R$10,3,FALSE))+(VLOOKUP(宠物属性点预览!$B43,宠物成长!$D$30:$E$129,2,FALSE)-宠物成长!$E$30)*宠物成长!$C$2/宠物成长!$C$3*(1+宠物成长!$H$13+VLOOKUP(宠物属性点预览!V$2,宠物成长!$O$5:$R$10,2,FALSE))</f>
        <v>1415.1296296296296</v>
      </c>
      <c r="W43" s="9">
        <f>(宠物成长!$C$1+宠物成长!$C$2/宠物成长!$C$3*宠物成长!$E$30)*(1+宠物成长!$I$13+VLOOKUP(宠物属性点预览!W$2,宠物成长!$O$5:$R$10,3,FALSE))+(VLOOKUP(宠物属性点预览!$B43,宠物成长!$D$30:$E$129,2,FALSE)-宠物成长!$E$30)*宠物成长!$C$2/宠物成长!$C$3*(1+宠物成长!$H$13+VLOOKUP(宠物属性点预览!W$2,宠物成长!$O$5:$R$10,2,FALSE))</f>
        <v>1765.1296296296296</v>
      </c>
      <c r="X43" s="9">
        <f>(宠物成长!$C$1+宠物成长!$C$2/宠物成长!$C$3*宠物成长!$E$30)*(1+宠物成长!$I$13+VLOOKUP(宠物属性点预览!X$2,宠物成长!$O$5:$R$10,3,FALSE))+(VLOOKUP(宠物属性点预览!$B43,宠物成长!$D$30:$E$129,2,FALSE)-宠物成长!$E$30)*宠物成长!$C$2/宠物成长!$C$3*(1+宠物成长!$H$13+VLOOKUP(宠物属性点预览!X$2,宠物成长!$O$5:$R$10,2,FALSE))</f>
        <v>2177.1296296296296</v>
      </c>
      <c r="Y43" s="9">
        <f>(宠物成长!$C$1+宠物成长!$C$2/宠物成长!$C$3*宠物成长!$E$30)*(1+宠物成长!$I$13+VLOOKUP(宠物属性点预览!Y$2,宠物成长!$O$5:$R$10,3,FALSE))+(VLOOKUP(宠物属性点预览!$B43,宠物成长!$D$30:$E$129,2,FALSE)-宠物成长!$E$30)*宠物成长!$C$2/宠物成长!$C$3*(1+宠物成长!$H$13+VLOOKUP(宠物属性点预览!Y$2,宠物成长!$O$5:$R$10,2,FALSE))</f>
        <v>2651.1296296296296</v>
      </c>
      <c r="Z43" s="9">
        <f>(宠物成长!$C$1+宠物成长!$C$2/宠物成长!$C$3*宠物成长!$E$30)*(1+宠物成长!$I$13+VLOOKUP(宠物属性点预览!Z$2,宠物成长!$O$5:$R$10,3,FALSE))+(VLOOKUP(宠物属性点预览!$B43,宠物成长!$D$30:$E$129,2,FALSE)-宠物成长!$E$30)*宠物成长!$C$2/宠物成长!$C$3*(1+宠物成长!$H$13+VLOOKUP(宠物属性点预览!Z$2,宠物成长!$O$5:$R$10,2,FALSE))</f>
        <v>3125.1296296296296</v>
      </c>
    </row>
    <row r="44" spans="2:31" x14ac:dyDescent="0.15">
      <c r="B44" s="1">
        <v>42</v>
      </c>
      <c r="C44" s="9">
        <f>(宠物成长!$C$1+宠物成长!$C$2/宠物成长!$C$3*宠物成长!$E$30)*(1+VLOOKUP(宠物属性点预览!C$2,宠物成长!$F$4:$K$25,4,FALSE)+0)+(VLOOKUP(宠物属性点预览!$B44,宠物成长!$D$30:$E$129,2,FALSE)-宠物成长!$E$30)*宠物成长!$C$2/宠物成长!$C$3*(1+VLOOKUP(宠物属性点预览!C$2,宠物成长!$F$5:$K$25,3,FALSE)+0)</f>
        <v>205.5</v>
      </c>
      <c r="D44" s="9">
        <f>(宠物成长!$C$1+宠物成长!$C$2/宠物成长!$C$3*宠物成长!$E$30)*(1+VLOOKUP(宠物属性点预览!D$2,宠物成长!$F$4:$K$25,4,FALSE)+0)+(VLOOKUP(宠物属性点预览!$B44,宠物成长!$D$30:$E$129,2,FALSE)-宠物成长!$E$30)*宠物成长!$C$2/宠物成长!$C$3*(1+VLOOKUP(宠物属性点预览!D$2,宠物成长!$F$5:$K$25,3,FALSE)+0)</f>
        <v>252</v>
      </c>
      <c r="E44" s="9">
        <f>(宠物成长!$C$1+宠物成长!$C$2/宠物成长!$C$3*宠物成长!$E$30)*(1+VLOOKUP(宠物属性点预览!E$2,宠物成长!$F$4:$K$25,4,FALSE)+0)+(VLOOKUP(宠物属性点预览!$B44,宠物成长!$D$30:$E$129,2,FALSE)-宠物成长!$E$30)*宠物成长!$C$2/宠物成长!$C$3*(1+VLOOKUP(宠物属性点预览!E$2,宠物成长!$F$5:$K$25,3,FALSE)+0)</f>
        <v>317.10000000000002</v>
      </c>
      <c r="F44" s="9">
        <f>(宠物成长!$C$1+宠物成长!$C$2/宠物成长!$C$3*宠物成长!$E$30)*(1+VLOOKUP(宠物属性点预览!F$2,宠物成长!$F$4:$K$25,4,FALSE)+0)+(VLOOKUP(宠物属性点预览!$B44,宠物成长!$D$30:$E$129,2,FALSE)-宠物成长!$E$30)*宠物成长!$C$2/宠物成长!$C$3*(1+VLOOKUP(宠物属性点预览!F$2,宠物成长!$F$5:$K$25,3,FALSE)+0)</f>
        <v>403.90000000000003</v>
      </c>
      <c r="G44" s="9">
        <f>(宠物成长!$C$1+宠物成长!$C$2/宠物成长!$C$3*宠物成长!$E$30)*(1+VLOOKUP(宠物属性点预览!G$2,宠物成长!$F$4:$K$25,4,FALSE)+0)+(VLOOKUP(宠物属性点预览!$B44,宠物成长!$D$30:$E$129,2,FALSE)-宠物成长!$E$30)*宠物成长!$C$2/宠物成长!$C$3*(1+VLOOKUP(宠物属性点预览!G$2,宠物成长!$F$5:$K$25,3,FALSE)+0)</f>
        <v>523.59999999999991</v>
      </c>
      <c r="H44" s="9">
        <f>(宠物成长!$C$1+宠物成长!$C$2/宠物成长!$C$3*宠物成长!$E$30)*(1+VLOOKUP(宠物属性点预览!H$2,宠物成长!$F$4:$K$25,4,FALSE)+0)+(VLOOKUP(宠物属性点预览!$B44,宠物成长!$D$30:$E$129,2,FALSE)-宠物成长!$E$30)*宠物成长!$C$2/宠物成长!$C$3*(1+VLOOKUP(宠物属性点预览!H$2,宠物成长!$F$5:$K$25,3,FALSE)+0)</f>
        <v>692.9</v>
      </c>
      <c r="I44" s="9">
        <f>(宠物成长!$C$1+宠物成长!$C$2/宠物成长!$C$3*宠物成长!$E$30)*(1+VLOOKUP(宠物属性点预览!I$2,宠物成长!$F$4:$K$25,4,FALSE)+0)+(VLOOKUP(宠物属性点预览!$B44,宠物成长!$D$30:$E$129,2,FALSE)-宠物成长!$E$30)*宠物成长!$C$2/宠物成长!$C$3*(1+VLOOKUP(宠物属性点预览!I$2,宠物成长!$F$5:$K$25,3,FALSE)+0)</f>
        <v>918</v>
      </c>
      <c r="J44" s="9">
        <f>(宠物成长!$C$1+宠物成长!$C$2/宠物成长!$C$3*宠物成长!$E$30)*(1+VLOOKUP(宠物属性点预览!J$2,宠物成长!$F$4:$K$25,4,FALSE)+0)+(VLOOKUP(宠物属性点预览!$B44,宠物成长!$D$30:$E$129,2,FALSE)-宠物成长!$E$30)*宠物成长!$C$2/宠物成长!$C$3*(1+VLOOKUP(宠物属性点预览!J$2,宠物成长!$F$5:$K$25,3,FALSE)+0)</f>
        <v>1168.1296296296296</v>
      </c>
      <c r="K44" s="9">
        <f>(宠物成长!$C$1+宠物成长!$C$2/宠物成长!$C$3*宠物成长!$E$30)*(1+VLOOKUP(宠物属性点预览!K$2,宠物成长!$F$4:$K$25,4,FALSE)+0)+(VLOOKUP(宠物属性点预览!$B44,宠物成长!$D$30:$E$129,2,FALSE)-宠物成长!$E$30)*宠物成长!$C$2/宠物成长!$C$3*(1+VLOOKUP(宠物属性点预览!K$2,宠物成长!$F$5:$K$25,3,FALSE)+0)</f>
        <v>1421.1296296296296</v>
      </c>
      <c r="L44" s="9">
        <f>(宠物成长!$C$1+宠物成长!$C$2/宠物成长!$C$3*宠物成长!$E$30)*(1+VLOOKUP(宠物属性点预览!L$2,宠物成长!$F$4:$K$25,4,FALSE)+0)+(VLOOKUP(宠物属性点预览!$B44,宠物成长!$D$30:$E$129,2,FALSE)-宠物成长!$E$30)*宠物成长!$C$2/宠物成长!$C$3*(1+VLOOKUP(宠物属性点预览!L$2,宠物成长!$F$5:$K$25,3,FALSE)+0)</f>
        <v>1676.2242242242241</v>
      </c>
      <c r="M44" s="9">
        <f>(宠物成长!$C$1+宠物成长!$C$2/宠物成长!$C$3*宠物成长!$E$30)*(1+VLOOKUP(宠物属性点预览!M$2,宠物成长!$F$4:$K$25,4,FALSE)+0)+(VLOOKUP(宠物属性点预览!$B44,宠物成长!$D$30:$E$129,2,FALSE)-宠物成长!$E$30)*宠物成长!$C$2/宠物成长!$C$3*(1+VLOOKUP(宠物属性点预览!M$2,宠物成长!$F$5:$K$25,3,FALSE)+0)</f>
        <v>1932.9147004147003</v>
      </c>
      <c r="N44" s="9">
        <f>(宠物成长!$C$1+宠物成长!$C$2/宠物成长!$C$3*宠物成长!$E$30)*(1+VLOOKUP(宠物属性点预览!N$2,宠物成长!$F$4:$K$25,4,FALSE)+0)+(VLOOKUP(宠物属性点预览!$B44,宠物成长!$D$30:$E$129,2,FALSE)-宠物成长!$E$30)*宠物成长!$C$2/宠物成长!$C$3*(1+VLOOKUP(宠物属性点预览!N$2,宠物成长!$F$5:$K$25,3,FALSE)+0)</f>
        <v>2190.8615089253385</v>
      </c>
      <c r="O44" s="9">
        <f>(宠物成长!$C$1+宠物成长!$C$2/宠物成长!$C$3*宠物成长!$E$30)*(1+VLOOKUP(宠物属性点预览!O$2,宠物成长!$F$4:$K$25,4,FALSE)+0)+(VLOOKUP(宠物属性点预览!$B44,宠物成长!$D$30:$E$129,2,FALSE)-宠物成长!$E$30)*宠物成长!$C$2/宠物成长!$C$3*(1+VLOOKUP(宠物属性点预览!O$2,宠物成长!$F$5:$K$25,3,FALSE)+0)</f>
        <v>2449.8230473868766</v>
      </c>
      <c r="P44" s="9">
        <f>(宠物成长!$C$1+宠物成长!$C$2/宠物成长!$C$3*宠物成长!$E$30)*(1+VLOOKUP(宠物属性点预览!P$2,宠物成长!$F$4:$K$25,4,FALSE)+0)+(VLOOKUP(宠物属性点预览!$B44,宠物成长!$D$30:$E$129,2,FALSE)-宠物成长!$E$30)*宠物成长!$C$2/宠物成长!$C$3*(1+VLOOKUP(宠物属性点预览!P$2,宠物成长!$F$5:$K$25,3,FALSE)+0)</f>
        <v>2709.6212930009119</v>
      </c>
      <c r="Q44" s="9">
        <f>(宠物成长!$C$1+宠物成长!$C$2/宠物成长!$C$3*宠物成长!$E$30)*(1+VLOOKUP(宠物属性点预览!Q$2,宠物成长!$F$4:$K$25,4,FALSE)+0)+(VLOOKUP(宠物属性点预览!$B44,宠物成长!$D$30:$E$129,2,FALSE)-宠物成长!$E$30)*宠物成长!$C$2/宠物成长!$C$3*(1+VLOOKUP(宠物属性点预览!Q$2,宠物成长!$F$5:$K$25,3,FALSE)+0)</f>
        <v>2970.1212930009119</v>
      </c>
      <c r="R44" s="9">
        <f>(宠物成长!$C$1+宠物成长!$C$2/宠物成长!$C$3*宠物成长!$E$30)*(1+VLOOKUP(宠物属性点预览!R$2,宠物成长!$F$4:$K$25,4,FALSE)+0)+(VLOOKUP(宠物属性点预览!$B44,宠物成长!$D$30:$E$129,2,FALSE)-宠物成长!$E$30)*宠物成长!$C$2/宠物成长!$C$3*(1+VLOOKUP(宠物属性点预览!R$2,宠物成长!$F$5:$K$25,3,FALSE)+0)</f>
        <v>3231.218307926285</v>
      </c>
      <c r="S44" s="9">
        <f>(宠物成长!$C$1+宠物成长!$C$2/宠物成长!$C$3*宠物成长!$E$30)*(1+VLOOKUP(宠物属性点预览!S$2,宠物成长!$F$4:$K$25,4,FALSE)+0)+(VLOOKUP(宠物属性点预览!$B44,宠物成长!$D$30:$E$129,2,FALSE)-宠物成长!$E$30)*宠物成长!$C$2/宠物成长!$C$3*(1+VLOOKUP(宠物属性点预览!S$2,宠物成长!$F$5:$K$25,3,FALSE)+0)</f>
        <v>3492.8294190373958</v>
      </c>
      <c r="T44" s="83">
        <f t="shared" ref="T44:T47" si="9">K44</f>
        <v>1421.1296296296296</v>
      </c>
      <c r="V44" s="9">
        <f>(宠物成长!$C$1+宠物成长!$C$2/宠物成长!$C$3*宠物成长!$E$30)*(1+宠物成长!$I$13+VLOOKUP(宠物属性点预览!V$2,宠物成长!$O$5:$R$10,3,FALSE))+(VLOOKUP(宠物属性点预览!$B44,宠物成长!$D$30:$E$129,2,FALSE)-宠物成长!$E$30)*宠物成长!$C$2/宠物成长!$C$3*(1+宠物成长!$H$13+VLOOKUP(宠物属性点预览!V$2,宠物成长!$O$5:$R$10,2,FALSE))</f>
        <v>1421.1296296296296</v>
      </c>
      <c r="W44" s="9">
        <f>(宠物成长!$C$1+宠物成长!$C$2/宠物成长!$C$3*宠物成长!$E$30)*(1+宠物成长!$I$13+VLOOKUP(宠物属性点预览!W$2,宠物成长!$O$5:$R$10,3,FALSE))+(VLOOKUP(宠物属性点预览!$B44,宠物成长!$D$30:$E$129,2,FALSE)-宠物成长!$E$30)*宠物成长!$C$2/宠物成长!$C$3*(1+宠物成长!$H$13+VLOOKUP(宠物属性点预览!W$2,宠物成长!$O$5:$R$10,2,FALSE))</f>
        <v>1772.1296296296296</v>
      </c>
      <c r="X44" s="9">
        <f>(宠物成长!$C$1+宠物成长!$C$2/宠物成长!$C$3*宠物成长!$E$30)*(1+宠物成长!$I$13+VLOOKUP(宠物属性点预览!X$2,宠物成长!$O$5:$R$10,3,FALSE))+(VLOOKUP(宠物属性点预览!$B44,宠物成长!$D$30:$E$129,2,FALSE)-宠物成长!$E$30)*宠物成长!$C$2/宠物成长!$C$3*(1+宠物成长!$H$13+VLOOKUP(宠物属性点预览!X$2,宠物成长!$O$5:$R$10,2,FALSE))</f>
        <v>2185.1296296296296</v>
      </c>
      <c r="Y44" s="9">
        <f>(宠物成长!$C$1+宠物成长!$C$2/宠物成长!$C$3*宠物成长!$E$30)*(1+宠物成长!$I$13+VLOOKUP(宠物属性点预览!Y$2,宠物成长!$O$5:$R$10,3,FALSE))+(VLOOKUP(宠物属性点预览!$B44,宠物成长!$D$30:$E$129,2,FALSE)-宠物成长!$E$30)*宠物成长!$C$2/宠物成长!$C$3*(1+宠物成长!$H$13+VLOOKUP(宠物属性点预览!Y$2,宠物成长!$O$5:$R$10,2,FALSE))</f>
        <v>2660.1296296296296</v>
      </c>
      <c r="Z44" s="9">
        <f>(宠物成长!$C$1+宠物成长!$C$2/宠物成长!$C$3*宠物成长!$E$30)*(1+宠物成长!$I$13+VLOOKUP(宠物属性点预览!Z$2,宠物成长!$O$5:$R$10,3,FALSE))+(VLOOKUP(宠物属性点预览!$B44,宠物成长!$D$30:$E$129,2,FALSE)-宠物成长!$E$30)*宠物成长!$C$2/宠物成长!$C$3*(1+宠物成长!$H$13+VLOOKUP(宠物属性点预览!Z$2,宠物成长!$O$5:$R$10,2,FALSE))</f>
        <v>3135.1296296296296</v>
      </c>
    </row>
    <row r="45" spans="2:31" x14ac:dyDescent="0.15">
      <c r="B45" s="1">
        <v>43</v>
      </c>
      <c r="C45" s="9">
        <f>(宠物成长!$C$1+宠物成长!$C$2/宠物成长!$C$3*宠物成长!$E$30)*(1+VLOOKUP(宠物属性点预览!C$2,宠物成长!$F$4:$K$25,4,FALSE)+0)+(VLOOKUP(宠物属性点预览!$B45,宠物成长!$D$30:$E$129,2,FALSE)-宠物成长!$E$30)*宠物成长!$C$2/宠物成长!$C$3*(1+VLOOKUP(宠物属性点预览!C$2,宠物成长!$F$5:$K$25,3,FALSE)+0)</f>
        <v>209</v>
      </c>
      <c r="D45" s="9">
        <f>(宠物成长!$C$1+宠物成长!$C$2/宠物成长!$C$3*宠物成长!$E$30)*(1+VLOOKUP(宠物属性点预览!D$2,宠物成长!$F$4:$K$25,4,FALSE)+0)+(VLOOKUP(宠物属性点预览!$B45,宠物成长!$D$30:$E$129,2,FALSE)-宠物成长!$E$30)*宠物成长!$C$2/宠物成长!$C$3*(1+VLOOKUP(宠物属性点预览!D$2,宠物成长!$F$5:$K$25,3,FALSE)+0)</f>
        <v>255.5</v>
      </c>
      <c r="E45" s="9">
        <f>(宠物成长!$C$1+宠物成长!$C$2/宠物成长!$C$3*宠物成长!$E$30)*(1+VLOOKUP(宠物属性点预览!E$2,宠物成长!$F$4:$K$25,4,FALSE)+0)+(VLOOKUP(宠物属性点预览!$B45,宠物成长!$D$30:$E$129,2,FALSE)-宠物成长!$E$30)*宠物成长!$C$2/宠物成长!$C$3*(1+VLOOKUP(宠物属性点预览!E$2,宠物成长!$F$5:$K$25,3,FALSE)+0)</f>
        <v>320.60000000000002</v>
      </c>
      <c r="F45" s="9">
        <f>(宠物成长!$C$1+宠物成长!$C$2/宠物成长!$C$3*宠物成长!$E$30)*(1+VLOOKUP(宠物属性点预览!F$2,宠物成长!$F$4:$K$25,4,FALSE)+0)+(VLOOKUP(宠物属性点预览!$B45,宠物成长!$D$30:$E$129,2,FALSE)-宠物成长!$E$30)*宠物成长!$C$2/宠物成长!$C$3*(1+VLOOKUP(宠物属性点预览!F$2,宠物成长!$F$5:$K$25,3,FALSE)+0)</f>
        <v>407.40000000000003</v>
      </c>
      <c r="G45" s="9">
        <f>(宠物成长!$C$1+宠物成长!$C$2/宠物成长!$C$3*宠物成长!$E$30)*(1+VLOOKUP(宠物属性点预览!G$2,宠物成长!$F$4:$K$25,4,FALSE)+0)+(VLOOKUP(宠物属性点预览!$B45,宠物成长!$D$30:$E$129,2,FALSE)-宠物成长!$E$30)*宠物成长!$C$2/宠物成长!$C$3*(1+VLOOKUP(宠物属性点预览!G$2,宠物成长!$F$5:$K$25,3,FALSE)+0)</f>
        <v>527.59999999999991</v>
      </c>
      <c r="H45" s="9">
        <f>(宠物成长!$C$1+宠物成长!$C$2/宠物成长!$C$3*宠物成长!$E$30)*(1+VLOOKUP(宠物属性点预览!H$2,宠物成长!$F$4:$K$25,4,FALSE)+0)+(VLOOKUP(宠物属性点预览!$B45,宠物成长!$D$30:$E$129,2,FALSE)-宠物成长!$E$30)*宠物成长!$C$2/宠物成长!$C$3*(1+VLOOKUP(宠物属性点预览!H$2,宠物成长!$F$5:$K$25,3,FALSE)+0)</f>
        <v>697.4</v>
      </c>
      <c r="I45" s="9">
        <f>(宠物成长!$C$1+宠物成长!$C$2/宠物成长!$C$3*宠物成长!$E$30)*(1+VLOOKUP(宠物属性点预览!I$2,宠物成长!$F$4:$K$25,4,FALSE)+0)+(VLOOKUP(宠物属性点预览!$B45,宠物成长!$D$30:$E$129,2,FALSE)-宠物成长!$E$30)*宠物成长!$C$2/宠物成长!$C$3*(1+VLOOKUP(宠物属性点预览!I$2,宠物成长!$F$5:$K$25,3,FALSE)+0)</f>
        <v>923</v>
      </c>
      <c r="J45" s="9">
        <f>(宠物成长!$C$1+宠物成长!$C$2/宠物成长!$C$3*宠物成长!$E$30)*(1+VLOOKUP(宠物属性点预览!J$2,宠物成长!$F$4:$K$25,4,FALSE)+0)+(VLOOKUP(宠物属性点预览!$B45,宠物成长!$D$30:$E$129,2,FALSE)-宠物成长!$E$30)*宠物成长!$C$2/宠物成长!$C$3*(1+VLOOKUP(宠物属性点预览!J$2,宠物成长!$F$5:$K$25,3,FALSE)+0)</f>
        <v>1173.6296296296296</v>
      </c>
      <c r="K45" s="9">
        <f>(宠物成长!$C$1+宠物成长!$C$2/宠物成长!$C$3*宠物成长!$E$30)*(1+VLOOKUP(宠物属性点预览!K$2,宠物成长!$F$4:$K$25,4,FALSE)+0)+(VLOOKUP(宠物属性点预览!$B45,宠物成长!$D$30:$E$129,2,FALSE)-宠物成长!$E$30)*宠物成长!$C$2/宠物成长!$C$3*(1+VLOOKUP(宠物属性点预览!K$2,宠物成长!$F$5:$K$25,3,FALSE)+0)</f>
        <v>1427.1296296296296</v>
      </c>
      <c r="L45" s="9">
        <f>(宠物成长!$C$1+宠物成长!$C$2/宠物成长!$C$3*宠物成长!$E$30)*(1+VLOOKUP(宠物属性点预览!L$2,宠物成长!$F$4:$K$25,4,FALSE)+0)+(VLOOKUP(宠物属性点预览!$B45,宠物成长!$D$30:$E$129,2,FALSE)-宠物成长!$E$30)*宠物成长!$C$2/宠物成长!$C$3*(1+VLOOKUP(宠物属性点预览!L$2,宠物成长!$F$5:$K$25,3,FALSE)+0)</f>
        <v>1682.7242242242241</v>
      </c>
      <c r="M45" s="9">
        <f>(宠物成长!$C$1+宠物成长!$C$2/宠物成长!$C$3*宠物成长!$E$30)*(1+VLOOKUP(宠物属性点预览!M$2,宠物成长!$F$4:$K$25,4,FALSE)+0)+(VLOOKUP(宠物属性点预览!$B45,宠物成长!$D$30:$E$129,2,FALSE)-宠物成长!$E$30)*宠物成长!$C$2/宠物成长!$C$3*(1+VLOOKUP(宠物属性点预览!M$2,宠物成长!$F$5:$K$25,3,FALSE)+0)</f>
        <v>1939.9147004147003</v>
      </c>
      <c r="N45" s="9">
        <f>(宠物成长!$C$1+宠物成长!$C$2/宠物成长!$C$3*宠物成长!$E$30)*(1+VLOOKUP(宠物属性点预览!N$2,宠物成长!$F$4:$K$25,4,FALSE)+0)+(VLOOKUP(宠物属性点预览!$B45,宠物成长!$D$30:$E$129,2,FALSE)-宠物成长!$E$30)*宠物成长!$C$2/宠物成长!$C$3*(1+VLOOKUP(宠物属性点预览!N$2,宠物成长!$F$5:$K$25,3,FALSE)+0)</f>
        <v>2198.3615089253385</v>
      </c>
      <c r="O45" s="9">
        <f>(宠物成长!$C$1+宠物成长!$C$2/宠物成长!$C$3*宠物成长!$E$30)*(1+VLOOKUP(宠物属性点预览!O$2,宠物成长!$F$4:$K$25,4,FALSE)+0)+(VLOOKUP(宠物属性点预览!$B45,宠物成长!$D$30:$E$129,2,FALSE)-宠物成长!$E$30)*宠物成长!$C$2/宠物成长!$C$3*(1+VLOOKUP(宠物属性点预览!O$2,宠物成长!$F$5:$K$25,3,FALSE)+0)</f>
        <v>2457.8230473868766</v>
      </c>
      <c r="P45" s="9">
        <f>(宠物成长!$C$1+宠物成长!$C$2/宠物成长!$C$3*宠物成长!$E$30)*(1+VLOOKUP(宠物属性点预览!P$2,宠物成长!$F$4:$K$25,4,FALSE)+0)+(VLOOKUP(宠物属性点预览!$B45,宠物成长!$D$30:$E$129,2,FALSE)-宠物成长!$E$30)*宠物成长!$C$2/宠物成长!$C$3*(1+VLOOKUP(宠物属性点预览!P$2,宠物成长!$F$5:$K$25,3,FALSE)+0)</f>
        <v>2718.1212930009119</v>
      </c>
      <c r="Q45" s="9">
        <f>(宠物成长!$C$1+宠物成长!$C$2/宠物成长!$C$3*宠物成长!$E$30)*(1+VLOOKUP(宠物属性点预览!Q$2,宠物成长!$F$4:$K$25,4,FALSE)+0)+(VLOOKUP(宠物属性点预览!$B45,宠物成长!$D$30:$E$129,2,FALSE)-宠物成长!$E$30)*宠物成长!$C$2/宠物成长!$C$3*(1+VLOOKUP(宠物属性点预览!Q$2,宠物成长!$F$5:$K$25,3,FALSE)+0)</f>
        <v>2979.1212930009119</v>
      </c>
      <c r="R45" s="9">
        <f>(宠物成长!$C$1+宠物成长!$C$2/宠物成长!$C$3*宠物成长!$E$30)*(1+VLOOKUP(宠物属性点预览!R$2,宠物成长!$F$4:$K$25,4,FALSE)+0)+(VLOOKUP(宠物属性点预览!$B45,宠物成长!$D$30:$E$129,2,FALSE)-宠物成长!$E$30)*宠物成长!$C$2/宠物成长!$C$3*(1+VLOOKUP(宠物属性点预览!R$2,宠物成长!$F$5:$K$25,3,FALSE)+0)</f>
        <v>3240.718307926285</v>
      </c>
      <c r="S45" s="9">
        <f>(宠物成长!$C$1+宠物成长!$C$2/宠物成长!$C$3*宠物成长!$E$30)*(1+VLOOKUP(宠物属性点预览!S$2,宠物成长!$F$4:$K$25,4,FALSE)+0)+(VLOOKUP(宠物属性点预览!$B45,宠物成长!$D$30:$E$129,2,FALSE)-宠物成长!$E$30)*宠物成长!$C$2/宠物成长!$C$3*(1+VLOOKUP(宠物属性点预览!S$2,宠物成长!$F$5:$K$25,3,FALSE)+0)</f>
        <v>3502.8294190373958</v>
      </c>
      <c r="T45" s="83">
        <f t="shared" si="9"/>
        <v>1427.1296296296296</v>
      </c>
      <c r="V45" s="9">
        <f>(宠物成长!$C$1+宠物成长!$C$2/宠物成长!$C$3*宠物成长!$E$30)*(1+宠物成长!$I$13+VLOOKUP(宠物属性点预览!V$2,宠物成长!$O$5:$R$10,3,FALSE))+(VLOOKUP(宠物属性点预览!$B45,宠物成长!$D$30:$E$129,2,FALSE)-宠物成长!$E$30)*宠物成长!$C$2/宠物成长!$C$3*(1+宠物成长!$H$13+VLOOKUP(宠物属性点预览!V$2,宠物成长!$O$5:$R$10,2,FALSE))</f>
        <v>1427.1296296296296</v>
      </c>
      <c r="W45" s="9">
        <f>(宠物成长!$C$1+宠物成长!$C$2/宠物成长!$C$3*宠物成长!$E$30)*(1+宠物成长!$I$13+VLOOKUP(宠物属性点预览!W$2,宠物成长!$O$5:$R$10,3,FALSE))+(VLOOKUP(宠物属性点预览!$B45,宠物成长!$D$30:$E$129,2,FALSE)-宠物成长!$E$30)*宠物成长!$C$2/宠物成长!$C$3*(1+宠物成长!$H$13+VLOOKUP(宠物属性点预览!W$2,宠物成长!$O$5:$R$10,2,FALSE))</f>
        <v>1779.1296296296296</v>
      </c>
      <c r="X45" s="9">
        <f>(宠物成长!$C$1+宠物成长!$C$2/宠物成长!$C$3*宠物成长!$E$30)*(1+宠物成长!$I$13+VLOOKUP(宠物属性点预览!X$2,宠物成长!$O$5:$R$10,3,FALSE))+(VLOOKUP(宠物属性点预览!$B45,宠物成长!$D$30:$E$129,2,FALSE)-宠物成长!$E$30)*宠物成长!$C$2/宠物成长!$C$3*(1+宠物成长!$H$13+VLOOKUP(宠物属性点预览!X$2,宠物成长!$O$5:$R$10,2,FALSE))</f>
        <v>2193.1296296296296</v>
      </c>
      <c r="Y45" s="9">
        <f>(宠物成长!$C$1+宠物成长!$C$2/宠物成长!$C$3*宠物成长!$E$30)*(1+宠物成长!$I$13+VLOOKUP(宠物属性点预览!Y$2,宠物成长!$O$5:$R$10,3,FALSE))+(VLOOKUP(宠物属性点预览!$B45,宠物成长!$D$30:$E$129,2,FALSE)-宠物成长!$E$30)*宠物成长!$C$2/宠物成长!$C$3*(1+宠物成长!$H$13+VLOOKUP(宠物属性点预览!Y$2,宠物成长!$O$5:$R$10,2,FALSE))</f>
        <v>2669.1296296296296</v>
      </c>
      <c r="Z45" s="9">
        <f>(宠物成长!$C$1+宠物成长!$C$2/宠物成长!$C$3*宠物成长!$E$30)*(1+宠物成长!$I$13+VLOOKUP(宠物属性点预览!Z$2,宠物成长!$O$5:$R$10,3,FALSE))+(VLOOKUP(宠物属性点预览!$B45,宠物成长!$D$30:$E$129,2,FALSE)-宠物成长!$E$30)*宠物成长!$C$2/宠物成长!$C$3*(1+宠物成长!$H$13+VLOOKUP(宠物属性点预览!Z$2,宠物成长!$O$5:$R$10,2,FALSE))</f>
        <v>3145.1296296296296</v>
      </c>
    </row>
    <row r="46" spans="2:31" x14ac:dyDescent="0.15">
      <c r="B46" s="1">
        <v>44</v>
      </c>
      <c r="C46" s="9">
        <f>(宠物成长!$C$1+宠物成长!$C$2/宠物成长!$C$3*宠物成长!$E$30)*(1+VLOOKUP(宠物属性点预览!C$2,宠物成长!$F$4:$K$25,4,FALSE)+0)+(VLOOKUP(宠物属性点预览!$B46,宠物成长!$D$30:$E$129,2,FALSE)-宠物成长!$E$30)*宠物成长!$C$2/宠物成长!$C$3*(1+VLOOKUP(宠物属性点预览!C$2,宠物成长!$F$5:$K$25,3,FALSE)+0)</f>
        <v>212.5</v>
      </c>
      <c r="D46" s="9">
        <f>(宠物成长!$C$1+宠物成长!$C$2/宠物成长!$C$3*宠物成长!$E$30)*(1+VLOOKUP(宠物属性点预览!D$2,宠物成长!$F$4:$K$25,4,FALSE)+0)+(VLOOKUP(宠物属性点预览!$B46,宠物成长!$D$30:$E$129,2,FALSE)-宠物成长!$E$30)*宠物成长!$C$2/宠物成长!$C$3*(1+VLOOKUP(宠物属性点预览!D$2,宠物成长!$F$5:$K$25,3,FALSE)+0)</f>
        <v>259</v>
      </c>
      <c r="E46" s="9">
        <f>(宠物成长!$C$1+宠物成长!$C$2/宠物成长!$C$3*宠物成长!$E$30)*(1+VLOOKUP(宠物属性点预览!E$2,宠物成长!$F$4:$K$25,4,FALSE)+0)+(VLOOKUP(宠物属性点预览!$B46,宠物成长!$D$30:$E$129,2,FALSE)-宠物成长!$E$30)*宠物成长!$C$2/宠物成长!$C$3*(1+VLOOKUP(宠物属性点预览!E$2,宠物成长!$F$5:$K$25,3,FALSE)+0)</f>
        <v>324.10000000000002</v>
      </c>
      <c r="F46" s="9">
        <f>(宠物成长!$C$1+宠物成长!$C$2/宠物成长!$C$3*宠物成长!$E$30)*(1+VLOOKUP(宠物属性点预览!F$2,宠物成长!$F$4:$K$25,4,FALSE)+0)+(VLOOKUP(宠物属性点预览!$B46,宠物成长!$D$30:$E$129,2,FALSE)-宠物成长!$E$30)*宠物成长!$C$2/宠物成长!$C$3*(1+VLOOKUP(宠物属性点预览!F$2,宠物成长!$F$5:$K$25,3,FALSE)+0)</f>
        <v>410.90000000000003</v>
      </c>
      <c r="G46" s="9">
        <f>(宠物成长!$C$1+宠物成长!$C$2/宠物成长!$C$3*宠物成长!$E$30)*(1+VLOOKUP(宠物属性点预览!G$2,宠物成长!$F$4:$K$25,4,FALSE)+0)+(VLOOKUP(宠物属性点预览!$B46,宠物成长!$D$30:$E$129,2,FALSE)-宠物成长!$E$30)*宠物成长!$C$2/宠物成长!$C$3*(1+VLOOKUP(宠物属性点预览!G$2,宠物成长!$F$5:$K$25,3,FALSE)+0)</f>
        <v>531.59999999999991</v>
      </c>
      <c r="H46" s="9">
        <f>(宠物成长!$C$1+宠物成长!$C$2/宠物成长!$C$3*宠物成长!$E$30)*(1+VLOOKUP(宠物属性点预览!H$2,宠物成长!$F$4:$K$25,4,FALSE)+0)+(VLOOKUP(宠物属性点预览!$B46,宠物成长!$D$30:$E$129,2,FALSE)-宠物成长!$E$30)*宠物成长!$C$2/宠物成长!$C$3*(1+VLOOKUP(宠物属性点预览!H$2,宠物成长!$F$5:$K$25,3,FALSE)+0)</f>
        <v>701.9</v>
      </c>
      <c r="I46" s="9">
        <f>(宠物成长!$C$1+宠物成长!$C$2/宠物成长!$C$3*宠物成长!$E$30)*(1+VLOOKUP(宠物属性点预览!I$2,宠物成长!$F$4:$K$25,4,FALSE)+0)+(VLOOKUP(宠物属性点预览!$B46,宠物成长!$D$30:$E$129,2,FALSE)-宠物成长!$E$30)*宠物成长!$C$2/宠物成长!$C$3*(1+VLOOKUP(宠物属性点预览!I$2,宠物成长!$F$5:$K$25,3,FALSE)+0)</f>
        <v>928</v>
      </c>
      <c r="J46" s="9">
        <f>(宠物成长!$C$1+宠物成长!$C$2/宠物成长!$C$3*宠物成长!$E$30)*(1+VLOOKUP(宠物属性点预览!J$2,宠物成长!$F$4:$K$25,4,FALSE)+0)+(VLOOKUP(宠物属性点预览!$B46,宠物成长!$D$30:$E$129,2,FALSE)-宠物成长!$E$30)*宠物成长!$C$2/宠物成长!$C$3*(1+VLOOKUP(宠物属性点预览!J$2,宠物成长!$F$5:$K$25,3,FALSE)+0)</f>
        <v>1179.1296296296296</v>
      </c>
      <c r="K46" s="9">
        <f>(宠物成长!$C$1+宠物成长!$C$2/宠物成长!$C$3*宠物成长!$E$30)*(1+VLOOKUP(宠物属性点预览!K$2,宠物成长!$F$4:$K$25,4,FALSE)+0)+(VLOOKUP(宠物属性点预览!$B46,宠物成长!$D$30:$E$129,2,FALSE)-宠物成长!$E$30)*宠物成长!$C$2/宠物成长!$C$3*(1+VLOOKUP(宠物属性点预览!K$2,宠物成长!$F$5:$K$25,3,FALSE)+0)</f>
        <v>1433.1296296296296</v>
      </c>
      <c r="L46" s="9">
        <f>(宠物成长!$C$1+宠物成长!$C$2/宠物成长!$C$3*宠物成长!$E$30)*(1+VLOOKUP(宠物属性点预览!L$2,宠物成长!$F$4:$K$25,4,FALSE)+0)+(VLOOKUP(宠物属性点预览!$B46,宠物成长!$D$30:$E$129,2,FALSE)-宠物成长!$E$30)*宠物成长!$C$2/宠物成长!$C$3*(1+VLOOKUP(宠物属性点预览!L$2,宠物成长!$F$5:$K$25,3,FALSE)+0)</f>
        <v>1689.2242242242241</v>
      </c>
      <c r="M46" s="9">
        <f>(宠物成长!$C$1+宠物成长!$C$2/宠物成长!$C$3*宠物成长!$E$30)*(1+VLOOKUP(宠物属性点预览!M$2,宠物成长!$F$4:$K$25,4,FALSE)+0)+(VLOOKUP(宠物属性点预览!$B46,宠物成长!$D$30:$E$129,2,FALSE)-宠物成长!$E$30)*宠物成长!$C$2/宠物成长!$C$3*(1+VLOOKUP(宠物属性点预览!M$2,宠物成长!$F$5:$K$25,3,FALSE)+0)</f>
        <v>1946.9147004147003</v>
      </c>
      <c r="N46" s="9">
        <f>(宠物成长!$C$1+宠物成长!$C$2/宠物成长!$C$3*宠物成长!$E$30)*(1+VLOOKUP(宠物属性点预览!N$2,宠物成长!$F$4:$K$25,4,FALSE)+0)+(VLOOKUP(宠物属性点预览!$B46,宠物成长!$D$30:$E$129,2,FALSE)-宠物成长!$E$30)*宠物成长!$C$2/宠物成长!$C$3*(1+VLOOKUP(宠物属性点预览!N$2,宠物成长!$F$5:$K$25,3,FALSE)+0)</f>
        <v>2205.8615089253385</v>
      </c>
      <c r="O46" s="9">
        <f>(宠物成长!$C$1+宠物成长!$C$2/宠物成长!$C$3*宠物成长!$E$30)*(1+VLOOKUP(宠物属性点预览!O$2,宠物成长!$F$4:$K$25,4,FALSE)+0)+(VLOOKUP(宠物属性点预览!$B46,宠物成长!$D$30:$E$129,2,FALSE)-宠物成长!$E$30)*宠物成长!$C$2/宠物成长!$C$3*(1+VLOOKUP(宠物属性点预览!O$2,宠物成长!$F$5:$K$25,3,FALSE)+0)</f>
        <v>2465.8230473868766</v>
      </c>
      <c r="P46" s="9">
        <f>(宠物成长!$C$1+宠物成长!$C$2/宠物成长!$C$3*宠物成长!$E$30)*(1+VLOOKUP(宠物属性点预览!P$2,宠物成长!$F$4:$K$25,4,FALSE)+0)+(VLOOKUP(宠物属性点预览!$B46,宠物成长!$D$30:$E$129,2,FALSE)-宠物成长!$E$30)*宠物成长!$C$2/宠物成长!$C$3*(1+VLOOKUP(宠物属性点预览!P$2,宠物成长!$F$5:$K$25,3,FALSE)+0)</f>
        <v>2726.6212930009119</v>
      </c>
      <c r="Q46" s="9">
        <f>(宠物成长!$C$1+宠物成长!$C$2/宠物成长!$C$3*宠物成长!$E$30)*(1+VLOOKUP(宠物属性点预览!Q$2,宠物成长!$F$4:$K$25,4,FALSE)+0)+(VLOOKUP(宠物属性点预览!$B46,宠物成长!$D$30:$E$129,2,FALSE)-宠物成长!$E$30)*宠物成长!$C$2/宠物成长!$C$3*(1+VLOOKUP(宠物属性点预览!Q$2,宠物成长!$F$5:$K$25,3,FALSE)+0)</f>
        <v>2988.1212930009119</v>
      </c>
      <c r="R46" s="9">
        <f>(宠物成长!$C$1+宠物成长!$C$2/宠物成长!$C$3*宠物成长!$E$30)*(1+VLOOKUP(宠物属性点预览!R$2,宠物成长!$F$4:$K$25,4,FALSE)+0)+(VLOOKUP(宠物属性点预览!$B46,宠物成长!$D$30:$E$129,2,FALSE)-宠物成长!$E$30)*宠物成长!$C$2/宠物成长!$C$3*(1+VLOOKUP(宠物属性点预览!R$2,宠物成长!$F$5:$K$25,3,FALSE)+0)</f>
        <v>3250.218307926285</v>
      </c>
      <c r="S46" s="9">
        <f>(宠物成长!$C$1+宠物成长!$C$2/宠物成长!$C$3*宠物成长!$E$30)*(1+VLOOKUP(宠物属性点预览!S$2,宠物成长!$F$4:$K$25,4,FALSE)+0)+(VLOOKUP(宠物属性点预览!$B46,宠物成长!$D$30:$E$129,2,FALSE)-宠物成长!$E$30)*宠物成长!$C$2/宠物成长!$C$3*(1+VLOOKUP(宠物属性点预览!S$2,宠物成长!$F$5:$K$25,3,FALSE)+0)</f>
        <v>3512.8294190373958</v>
      </c>
      <c r="T46" s="83">
        <f t="shared" si="9"/>
        <v>1433.1296296296296</v>
      </c>
      <c r="V46" s="9">
        <f>(宠物成长!$C$1+宠物成长!$C$2/宠物成长!$C$3*宠物成长!$E$30)*(1+宠物成长!$I$13+VLOOKUP(宠物属性点预览!V$2,宠物成长!$O$5:$R$10,3,FALSE))+(VLOOKUP(宠物属性点预览!$B46,宠物成长!$D$30:$E$129,2,FALSE)-宠物成长!$E$30)*宠物成长!$C$2/宠物成长!$C$3*(1+宠物成长!$H$13+VLOOKUP(宠物属性点预览!V$2,宠物成长!$O$5:$R$10,2,FALSE))</f>
        <v>1433.1296296296296</v>
      </c>
      <c r="W46" s="9">
        <f>(宠物成长!$C$1+宠物成长!$C$2/宠物成长!$C$3*宠物成长!$E$30)*(1+宠物成长!$I$13+VLOOKUP(宠物属性点预览!W$2,宠物成长!$O$5:$R$10,3,FALSE))+(VLOOKUP(宠物属性点预览!$B46,宠物成长!$D$30:$E$129,2,FALSE)-宠物成长!$E$30)*宠物成长!$C$2/宠物成长!$C$3*(1+宠物成长!$H$13+VLOOKUP(宠物属性点预览!W$2,宠物成长!$O$5:$R$10,2,FALSE))</f>
        <v>1786.1296296296296</v>
      </c>
      <c r="X46" s="9">
        <f>(宠物成长!$C$1+宠物成长!$C$2/宠物成长!$C$3*宠物成长!$E$30)*(1+宠物成长!$I$13+VLOOKUP(宠物属性点预览!X$2,宠物成长!$O$5:$R$10,3,FALSE))+(VLOOKUP(宠物属性点预览!$B46,宠物成长!$D$30:$E$129,2,FALSE)-宠物成长!$E$30)*宠物成长!$C$2/宠物成长!$C$3*(1+宠物成长!$H$13+VLOOKUP(宠物属性点预览!X$2,宠物成长!$O$5:$R$10,2,FALSE))</f>
        <v>2201.1296296296296</v>
      </c>
      <c r="Y46" s="9">
        <f>(宠物成长!$C$1+宠物成长!$C$2/宠物成长!$C$3*宠物成长!$E$30)*(1+宠物成长!$I$13+VLOOKUP(宠物属性点预览!Y$2,宠物成长!$O$5:$R$10,3,FALSE))+(VLOOKUP(宠物属性点预览!$B46,宠物成长!$D$30:$E$129,2,FALSE)-宠物成长!$E$30)*宠物成长!$C$2/宠物成长!$C$3*(1+宠物成长!$H$13+VLOOKUP(宠物属性点预览!Y$2,宠物成长!$O$5:$R$10,2,FALSE))</f>
        <v>2678.1296296296296</v>
      </c>
      <c r="Z46" s="9">
        <f>(宠物成长!$C$1+宠物成长!$C$2/宠物成长!$C$3*宠物成长!$E$30)*(1+宠物成长!$I$13+VLOOKUP(宠物属性点预览!Z$2,宠物成长!$O$5:$R$10,3,FALSE))+(VLOOKUP(宠物属性点预览!$B46,宠物成长!$D$30:$E$129,2,FALSE)-宠物成长!$E$30)*宠物成长!$C$2/宠物成长!$C$3*(1+宠物成长!$H$13+VLOOKUP(宠物属性点预览!Z$2,宠物成长!$O$5:$R$10,2,FALSE))</f>
        <v>3155.1296296296296</v>
      </c>
    </row>
    <row r="47" spans="2:31" x14ac:dyDescent="0.15">
      <c r="B47" s="1">
        <v>45</v>
      </c>
      <c r="C47" s="9">
        <f>(宠物成长!$C$1+宠物成长!$C$2/宠物成长!$C$3*宠物成长!$E$30)*(1+VLOOKUP(宠物属性点预览!C$2,宠物成长!$F$4:$K$25,4,FALSE)+0)+(VLOOKUP(宠物属性点预览!$B47,宠物成长!$D$30:$E$129,2,FALSE)-宠物成长!$E$30)*宠物成长!$C$2/宠物成长!$C$3*(1+VLOOKUP(宠物属性点预览!C$2,宠物成长!$F$5:$K$25,3,FALSE)+0)</f>
        <v>216</v>
      </c>
      <c r="D47" s="9">
        <f>(宠物成长!$C$1+宠物成长!$C$2/宠物成长!$C$3*宠物成长!$E$30)*(1+VLOOKUP(宠物属性点预览!D$2,宠物成长!$F$4:$K$25,4,FALSE)+0)+(VLOOKUP(宠物属性点预览!$B47,宠物成长!$D$30:$E$129,2,FALSE)-宠物成长!$E$30)*宠物成长!$C$2/宠物成长!$C$3*(1+VLOOKUP(宠物属性点预览!D$2,宠物成长!$F$5:$K$25,3,FALSE)+0)</f>
        <v>262.5</v>
      </c>
      <c r="E47" s="9">
        <f>(宠物成长!$C$1+宠物成长!$C$2/宠物成长!$C$3*宠物成长!$E$30)*(1+VLOOKUP(宠物属性点预览!E$2,宠物成长!$F$4:$K$25,4,FALSE)+0)+(VLOOKUP(宠物属性点预览!$B47,宠物成长!$D$30:$E$129,2,FALSE)-宠物成长!$E$30)*宠物成长!$C$2/宠物成长!$C$3*(1+VLOOKUP(宠物属性点预览!E$2,宠物成长!$F$5:$K$25,3,FALSE)+0)</f>
        <v>327.60000000000002</v>
      </c>
      <c r="F47" s="9">
        <f>(宠物成长!$C$1+宠物成长!$C$2/宠物成长!$C$3*宠物成长!$E$30)*(1+VLOOKUP(宠物属性点预览!F$2,宠物成长!$F$4:$K$25,4,FALSE)+0)+(VLOOKUP(宠物属性点预览!$B47,宠物成长!$D$30:$E$129,2,FALSE)-宠物成长!$E$30)*宠物成长!$C$2/宠物成长!$C$3*(1+VLOOKUP(宠物属性点预览!F$2,宠物成长!$F$5:$K$25,3,FALSE)+0)</f>
        <v>414.40000000000003</v>
      </c>
      <c r="G47" s="9">
        <f>(宠物成长!$C$1+宠物成长!$C$2/宠物成长!$C$3*宠物成长!$E$30)*(1+VLOOKUP(宠物属性点预览!G$2,宠物成长!$F$4:$K$25,4,FALSE)+0)+(VLOOKUP(宠物属性点预览!$B47,宠物成长!$D$30:$E$129,2,FALSE)-宠物成长!$E$30)*宠物成长!$C$2/宠物成长!$C$3*(1+VLOOKUP(宠物属性点预览!G$2,宠物成长!$F$5:$K$25,3,FALSE)+0)</f>
        <v>535.59999999999991</v>
      </c>
      <c r="H47" s="9">
        <f>(宠物成长!$C$1+宠物成长!$C$2/宠物成长!$C$3*宠物成长!$E$30)*(1+VLOOKUP(宠物属性点预览!H$2,宠物成长!$F$4:$K$25,4,FALSE)+0)+(VLOOKUP(宠物属性点预览!$B47,宠物成长!$D$30:$E$129,2,FALSE)-宠物成长!$E$30)*宠物成长!$C$2/宠物成长!$C$3*(1+VLOOKUP(宠物属性点预览!H$2,宠物成长!$F$5:$K$25,3,FALSE)+0)</f>
        <v>706.4</v>
      </c>
      <c r="I47" s="9">
        <f>(宠物成长!$C$1+宠物成长!$C$2/宠物成长!$C$3*宠物成长!$E$30)*(1+VLOOKUP(宠物属性点预览!I$2,宠物成长!$F$4:$K$25,4,FALSE)+0)+(VLOOKUP(宠物属性点预览!$B47,宠物成长!$D$30:$E$129,2,FALSE)-宠物成长!$E$30)*宠物成长!$C$2/宠物成长!$C$3*(1+VLOOKUP(宠物属性点预览!I$2,宠物成长!$F$5:$K$25,3,FALSE)+0)</f>
        <v>933</v>
      </c>
      <c r="J47" s="9">
        <f>(宠物成长!$C$1+宠物成长!$C$2/宠物成长!$C$3*宠物成长!$E$30)*(1+VLOOKUP(宠物属性点预览!J$2,宠物成长!$F$4:$K$25,4,FALSE)+0)+(VLOOKUP(宠物属性点预览!$B47,宠物成长!$D$30:$E$129,2,FALSE)-宠物成长!$E$30)*宠物成长!$C$2/宠物成长!$C$3*(1+VLOOKUP(宠物属性点预览!J$2,宠物成长!$F$5:$K$25,3,FALSE)+0)</f>
        <v>1184.6296296296296</v>
      </c>
      <c r="K47" s="9">
        <f>(宠物成长!$C$1+宠物成长!$C$2/宠物成长!$C$3*宠物成长!$E$30)*(1+VLOOKUP(宠物属性点预览!K$2,宠物成长!$F$4:$K$25,4,FALSE)+0)+(VLOOKUP(宠物属性点预览!$B47,宠物成长!$D$30:$E$129,2,FALSE)-宠物成长!$E$30)*宠物成长!$C$2/宠物成长!$C$3*(1+VLOOKUP(宠物属性点预览!K$2,宠物成长!$F$5:$K$25,3,FALSE)+0)</f>
        <v>1439.1296296296296</v>
      </c>
      <c r="L47" s="83">
        <f>(宠物成长!$C$1+宠物成长!$C$2/宠物成长!$C$3*宠物成长!$E$30)*(1+VLOOKUP(宠物属性点预览!L$2,宠物成长!$F$4:$K$25,4,FALSE)+0)+(VLOOKUP(宠物属性点预览!$B47,宠物成长!$D$30:$E$129,2,FALSE)-宠物成长!$E$30)*宠物成长!$C$2/宠物成长!$C$3*(1+VLOOKUP(宠物属性点预览!L$2,宠物成长!$F$5:$K$25,3,FALSE)+0)</f>
        <v>1695.7242242242241</v>
      </c>
      <c r="M47" s="9">
        <f>(宠物成长!$C$1+宠物成长!$C$2/宠物成长!$C$3*宠物成长!$E$30)*(1+VLOOKUP(宠物属性点预览!M$2,宠物成长!$F$4:$K$25,4,FALSE)+0)+(VLOOKUP(宠物属性点预览!$B47,宠物成长!$D$30:$E$129,2,FALSE)-宠物成长!$E$30)*宠物成长!$C$2/宠物成长!$C$3*(1+VLOOKUP(宠物属性点预览!M$2,宠物成长!$F$5:$K$25,3,FALSE)+0)</f>
        <v>1953.9147004147003</v>
      </c>
      <c r="N47" s="9">
        <f>(宠物成长!$C$1+宠物成长!$C$2/宠物成长!$C$3*宠物成长!$E$30)*(1+VLOOKUP(宠物属性点预览!N$2,宠物成长!$F$4:$K$25,4,FALSE)+0)+(VLOOKUP(宠物属性点预览!$B47,宠物成长!$D$30:$E$129,2,FALSE)-宠物成长!$E$30)*宠物成长!$C$2/宠物成长!$C$3*(1+VLOOKUP(宠物属性点预览!N$2,宠物成长!$F$5:$K$25,3,FALSE)+0)</f>
        <v>2213.3615089253385</v>
      </c>
      <c r="O47" s="9">
        <f>(宠物成长!$C$1+宠物成长!$C$2/宠物成长!$C$3*宠物成长!$E$30)*(1+VLOOKUP(宠物属性点预览!O$2,宠物成长!$F$4:$K$25,4,FALSE)+0)+(VLOOKUP(宠物属性点预览!$B47,宠物成长!$D$30:$E$129,2,FALSE)-宠物成长!$E$30)*宠物成长!$C$2/宠物成长!$C$3*(1+VLOOKUP(宠物属性点预览!O$2,宠物成长!$F$5:$K$25,3,FALSE)+0)</f>
        <v>2473.8230473868766</v>
      </c>
      <c r="P47" s="9">
        <f>(宠物成长!$C$1+宠物成长!$C$2/宠物成长!$C$3*宠物成长!$E$30)*(1+VLOOKUP(宠物属性点预览!P$2,宠物成长!$F$4:$K$25,4,FALSE)+0)+(VLOOKUP(宠物属性点预览!$B47,宠物成长!$D$30:$E$129,2,FALSE)-宠物成长!$E$30)*宠物成长!$C$2/宠物成长!$C$3*(1+VLOOKUP(宠物属性点预览!P$2,宠物成长!$F$5:$K$25,3,FALSE)+0)</f>
        <v>2735.1212930009119</v>
      </c>
      <c r="Q47" s="9">
        <f>(宠物成长!$C$1+宠物成长!$C$2/宠物成长!$C$3*宠物成长!$E$30)*(1+VLOOKUP(宠物属性点预览!Q$2,宠物成长!$F$4:$K$25,4,FALSE)+0)+(VLOOKUP(宠物属性点预览!$B47,宠物成长!$D$30:$E$129,2,FALSE)-宠物成长!$E$30)*宠物成长!$C$2/宠物成长!$C$3*(1+VLOOKUP(宠物属性点预览!Q$2,宠物成长!$F$5:$K$25,3,FALSE)+0)</f>
        <v>2997.1212930009119</v>
      </c>
      <c r="R47" s="9">
        <f>(宠物成长!$C$1+宠物成长!$C$2/宠物成长!$C$3*宠物成长!$E$30)*(1+VLOOKUP(宠物属性点预览!R$2,宠物成长!$F$4:$K$25,4,FALSE)+0)+(VLOOKUP(宠物属性点预览!$B47,宠物成长!$D$30:$E$129,2,FALSE)-宠物成长!$E$30)*宠物成长!$C$2/宠物成长!$C$3*(1+VLOOKUP(宠物属性点预览!R$2,宠物成长!$F$5:$K$25,3,FALSE)+0)</f>
        <v>3259.718307926285</v>
      </c>
      <c r="S47" s="9">
        <f>(宠物成长!$C$1+宠物成长!$C$2/宠物成长!$C$3*宠物成长!$E$30)*(1+VLOOKUP(宠物属性点预览!S$2,宠物成长!$F$4:$K$25,4,FALSE)+0)+(VLOOKUP(宠物属性点预览!$B47,宠物成长!$D$30:$E$129,2,FALSE)-宠物成长!$E$30)*宠物成长!$C$2/宠物成长!$C$3*(1+VLOOKUP(宠物属性点预览!S$2,宠物成长!$F$5:$K$25,3,FALSE)+0)</f>
        <v>3522.8294190373958</v>
      </c>
      <c r="T47" s="83">
        <f t="shared" si="9"/>
        <v>1439.1296296296296</v>
      </c>
      <c r="U47" s="9">
        <f>L47</f>
        <v>1695.7242242242241</v>
      </c>
      <c r="V47" s="9">
        <f>(宠物成长!$C$1+宠物成长!$C$2/宠物成长!$C$3*宠物成长!$E$30)*(1+宠物成长!$I$14+VLOOKUP(宠物属性点预览!V$2,宠物成长!$O$5:$R$10,3,FALSE))+(VLOOKUP(宠物属性点预览!$B47,宠物成长!$D$30:$E$129,2,FALSE)-宠物成长!$E$30)*宠物成长!$C$2/宠物成长!$C$3*(1+宠物成长!$H$14+VLOOKUP(宠物属性点预览!V$2,宠物成长!$O$5:$R$10,2,FALSE))</f>
        <v>1695.7242242242241</v>
      </c>
      <c r="W47" s="9">
        <f>(宠物成长!$C$1+宠物成长!$C$2/宠物成长!$C$3*宠物成长!$E$30)*(1+宠物成长!$I$14+VLOOKUP(宠物属性点预览!W$2,宠物成长!$O$5:$R$10,3,FALSE))+(VLOOKUP(宠物属性点预览!$B47,宠物成长!$D$30:$E$129,2,FALSE)-宠物成长!$E$30)*宠物成长!$C$2/宠物成长!$C$3*(1+宠物成长!$H$14+VLOOKUP(宠物属性点预览!W$2,宠物成长!$O$5:$R$10,2,FALSE))</f>
        <v>2049.7242242242241</v>
      </c>
      <c r="X47" s="9">
        <f>(宠物成长!$C$1+宠物成长!$C$2/宠物成长!$C$3*宠物成长!$E$30)*(1+宠物成长!$I$14+VLOOKUP(宠物属性点预览!X$2,宠物成长!$O$5:$R$10,3,FALSE))+(VLOOKUP(宠物属性点预览!$B47,宠物成长!$D$30:$E$129,2,FALSE)-宠物成长!$E$30)*宠物成长!$C$2/宠物成长!$C$3*(1+宠物成长!$H$14+VLOOKUP(宠物属性点预览!X$2,宠物成长!$O$5:$R$10,2,FALSE))</f>
        <v>2465.7242242242241</v>
      </c>
      <c r="Y47" s="9">
        <f>(宠物成长!$C$1+宠物成长!$C$2/宠物成长!$C$3*宠物成长!$E$30)*(1+宠物成长!$I$14+VLOOKUP(宠物属性点预览!Y$2,宠物成长!$O$5:$R$10,3,FALSE))+(VLOOKUP(宠物属性点预览!$B47,宠物成长!$D$30:$E$129,2,FALSE)-宠物成长!$E$30)*宠物成长!$C$2/宠物成长!$C$3*(1+宠物成长!$H$14+VLOOKUP(宠物属性点预览!Y$2,宠物成长!$O$5:$R$10,2,FALSE))</f>
        <v>2943.7242242242241</v>
      </c>
      <c r="Z47" s="9">
        <f>(宠物成长!$C$1+宠物成长!$C$2/宠物成长!$C$3*宠物成长!$E$30)*(1+宠物成长!$I$14+VLOOKUP(宠物属性点预览!Z$2,宠物成长!$O$5:$R$10,3,FALSE))+(VLOOKUP(宠物属性点预览!$B47,宠物成长!$D$30:$E$129,2,FALSE)-宠物成长!$E$30)*宠物成长!$C$2/宠物成长!$C$3*(1+宠物成长!$H$14+VLOOKUP(宠物属性点预览!Z$2,宠物成长!$O$5:$R$10,2,FALSE))</f>
        <v>3421.7242242242241</v>
      </c>
    </row>
    <row r="48" spans="2:31" x14ac:dyDescent="0.15">
      <c r="B48" s="1">
        <v>46</v>
      </c>
      <c r="C48" s="9">
        <f>(宠物成长!$C$1+宠物成长!$C$2/宠物成长!$C$3*宠物成长!$E$30)*(1+VLOOKUP(宠物属性点预览!C$2,宠物成长!$F$4:$K$25,4,FALSE)+0)+(VLOOKUP(宠物属性点预览!$B48,宠物成长!$D$30:$E$129,2,FALSE)-宠物成长!$E$30)*宠物成长!$C$2/宠物成长!$C$3*(1+VLOOKUP(宠物属性点预览!C$2,宠物成长!$F$5:$K$25,3,FALSE)+0)</f>
        <v>219.5</v>
      </c>
      <c r="D48" s="9">
        <f>(宠物成长!$C$1+宠物成长!$C$2/宠物成长!$C$3*宠物成长!$E$30)*(1+VLOOKUP(宠物属性点预览!D$2,宠物成长!$F$4:$K$25,4,FALSE)+0)+(VLOOKUP(宠物属性点预览!$B48,宠物成长!$D$30:$E$129,2,FALSE)-宠物成长!$E$30)*宠物成长!$C$2/宠物成长!$C$3*(1+VLOOKUP(宠物属性点预览!D$2,宠物成长!$F$5:$K$25,3,FALSE)+0)</f>
        <v>266</v>
      </c>
      <c r="E48" s="9">
        <f>(宠物成长!$C$1+宠物成长!$C$2/宠物成长!$C$3*宠物成长!$E$30)*(1+VLOOKUP(宠物属性点预览!E$2,宠物成长!$F$4:$K$25,4,FALSE)+0)+(VLOOKUP(宠物属性点预览!$B48,宠物成长!$D$30:$E$129,2,FALSE)-宠物成长!$E$30)*宠物成长!$C$2/宠物成长!$C$3*(1+VLOOKUP(宠物属性点预览!E$2,宠物成长!$F$5:$K$25,3,FALSE)+0)</f>
        <v>331.1</v>
      </c>
      <c r="F48" s="9">
        <f>(宠物成长!$C$1+宠物成长!$C$2/宠物成长!$C$3*宠物成长!$E$30)*(1+VLOOKUP(宠物属性点预览!F$2,宠物成长!$F$4:$K$25,4,FALSE)+0)+(VLOOKUP(宠物属性点预览!$B48,宠物成长!$D$30:$E$129,2,FALSE)-宠物成长!$E$30)*宠物成长!$C$2/宠物成长!$C$3*(1+VLOOKUP(宠物属性点预览!F$2,宠物成长!$F$5:$K$25,3,FALSE)+0)</f>
        <v>417.90000000000003</v>
      </c>
      <c r="G48" s="9">
        <f>(宠物成长!$C$1+宠物成长!$C$2/宠物成长!$C$3*宠物成长!$E$30)*(1+VLOOKUP(宠物属性点预览!G$2,宠物成长!$F$4:$K$25,4,FALSE)+0)+(VLOOKUP(宠物属性点预览!$B48,宠物成长!$D$30:$E$129,2,FALSE)-宠物成长!$E$30)*宠物成长!$C$2/宠物成长!$C$3*(1+VLOOKUP(宠物属性点预览!G$2,宠物成长!$F$5:$K$25,3,FALSE)+0)</f>
        <v>539.59999999999991</v>
      </c>
      <c r="H48" s="9">
        <f>(宠物成长!$C$1+宠物成长!$C$2/宠物成长!$C$3*宠物成长!$E$30)*(1+VLOOKUP(宠物属性点预览!H$2,宠物成长!$F$4:$K$25,4,FALSE)+0)+(VLOOKUP(宠物属性点预览!$B48,宠物成长!$D$30:$E$129,2,FALSE)-宠物成长!$E$30)*宠物成长!$C$2/宠物成长!$C$3*(1+VLOOKUP(宠物属性点预览!H$2,宠物成长!$F$5:$K$25,3,FALSE)+0)</f>
        <v>710.9</v>
      </c>
      <c r="I48" s="9">
        <f>(宠物成长!$C$1+宠物成长!$C$2/宠物成长!$C$3*宠物成长!$E$30)*(1+VLOOKUP(宠物属性点预览!I$2,宠物成长!$F$4:$K$25,4,FALSE)+0)+(VLOOKUP(宠物属性点预览!$B48,宠物成长!$D$30:$E$129,2,FALSE)-宠物成长!$E$30)*宠物成长!$C$2/宠物成长!$C$3*(1+VLOOKUP(宠物属性点预览!I$2,宠物成长!$F$5:$K$25,3,FALSE)+0)</f>
        <v>938</v>
      </c>
      <c r="J48" s="9">
        <f>(宠物成长!$C$1+宠物成长!$C$2/宠物成长!$C$3*宠物成长!$E$30)*(1+VLOOKUP(宠物属性点预览!J$2,宠物成长!$F$4:$K$25,4,FALSE)+0)+(VLOOKUP(宠物属性点预览!$B48,宠物成长!$D$30:$E$129,2,FALSE)-宠物成长!$E$30)*宠物成长!$C$2/宠物成长!$C$3*(1+VLOOKUP(宠物属性点预览!J$2,宠物成长!$F$5:$K$25,3,FALSE)+0)</f>
        <v>1190.1296296296296</v>
      </c>
      <c r="K48" s="9">
        <f>(宠物成长!$C$1+宠物成长!$C$2/宠物成长!$C$3*宠物成长!$E$30)*(1+VLOOKUP(宠物属性点预览!K$2,宠物成长!$F$4:$K$25,4,FALSE)+0)+(VLOOKUP(宠物属性点预览!$B48,宠物成长!$D$30:$E$129,2,FALSE)-宠物成长!$E$30)*宠物成长!$C$2/宠物成长!$C$3*(1+VLOOKUP(宠物属性点预览!K$2,宠物成长!$F$5:$K$25,3,FALSE)+0)</f>
        <v>1445.1296296296296</v>
      </c>
      <c r="L48" s="9">
        <f>(宠物成长!$C$1+宠物成长!$C$2/宠物成长!$C$3*宠物成长!$E$30)*(1+VLOOKUP(宠物属性点预览!L$2,宠物成长!$F$4:$K$25,4,FALSE)+0)+(VLOOKUP(宠物属性点预览!$B48,宠物成长!$D$30:$E$129,2,FALSE)-宠物成长!$E$30)*宠物成长!$C$2/宠物成长!$C$3*(1+VLOOKUP(宠物属性点预览!L$2,宠物成长!$F$5:$K$25,3,FALSE)+0)</f>
        <v>1702.2242242242241</v>
      </c>
      <c r="M48" s="9">
        <f>(宠物成长!$C$1+宠物成长!$C$2/宠物成长!$C$3*宠物成长!$E$30)*(1+VLOOKUP(宠物属性点预览!M$2,宠物成长!$F$4:$K$25,4,FALSE)+0)+(VLOOKUP(宠物属性点预览!$B48,宠物成长!$D$30:$E$129,2,FALSE)-宠物成长!$E$30)*宠物成长!$C$2/宠物成长!$C$3*(1+VLOOKUP(宠物属性点预览!M$2,宠物成长!$F$5:$K$25,3,FALSE)+0)</f>
        <v>1960.9147004147003</v>
      </c>
      <c r="N48" s="9">
        <f>(宠物成长!$C$1+宠物成长!$C$2/宠物成长!$C$3*宠物成长!$E$30)*(1+VLOOKUP(宠物属性点预览!N$2,宠物成长!$F$4:$K$25,4,FALSE)+0)+(VLOOKUP(宠物属性点预览!$B48,宠物成长!$D$30:$E$129,2,FALSE)-宠物成长!$E$30)*宠物成长!$C$2/宠物成长!$C$3*(1+VLOOKUP(宠物属性点预览!N$2,宠物成长!$F$5:$K$25,3,FALSE)+0)</f>
        <v>2220.8615089253385</v>
      </c>
      <c r="O48" s="9">
        <f>(宠物成长!$C$1+宠物成长!$C$2/宠物成长!$C$3*宠物成长!$E$30)*(1+VLOOKUP(宠物属性点预览!O$2,宠物成长!$F$4:$K$25,4,FALSE)+0)+(VLOOKUP(宠物属性点预览!$B48,宠物成长!$D$30:$E$129,2,FALSE)-宠物成长!$E$30)*宠物成长!$C$2/宠物成长!$C$3*(1+VLOOKUP(宠物属性点预览!O$2,宠物成长!$F$5:$K$25,3,FALSE)+0)</f>
        <v>2481.8230473868766</v>
      </c>
      <c r="P48" s="9">
        <f>(宠物成长!$C$1+宠物成长!$C$2/宠物成长!$C$3*宠物成长!$E$30)*(1+VLOOKUP(宠物属性点预览!P$2,宠物成长!$F$4:$K$25,4,FALSE)+0)+(VLOOKUP(宠物属性点预览!$B48,宠物成长!$D$30:$E$129,2,FALSE)-宠物成长!$E$30)*宠物成长!$C$2/宠物成长!$C$3*(1+VLOOKUP(宠物属性点预览!P$2,宠物成长!$F$5:$K$25,3,FALSE)+0)</f>
        <v>2743.6212930009119</v>
      </c>
      <c r="Q48" s="9">
        <f>(宠物成长!$C$1+宠物成长!$C$2/宠物成长!$C$3*宠物成长!$E$30)*(1+VLOOKUP(宠物属性点预览!Q$2,宠物成长!$F$4:$K$25,4,FALSE)+0)+(VLOOKUP(宠物属性点预览!$B48,宠物成长!$D$30:$E$129,2,FALSE)-宠物成长!$E$30)*宠物成长!$C$2/宠物成长!$C$3*(1+VLOOKUP(宠物属性点预览!Q$2,宠物成长!$F$5:$K$25,3,FALSE)+0)</f>
        <v>3006.1212930009119</v>
      </c>
      <c r="R48" s="9">
        <f>(宠物成长!$C$1+宠物成长!$C$2/宠物成长!$C$3*宠物成长!$E$30)*(1+VLOOKUP(宠物属性点预览!R$2,宠物成长!$F$4:$K$25,4,FALSE)+0)+(VLOOKUP(宠物属性点预览!$B48,宠物成长!$D$30:$E$129,2,FALSE)-宠物成长!$E$30)*宠物成长!$C$2/宠物成长!$C$3*(1+VLOOKUP(宠物属性点预览!R$2,宠物成长!$F$5:$K$25,3,FALSE)+0)</f>
        <v>3269.218307926285</v>
      </c>
      <c r="S48" s="9">
        <f>(宠物成长!$C$1+宠物成长!$C$2/宠物成长!$C$3*宠物成长!$E$30)*(1+VLOOKUP(宠物属性点预览!S$2,宠物成长!$F$4:$K$25,4,FALSE)+0)+(VLOOKUP(宠物属性点预览!$B48,宠物成长!$D$30:$E$129,2,FALSE)-宠物成长!$E$30)*宠物成长!$C$2/宠物成长!$C$3*(1+VLOOKUP(宠物属性点预览!S$2,宠物成长!$F$5:$K$25,3,FALSE)+0)</f>
        <v>3532.8294190373958</v>
      </c>
      <c r="T48" s="83">
        <f>L48</f>
        <v>1702.2242242242241</v>
      </c>
      <c r="V48" s="9">
        <f>(宠物成长!$C$1+宠物成长!$C$2/宠物成长!$C$3*宠物成长!$E$30)*(1+宠物成长!$I$14+VLOOKUP(宠物属性点预览!V$2,宠物成长!$O$5:$R$10,3,FALSE))+(VLOOKUP(宠物属性点预览!$B48,宠物成长!$D$30:$E$129,2,FALSE)-宠物成长!$E$30)*宠物成长!$C$2/宠物成长!$C$3*(1+宠物成长!$H$14+VLOOKUP(宠物属性点预览!V$2,宠物成长!$O$5:$R$10,2,FALSE))</f>
        <v>1702.2242242242241</v>
      </c>
      <c r="W48" s="9">
        <f>(宠物成长!$C$1+宠物成长!$C$2/宠物成长!$C$3*宠物成长!$E$30)*(1+宠物成长!$I$14+VLOOKUP(宠物属性点预览!W$2,宠物成长!$O$5:$R$10,3,FALSE))+(VLOOKUP(宠物属性点预览!$B48,宠物成长!$D$30:$E$129,2,FALSE)-宠物成长!$E$30)*宠物成长!$C$2/宠物成长!$C$3*(1+宠物成长!$H$14+VLOOKUP(宠物属性点预览!W$2,宠物成长!$O$5:$R$10,2,FALSE))</f>
        <v>2057.2242242242241</v>
      </c>
      <c r="X48" s="9">
        <f>(宠物成长!$C$1+宠物成长!$C$2/宠物成长!$C$3*宠物成长!$E$30)*(1+宠物成长!$I$14+VLOOKUP(宠物属性点预览!X$2,宠物成长!$O$5:$R$10,3,FALSE))+(VLOOKUP(宠物属性点预览!$B48,宠物成长!$D$30:$E$129,2,FALSE)-宠物成长!$E$30)*宠物成长!$C$2/宠物成长!$C$3*(1+宠物成长!$H$14+VLOOKUP(宠物属性点预览!X$2,宠物成长!$O$5:$R$10,2,FALSE))</f>
        <v>2474.2242242242241</v>
      </c>
      <c r="Y48" s="9">
        <f>(宠物成长!$C$1+宠物成长!$C$2/宠物成长!$C$3*宠物成长!$E$30)*(1+宠物成长!$I$14+VLOOKUP(宠物属性点预览!Y$2,宠物成长!$O$5:$R$10,3,FALSE))+(VLOOKUP(宠物属性点预览!$B48,宠物成长!$D$30:$E$129,2,FALSE)-宠物成长!$E$30)*宠物成长!$C$2/宠物成长!$C$3*(1+宠物成长!$H$14+VLOOKUP(宠物属性点预览!Y$2,宠物成长!$O$5:$R$10,2,FALSE))</f>
        <v>2953.2242242242241</v>
      </c>
      <c r="Z48" s="9">
        <f>(宠物成长!$C$1+宠物成长!$C$2/宠物成长!$C$3*宠物成长!$E$30)*(1+宠物成长!$I$14+VLOOKUP(宠物属性点预览!Z$2,宠物成长!$O$5:$R$10,3,FALSE))+(VLOOKUP(宠物属性点预览!$B48,宠物成长!$D$30:$E$129,2,FALSE)-宠物成长!$E$30)*宠物成长!$C$2/宠物成长!$C$3*(1+宠物成长!$H$14+VLOOKUP(宠物属性点预览!Z$2,宠物成长!$O$5:$R$10,2,FALSE))</f>
        <v>3432.2242242242241</v>
      </c>
    </row>
    <row r="49" spans="2:27" x14ac:dyDescent="0.15">
      <c r="B49" s="1">
        <v>47</v>
      </c>
      <c r="C49" s="9">
        <f>(宠物成长!$C$1+宠物成长!$C$2/宠物成长!$C$3*宠物成长!$E$30)*(1+VLOOKUP(宠物属性点预览!C$2,宠物成长!$F$4:$K$25,4,FALSE)+0)+(VLOOKUP(宠物属性点预览!$B49,宠物成长!$D$30:$E$129,2,FALSE)-宠物成长!$E$30)*宠物成长!$C$2/宠物成长!$C$3*(1+VLOOKUP(宠物属性点预览!C$2,宠物成长!$F$5:$K$25,3,FALSE)+0)</f>
        <v>223</v>
      </c>
      <c r="D49" s="9">
        <f>(宠物成长!$C$1+宠物成长!$C$2/宠物成长!$C$3*宠物成长!$E$30)*(1+VLOOKUP(宠物属性点预览!D$2,宠物成长!$F$4:$K$25,4,FALSE)+0)+(VLOOKUP(宠物属性点预览!$B49,宠物成长!$D$30:$E$129,2,FALSE)-宠物成长!$E$30)*宠物成长!$C$2/宠物成长!$C$3*(1+VLOOKUP(宠物属性点预览!D$2,宠物成长!$F$5:$K$25,3,FALSE)+0)</f>
        <v>269.5</v>
      </c>
      <c r="E49" s="9">
        <f>(宠物成长!$C$1+宠物成长!$C$2/宠物成长!$C$3*宠物成长!$E$30)*(1+VLOOKUP(宠物属性点预览!E$2,宠物成长!$F$4:$K$25,4,FALSE)+0)+(VLOOKUP(宠物属性点预览!$B49,宠物成长!$D$30:$E$129,2,FALSE)-宠物成长!$E$30)*宠物成长!$C$2/宠物成长!$C$3*(1+VLOOKUP(宠物属性点预览!E$2,宠物成长!$F$5:$K$25,3,FALSE)+0)</f>
        <v>334.6</v>
      </c>
      <c r="F49" s="9">
        <f>(宠物成长!$C$1+宠物成长!$C$2/宠物成长!$C$3*宠物成长!$E$30)*(1+VLOOKUP(宠物属性点预览!F$2,宠物成长!$F$4:$K$25,4,FALSE)+0)+(VLOOKUP(宠物属性点预览!$B49,宠物成长!$D$30:$E$129,2,FALSE)-宠物成长!$E$30)*宠物成长!$C$2/宠物成长!$C$3*(1+VLOOKUP(宠物属性点预览!F$2,宠物成长!$F$5:$K$25,3,FALSE)+0)</f>
        <v>421.40000000000003</v>
      </c>
      <c r="G49" s="9">
        <f>(宠物成长!$C$1+宠物成长!$C$2/宠物成长!$C$3*宠物成长!$E$30)*(1+VLOOKUP(宠物属性点预览!G$2,宠物成长!$F$4:$K$25,4,FALSE)+0)+(VLOOKUP(宠物属性点预览!$B49,宠物成长!$D$30:$E$129,2,FALSE)-宠物成长!$E$30)*宠物成长!$C$2/宠物成长!$C$3*(1+VLOOKUP(宠物属性点预览!G$2,宠物成长!$F$5:$K$25,3,FALSE)+0)</f>
        <v>543.59999999999991</v>
      </c>
      <c r="H49" s="9">
        <f>(宠物成长!$C$1+宠物成长!$C$2/宠物成长!$C$3*宠物成长!$E$30)*(1+VLOOKUP(宠物属性点预览!H$2,宠物成长!$F$4:$K$25,4,FALSE)+0)+(VLOOKUP(宠物属性点预览!$B49,宠物成长!$D$30:$E$129,2,FALSE)-宠物成长!$E$30)*宠物成长!$C$2/宠物成长!$C$3*(1+VLOOKUP(宠物属性点预览!H$2,宠物成长!$F$5:$K$25,3,FALSE)+0)</f>
        <v>715.4</v>
      </c>
      <c r="I49" s="9">
        <f>(宠物成长!$C$1+宠物成长!$C$2/宠物成长!$C$3*宠物成长!$E$30)*(1+VLOOKUP(宠物属性点预览!I$2,宠物成长!$F$4:$K$25,4,FALSE)+0)+(VLOOKUP(宠物属性点预览!$B49,宠物成长!$D$30:$E$129,2,FALSE)-宠物成长!$E$30)*宠物成长!$C$2/宠物成长!$C$3*(1+VLOOKUP(宠物属性点预览!I$2,宠物成长!$F$5:$K$25,3,FALSE)+0)</f>
        <v>943</v>
      </c>
      <c r="J49" s="9">
        <f>(宠物成长!$C$1+宠物成长!$C$2/宠物成长!$C$3*宠物成长!$E$30)*(1+VLOOKUP(宠物属性点预览!J$2,宠物成长!$F$4:$K$25,4,FALSE)+0)+(VLOOKUP(宠物属性点预览!$B49,宠物成长!$D$30:$E$129,2,FALSE)-宠物成长!$E$30)*宠物成长!$C$2/宠物成长!$C$3*(1+VLOOKUP(宠物属性点预览!J$2,宠物成长!$F$5:$K$25,3,FALSE)+0)</f>
        <v>1195.6296296296296</v>
      </c>
      <c r="K49" s="9">
        <f>(宠物成长!$C$1+宠物成长!$C$2/宠物成长!$C$3*宠物成长!$E$30)*(1+VLOOKUP(宠物属性点预览!K$2,宠物成长!$F$4:$K$25,4,FALSE)+0)+(VLOOKUP(宠物属性点预览!$B49,宠物成长!$D$30:$E$129,2,FALSE)-宠物成长!$E$30)*宠物成长!$C$2/宠物成长!$C$3*(1+VLOOKUP(宠物属性点预览!K$2,宠物成长!$F$5:$K$25,3,FALSE)+0)</f>
        <v>1451.1296296296296</v>
      </c>
      <c r="L49" s="9">
        <f>(宠物成长!$C$1+宠物成长!$C$2/宠物成长!$C$3*宠物成长!$E$30)*(1+VLOOKUP(宠物属性点预览!L$2,宠物成长!$F$4:$K$25,4,FALSE)+0)+(VLOOKUP(宠物属性点预览!$B49,宠物成长!$D$30:$E$129,2,FALSE)-宠物成长!$E$30)*宠物成长!$C$2/宠物成长!$C$3*(1+VLOOKUP(宠物属性点预览!L$2,宠物成长!$F$5:$K$25,3,FALSE)+0)</f>
        <v>1708.7242242242241</v>
      </c>
      <c r="M49" s="9">
        <f>(宠物成长!$C$1+宠物成长!$C$2/宠物成长!$C$3*宠物成长!$E$30)*(1+VLOOKUP(宠物属性点预览!M$2,宠物成长!$F$4:$K$25,4,FALSE)+0)+(VLOOKUP(宠物属性点预览!$B49,宠物成长!$D$30:$E$129,2,FALSE)-宠物成长!$E$30)*宠物成长!$C$2/宠物成长!$C$3*(1+VLOOKUP(宠物属性点预览!M$2,宠物成长!$F$5:$K$25,3,FALSE)+0)</f>
        <v>1967.9147004147003</v>
      </c>
      <c r="N49" s="9">
        <f>(宠物成长!$C$1+宠物成长!$C$2/宠物成长!$C$3*宠物成长!$E$30)*(1+VLOOKUP(宠物属性点预览!N$2,宠物成长!$F$4:$K$25,4,FALSE)+0)+(VLOOKUP(宠物属性点预览!$B49,宠物成长!$D$30:$E$129,2,FALSE)-宠物成长!$E$30)*宠物成长!$C$2/宠物成长!$C$3*(1+VLOOKUP(宠物属性点预览!N$2,宠物成长!$F$5:$K$25,3,FALSE)+0)</f>
        <v>2228.3615089253385</v>
      </c>
      <c r="O49" s="9">
        <f>(宠物成长!$C$1+宠物成长!$C$2/宠物成长!$C$3*宠物成长!$E$30)*(1+VLOOKUP(宠物属性点预览!O$2,宠物成长!$F$4:$K$25,4,FALSE)+0)+(VLOOKUP(宠物属性点预览!$B49,宠物成长!$D$30:$E$129,2,FALSE)-宠物成长!$E$30)*宠物成长!$C$2/宠物成长!$C$3*(1+VLOOKUP(宠物属性点预览!O$2,宠物成长!$F$5:$K$25,3,FALSE)+0)</f>
        <v>2489.8230473868766</v>
      </c>
      <c r="P49" s="9">
        <f>(宠物成长!$C$1+宠物成长!$C$2/宠物成长!$C$3*宠物成长!$E$30)*(1+VLOOKUP(宠物属性点预览!P$2,宠物成长!$F$4:$K$25,4,FALSE)+0)+(VLOOKUP(宠物属性点预览!$B49,宠物成长!$D$30:$E$129,2,FALSE)-宠物成长!$E$30)*宠物成长!$C$2/宠物成长!$C$3*(1+VLOOKUP(宠物属性点预览!P$2,宠物成长!$F$5:$K$25,3,FALSE)+0)</f>
        <v>2752.1212930009119</v>
      </c>
      <c r="Q49" s="9">
        <f>(宠物成长!$C$1+宠物成长!$C$2/宠物成长!$C$3*宠物成长!$E$30)*(1+VLOOKUP(宠物属性点预览!Q$2,宠物成长!$F$4:$K$25,4,FALSE)+0)+(VLOOKUP(宠物属性点预览!$B49,宠物成长!$D$30:$E$129,2,FALSE)-宠物成长!$E$30)*宠物成长!$C$2/宠物成长!$C$3*(1+VLOOKUP(宠物属性点预览!Q$2,宠物成长!$F$5:$K$25,3,FALSE)+0)</f>
        <v>3015.1212930009119</v>
      </c>
      <c r="R49" s="9">
        <f>(宠物成长!$C$1+宠物成长!$C$2/宠物成长!$C$3*宠物成长!$E$30)*(1+VLOOKUP(宠物属性点预览!R$2,宠物成长!$F$4:$K$25,4,FALSE)+0)+(VLOOKUP(宠物属性点预览!$B49,宠物成长!$D$30:$E$129,2,FALSE)-宠物成长!$E$30)*宠物成长!$C$2/宠物成长!$C$3*(1+VLOOKUP(宠物属性点预览!R$2,宠物成长!$F$5:$K$25,3,FALSE)+0)</f>
        <v>3278.718307926285</v>
      </c>
      <c r="S49" s="9">
        <f>(宠物成长!$C$1+宠物成长!$C$2/宠物成长!$C$3*宠物成长!$E$30)*(1+VLOOKUP(宠物属性点预览!S$2,宠物成长!$F$4:$K$25,4,FALSE)+0)+(VLOOKUP(宠物属性点预览!$B49,宠物成长!$D$30:$E$129,2,FALSE)-宠物成长!$E$30)*宠物成长!$C$2/宠物成长!$C$3*(1+VLOOKUP(宠物属性点预览!S$2,宠物成长!$F$5:$K$25,3,FALSE)+0)</f>
        <v>3542.8294190373958</v>
      </c>
      <c r="T49" s="83">
        <f t="shared" ref="T49:T52" si="10">L49</f>
        <v>1708.7242242242241</v>
      </c>
      <c r="V49" s="9">
        <f>(宠物成长!$C$1+宠物成长!$C$2/宠物成长!$C$3*宠物成长!$E$30)*(1+宠物成长!$I$14+VLOOKUP(宠物属性点预览!V$2,宠物成长!$O$5:$R$10,3,FALSE))+(VLOOKUP(宠物属性点预览!$B49,宠物成长!$D$30:$E$129,2,FALSE)-宠物成长!$E$30)*宠物成长!$C$2/宠物成长!$C$3*(1+宠物成长!$H$14+VLOOKUP(宠物属性点预览!V$2,宠物成长!$O$5:$R$10,2,FALSE))</f>
        <v>1708.7242242242241</v>
      </c>
      <c r="W49" s="9">
        <f>(宠物成长!$C$1+宠物成长!$C$2/宠物成长!$C$3*宠物成长!$E$30)*(1+宠物成长!$I$14+VLOOKUP(宠物属性点预览!W$2,宠物成长!$O$5:$R$10,3,FALSE))+(VLOOKUP(宠物属性点预览!$B49,宠物成长!$D$30:$E$129,2,FALSE)-宠物成长!$E$30)*宠物成长!$C$2/宠物成长!$C$3*(1+宠物成长!$H$14+VLOOKUP(宠物属性点预览!W$2,宠物成长!$O$5:$R$10,2,FALSE))</f>
        <v>2064.7242242242241</v>
      </c>
      <c r="X49" s="9">
        <f>(宠物成长!$C$1+宠物成长!$C$2/宠物成长!$C$3*宠物成长!$E$30)*(1+宠物成长!$I$14+VLOOKUP(宠物属性点预览!X$2,宠物成长!$O$5:$R$10,3,FALSE))+(VLOOKUP(宠物属性点预览!$B49,宠物成长!$D$30:$E$129,2,FALSE)-宠物成长!$E$30)*宠物成长!$C$2/宠物成长!$C$3*(1+宠物成长!$H$14+VLOOKUP(宠物属性点预览!X$2,宠物成长!$O$5:$R$10,2,FALSE))</f>
        <v>2482.7242242242241</v>
      </c>
      <c r="Y49" s="9">
        <f>(宠物成长!$C$1+宠物成长!$C$2/宠物成长!$C$3*宠物成长!$E$30)*(1+宠物成长!$I$14+VLOOKUP(宠物属性点预览!Y$2,宠物成长!$O$5:$R$10,3,FALSE))+(VLOOKUP(宠物属性点预览!$B49,宠物成长!$D$30:$E$129,2,FALSE)-宠物成长!$E$30)*宠物成长!$C$2/宠物成长!$C$3*(1+宠物成长!$H$14+VLOOKUP(宠物属性点预览!Y$2,宠物成长!$O$5:$R$10,2,FALSE))</f>
        <v>2962.7242242242241</v>
      </c>
      <c r="Z49" s="9">
        <f>(宠物成长!$C$1+宠物成长!$C$2/宠物成长!$C$3*宠物成长!$E$30)*(1+宠物成长!$I$14+VLOOKUP(宠物属性点预览!Z$2,宠物成长!$O$5:$R$10,3,FALSE))+(VLOOKUP(宠物属性点预览!$B49,宠物成长!$D$30:$E$129,2,FALSE)-宠物成长!$E$30)*宠物成长!$C$2/宠物成长!$C$3*(1+宠物成长!$H$14+VLOOKUP(宠物属性点预览!Z$2,宠物成长!$O$5:$R$10,2,FALSE))</f>
        <v>3442.7242242242241</v>
      </c>
    </row>
    <row r="50" spans="2:27" x14ac:dyDescent="0.15">
      <c r="B50" s="1">
        <v>48</v>
      </c>
      <c r="C50" s="9">
        <f>(宠物成长!$C$1+宠物成长!$C$2/宠物成长!$C$3*宠物成长!$E$30)*(1+VLOOKUP(宠物属性点预览!C$2,宠物成长!$F$4:$K$25,4,FALSE)+0)+(VLOOKUP(宠物属性点预览!$B50,宠物成长!$D$30:$E$129,2,FALSE)-宠物成长!$E$30)*宠物成长!$C$2/宠物成长!$C$3*(1+VLOOKUP(宠物属性点预览!C$2,宠物成长!$F$5:$K$25,3,FALSE)+0)</f>
        <v>226.5</v>
      </c>
      <c r="D50" s="9">
        <f>(宠物成长!$C$1+宠物成长!$C$2/宠物成长!$C$3*宠物成长!$E$30)*(1+VLOOKUP(宠物属性点预览!D$2,宠物成长!$F$4:$K$25,4,FALSE)+0)+(VLOOKUP(宠物属性点预览!$B50,宠物成长!$D$30:$E$129,2,FALSE)-宠物成长!$E$30)*宠物成长!$C$2/宠物成长!$C$3*(1+VLOOKUP(宠物属性点预览!D$2,宠物成长!$F$5:$K$25,3,FALSE)+0)</f>
        <v>273</v>
      </c>
      <c r="E50" s="9">
        <f>(宠物成长!$C$1+宠物成长!$C$2/宠物成长!$C$3*宠物成长!$E$30)*(1+VLOOKUP(宠物属性点预览!E$2,宠物成长!$F$4:$K$25,4,FALSE)+0)+(VLOOKUP(宠物属性点预览!$B50,宠物成长!$D$30:$E$129,2,FALSE)-宠物成长!$E$30)*宠物成长!$C$2/宠物成长!$C$3*(1+VLOOKUP(宠物属性点预览!E$2,宠物成长!$F$5:$K$25,3,FALSE)+0)</f>
        <v>338.1</v>
      </c>
      <c r="F50" s="9">
        <f>(宠物成长!$C$1+宠物成长!$C$2/宠物成长!$C$3*宠物成长!$E$30)*(1+VLOOKUP(宠物属性点预览!F$2,宠物成长!$F$4:$K$25,4,FALSE)+0)+(VLOOKUP(宠物属性点预览!$B50,宠物成长!$D$30:$E$129,2,FALSE)-宠物成长!$E$30)*宠物成长!$C$2/宠物成长!$C$3*(1+VLOOKUP(宠物属性点预览!F$2,宠物成长!$F$5:$K$25,3,FALSE)+0)</f>
        <v>424.90000000000003</v>
      </c>
      <c r="G50" s="9">
        <f>(宠物成长!$C$1+宠物成长!$C$2/宠物成长!$C$3*宠物成长!$E$30)*(1+VLOOKUP(宠物属性点预览!G$2,宠物成长!$F$4:$K$25,4,FALSE)+0)+(VLOOKUP(宠物属性点预览!$B50,宠物成长!$D$30:$E$129,2,FALSE)-宠物成长!$E$30)*宠物成长!$C$2/宠物成长!$C$3*(1+VLOOKUP(宠物属性点预览!G$2,宠物成长!$F$5:$K$25,3,FALSE)+0)</f>
        <v>547.59999999999991</v>
      </c>
      <c r="H50" s="9">
        <f>(宠物成长!$C$1+宠物成长!$C$2/宠物成长!$C$3*宠物成长!$E$30)*(1+VLOOKUP(宠物属性点预览!H$2,宠物成长!$F$4:$K$25,4,FALSE)+0)+(VLOOKUP(宠物属性点预览!$B50,宠物成长!$D$30:$E$129,2,FALSE)-宠物成长!$E$30)*宠物成长!$C$2/宠物成长!$C$3*(1+VLOOKUP(宠物属性点预览!H$2,宠物成长!$F$5:$K$25,3,FALSE)+0)</f>
        <v>719.9</v>
      </c>
      <c r="I50" s="9">
        <f>(宠物成长!$C$1+宠物成长!$C$2/宠物成长!$C$3*宠物成长!$E$30)*(1+VLOOKUP(宠物属性点预览!I$2,宠物成长!$F$4:$K$25,4,FALSE)+0)+(VLOOKUP(宠物属性点预览!$B50,宠物成长!$D$30:$E$129,2,FALSE)-宠物成长!$E$30)*宠物成长!$C$2/宠物成长!$C$3*(1+VLOOKUP(宠物属性点预览!I$2,宠物成长!$F$5:$K$25,3,FALSE)+0)</f>
        <v>948</v>
      </c>
      <c r="J50" s="9">
        <f>(宠物成长!$C$1+宠物成长!$C$2/宠物成长!$C$3*宠物成长!$E$30)*(1+VLOOKUP(宠物属性点预览!J$2,宠物成长!$F$4:$K$25,4,FALSE)+0)+(VLOOKUP(宠物属性点预览!$B50,宠物成长!$D$30:$E$129,2,FALSE)-宠物成长!$E$30)*宠物成长!$C$2/宠物成长!$C$3*(1+VLOOKUP(宠物属性点预览!J$2,宠物成长!$F$5:$K$25,3,FALSE)+0)</f>
        <v>1201.1296296296296</v>
      </c>
      <c r="K50" s="9">
        <f>(宠物成长!$C$1+宠物成长!$C$2/宠物成长!$C$3*宠物成长!$E$30)*(1+VLOOKUP(宠物属性点预览!K$2,宠物成长!$F$4:$K$25,4,FALSE)+0)+(VLOOKUP(宠物属性点预览!$B50,宠物成长!$D$30:$E$129,2,FALSE)-宠物成长!$E$30)*宠物成长!$C$2/宠物成长!$C$3*(1+VLOOKUP(宠物属性点预览!K$2,宠物成长!$F$5:$K$25,3,FALSE)+0)</f>
        <v>1457.1296296296296</v>
      </c>
      <c r="L50" s="9">
        <f>(宠物成长!$C$1+宠物成长!$C$2/宠物成长!$C$3*宠物成长!$E$30)*(1+VLOOKUP(宠物属性点预览!L$2,宠物成长!$F$4:$K$25,4,FALSE)+0)+(VLOOKUP(宠物属性点预览!$B50,宠物成长!$D$30:$E$129,2,FALSE)-宠物成长!$E$30)*宠物成长!$C$2/宠物成长!$C$3*(1+VLOOKUP(宠物属性点预览!L$2,宠物成长!$F$5:$K$25,3,FALSE)+0)</f>
        <v>1715.2242242242241</v>
      </c>
      <c r="M50" s="9">
        <f>(宠物成长!$C$1+宠物成长!$C$2/宠物成长!$C$3*宠物成长!$E$30)*(1+VLOOKUP(宠物属性点预览!M$2,宠物成长!$F$4:$K$25,4,FALSE)+0)+(VLOOKUP(宠物属性点预览!$B50,宠物成长!$D$30:$E$129,2,FALSE)-宠物成长!$E$30)*宠物成长!$C$2/宠物成长!$C$3*(1+VLOOKUP(宠物属性点预览!M$2,宠物成长!$F$5:$K$25,3,FALSE)+0)</f>
        <v>1974.9147004147003</v>
      </c>
      <c r="N50" s="9">
        <f>(宠物成长!$C$1+宠物成长!$C$2/宠物成长!$C$3*宠物成长!$E$30)*(1+VLOOKUP(宠物属性点预览!N$2,宠物成长!$F$4:$K$25,4,FALSE)+0)+(VLOOKUP(宠物属性点预览!$B50,宠物成长!$D$30:$E$129,2,FALSE)-宠物成长!$E$30)*宠物成长!$C$2/宠物成长!$C$3*(1+VLOOKUP(宠物属性点预览!N$2,宠物成长!$F$5:$K$25,3,FALSE)+0)</f>
        <v>2235.8615089253385</v>
      </c>
      <c r="O50" s="9">
        <f>(宠物成长!$C$1+宠物成长!$C$2/宠物成长!$C$3*宠物成长!$E$30)*(1+VLOOKUP(宠物属性点预览!O$2,宠物成长!$F$4:$K$25,4,FALSE)+0)+(VLOOKUP(宠物属性点预览!$B50,宠物成长!$D$30:$E$129,2,FALSE)-宠物成长!$E$30)*宠物成长!$C$2/宠物成长!$C$3*(1+VLOOKUP(宠物属性点预览!O$2,宠物成长!$F$5:$K$25,3,FALSE)+0)</f>
        <v>2497.8230473868766</v>
      </c>
      <c r="P50" s="9">
        <f>(宠物成长!$C$1+宠物成长!$C$2/宠物成长!$C$3*宠物成长!$E$30)*(1+VLOOKUP(宠物属性点预览!P$2,宠物成长!$F$4:$K$25,4,FALSE)+0)+(VLOOKUP(宠物属性点预览!$B50,宠物成长!$D$30:$E$129,2,FALSE)-宠物成长!$E$30)*宠物成长!$C$2/宠物成长!$C$3*(1+VLOOKUP(宠物属性点预览!P$2,宠物成长!$F$5:$K$25,3,FALSE)+0)</f>
        <v>2760.6212930009119</v>
      </c>
      <c r="Q50" s="9">
        <f>(宠物成长!$C$1+宠物成长!$C$2/宠物成长!$C$3*宠物成长!$E$30)*(1+VLOOKUP(宠物属性点预览!Q$2,宠物成长!$F$4:$K$25,4,FALSE)+0)+(VLOOKUP(宠物属性点预览!$B50,宠物成长!$D$30:$E$129,2,FALSE)-宠物成长!$E$30)*宠物成长!$C$2/宠物成长!$C$3*(1+VLOOKUP(宠物属性点预览!Q$2,宠物成长!$F$5:$K$25,3,FALSE)+0)</f>
        <v>3024.1212930009119</v>
      </c>
      <c r="R50" s="9">
        <f>(宠物成长!$C$1+宠物成长!$C$2/宠物成长!$C$3*宠物成长!$E$30)*(1+VLOOKUP(宠物属性点预览!R$2,宠物成长!$F$4:$K$25,4,FALSE)+0)+(VLOOKUP(宠物属性点预览!$B50,宠物成长!$D$30:$E$129,2,FALSE)-宠物成长!$E$30)*宠物成长!$C$2/宠物成长!$C$3*(1+VLOOKUP(宠物属性点预览!R$2,宠物成长!$F$5:$K$25,3,FALSE)+0)</f>
        <v>3288.218307926285</v>
      </c>
      <c r="S50" s="9">
        <f>(宠物成长!$C$1+宠物成长!$C$2/宠物成长!$C$3*宠物成长!$E$30)*(1+VLOOKUP(宠物属性点预览!S$2,宠物成长!$F$4:$K$25,4,FALSE)+0)+(VLOOKUP(宠物属性点预览!$B50,宠物成长!$D$30:$E$129,2,FALSE)-宠物成长!$E$30)*宠物成长!$C$2/宠物成长!$C$3*(1+VLOOKUP(宠物属性点预览!S$2,宠物成长!$F$5:$K$25,3,FALSE)+0)</f>
        <v>3552.8294190373958</v>
      </c>
      <c r="T50" s="83">
        <f t="shared" si="10"/>
        <v>1715.2242242242241</v>
      </c>
      <c r="V50" s="9">
        <f>(宠物成长!$C$1+宠物成长!$C$2/宠物成长!$C$3*宠物成长!$E$30)*(1+宠物成长!$I$14+VLOOKUP(宠物属性点预览!V$2,宠物成长!$O$5:$R$10,3,FALSE))+(VLOOKUP(宠物属性点预览!$B50,宠物成长!$D$30:$E$129,2,FALSE)-宠物成长!$E$30)*宠物成长!$C$2/宠物成长!$C$3*(1+宠物成长!$H$14+VLOOKUP(宠物属性点预览!V$2,宠物成长!$O$5:$R$10,2,FALSE))</f>
        <v>1715.2242242242241</v>
      </c>
      <c r="W50" s="9">
        <f>(宠物成长!$C$1+宠物成长!$C$2/宠物成长!$C$3*宠物成长!$E$30)*(1+宠物成长!$I$14+VLOOKUP(宠物属性点预览!W$2,宠物成长!$O$5:$R$10,3,FALSE))+(VLOOKUP(宠物属性点预览!$B50,宠物成长!$D$30:$E$129,2,FALSE)-宠物成长!$E$30)*宠物成长!$C$2/宠物成长!$C$3*(1+宠物成长!$H$14+VLOOKUP(宠物属性点预览!W$2,宠物成长!$O$5:$R$10,2,FALSE))</f>
        <v>2072.2242242242241</v>
      </c>
      <c r="X50" s="9">
        <f>(宠物成长!$C$1+宠物成长!$C$2/宠物成长!$C$3*宠物成长!$E$30)*(1+宠物成长!$I$14+VLOOKUP(宠物属性点预览!X$2,宠物成长!$O$5:$R$10,3,FALSE))+(VLOOKUP(宠物属性点预览!$B50,宠物成长!$D$30:$E$129,2,FALSE)-宠物成长!$E$30)*宠物成长!$C$2/宠物成长!$C$3*(1+宠物成长!$H$14+VLOOKUP(宠物属性点预览!X$2,宠物成长!$O$5:$R$10,2,FALSE))</f>
        <v>2491.2242242242241</v>
      </c>
      <c r="Y50" s="9">
        <f>(宠物成长!$C$1+宠物成长!$C$2/宠物成长!$C$3*宠物成长!$E$30)*(1+宠物成长!$I$14+VLOOKUP(宠物属性点预览!Y$2,宠物成长!$O$5:$R$10,3,FALSE))+(VLOOKUP(宠物属性点预览!$B50,宠物成长!$D$30:$E$129,2,FALSE)-宠物成长!$E$30)*宠物成长!$C$2/宠物成长!$C$3*(1+宠物成长!$H$14+VLOOKUP(宠物属性点预览!Y$2,宠物成长!$O$5:$R$10,2,FALSE))</f>
        <v>2972.2242242242241</v>
      </c>
      <c r="Z50" s="9">
        <f>(宠物成长!$C$1+宠物成长!$C$2/宠物成长!$C$3*宠物成长!$E$30)*(1+宠物成长!$I$14+VLOOKUP(宠物属性点预览!Z$2,宠物成长!$O$5:$R$10,3,FALSE))+(VLOOKUP(宠物属性点预览!$B50,宠物成长!$D$30:$E$129,2,FALSE)-宠物成长!$E$30)*宠物成长!$C$2/宠物成长!$C$3*(1+宠物成长!$H$14+VLOOKUP(宠物属性点预览!Z$2,宠物成长!$O$5:$R$10,2,FALSE))</f>
        <v>3453.2242242242241</v>
      </c>
    </row>
    <row r="51" spans="2:27" x14ac:dyDescent="0.15">
      <c r="B51" s="1">
        <v>49</v>
      </c>
      <c r="C51" s="9">
        <f>(宠物成长!$C$1+宠物成长!$C$2/宠物成长!$C$3*宠物成长!$E$30)*(1+VLOOKUP(宠物属性点预览!C$2,宠物成长!$F$4:$K$25,4,FALSE)+0)+(VLOOKUP(宠物属性点预览!$B51,宠物成长!$D$30:$E$129,2,FALSE)-宠物成长!$E$30)*宠物成长!$C$2/宠物成长!$C$3*(1+VLOOKUP(宠物属性点预览!C$2,宠物成长!$F$5:$K$25,3,FALSE)+0)</f>
        <v>230</v>
      </c>
      <c r="D51" s="9">
        <f>(宠物成长!$C$1+宠物成长!$C$2/宠物成长!$C$3*宠物成长!$E$30)*(1+VLOOKUP(宠物属性点预览!D$2,宠物成长!$F$4:$K$25,4,FALSE)+0)+(VLOOKUP(宠物属性点预览!$B51,宠物成长!$D$30:$E$129,2,FALSE)-宠物成长!$E$30)*宠物成长!$C$2/宠物成长!$C$3*(1+VLOOKUP(宠物属性点预览!D$2,宠物成长!$F$5:$K$25,3,FALSE)+0)</f>
        <v>276.5</v>
      </c>
      <c r="E51" s="9">
        <f>(宠物成长!$C$1+宠物成长!$C$2/宠物成长!$C$3*宠物成长!$E$30)*(1+VLOOKUP(宠物属性点预览!E$2,宠物成长!$F$4:$K$25,4,FALSE)+0)+(VLOOKUP(宠物属性点预览!$B51,宠物成长!$D$30:$E$129,2,FALSE)-宠物成长!$E$30)*宠物成长!$C$2/宠物成长!$C$3*(1+VLOOKUP(宠物属性点预览!E$2,宠物成长!$F$5:$K$25,3,FALSE)+0)</f>
        <v>341.6</v>
      </c>
      <c r="F51" s="9">
        <f>(宠物成长!$C$1+宠物成长!$C$2/宠物成长!$C$3*宠物成长!$E$30)*(1+VLOOKUP(宠物属性点预览!F$2,宠物成长!$F$4:$K$25,4,FALSE)+0)+(VLOOKUP(宠物属性点预览!$B51,宠物成长!$D$30:$E$129,2,FALSE)-宠物成长!$E$30)*宠物成长!$C$2/宠物成长!$C$3*(1+VLOOKUP(宠物属性点预览!F$2,宠物成长!$F$5:$K$25,3,FALSE)+0)</f>
        <v>428.40000000000003</v>
      </c>
      <c r="G51" s="9">
        <f>(宠物成长!$C$1+宠物成长!$C$2/宠物成长!$C$3*宠物成长!$E$30)*(1+VLOOKUP(宠物属性点预览!G$2,宠物成长!$F$4:$K$25,4,FALSE)+0)+(VLOOKUP(宠物属性点预览!$B51,宠物成长!$D$30:$E$129,2,FALSE)-宠物成长!$E$30)*宠物成长!$C$2/宠物成长!$C$3*(1+VLOOKUP(宠物属性点预览!G$2,宠物成长!$F$5:$K$25,3,FALSE)+0)</f>
        <v>551.59999999999991</v>
      </c>
      <c r="H51" s="9">
        <f>(宠物成长!$C$1+宠物成长!$C$2/宠物成长!$C$3*宠物成长!$E$30)*(1+VLOOKUP(宠物属性点预览!H$2,宠物成长!$F$4:$K$25,4,FALSE)+0)+(VLOOKUP(宠物属性点预览!$B51,宠物成长!$D$30:$E$129,2,FALSE)-宠物成长!$E$30)*宠物成长!$C$2/宠物成长!$C$3*(1+VLOOKUP(宠物属性点预览!H$2,宠物成长!$F$5:$K$25,3,FALSE)+0)</f>
        <v>724.4</v>
      </c>
      <c r="I51" s="9">
        <f>(宠物成长!$C$1+宠物成长!$C$2/宠物成长!$C$3*宠物成长!$E$30)*(1+VLOOKUP(宠物属性点预览!I$2,宠物成长!$F$4:$K$25,4,FALSE)+0)+(VLOOKUP(宠物属性点预览!$B51,宠物成长!$D$30:$E$129,2,FALSE)-宠物成长!$E$30)*宠物成长!$C$2/宠物成长!$C$3*(1+VLOOKUP(宠物属性点预览!I$2,宠物成长!$F$5:$K$25,3,FALSE)+0)</f>
        <v>953</v>
      </c>
      <c r="J51" s="9">
        <f>(宠物成长!$C$1+宠物成长!$C$2/宠物成长!$C$3*宠物成长!$E$30)*(1+VLOOKUP(宠物属性点预览!J$2,宠物成长!$F$4:$K$25,4,FALSE)+0)+(VLOOKUP(宠物属性点预览!$B51,宠物成长!$D$30:$E$129,2,FALSE)-宠物成长!$E$30)*宠物成长!$C$2/宠物成长!$C$3*(1+VLOOKUP(宠物属性点预览!J$2,宠物成长!$F$5:$K$25,3,FALSE)+0)</f>
        <v>1206.6296296296296</v>
      </c>
      <c r="K51" s="9">
        <f>(宠物成长!$C$1+宠物成长!$C$2/宠物成长!$C$3*宠物成长!$E$30)*(1+VLOOKUP(宠物属性点预览!K$2,宠物成长!$F$4:$K$25,4,FALSE)+0)+(VLOOKUP(宠物属性点预览!$B51,宠物成长!$D$30:$E$129,2,FALSE)-宠物成长!$E$30)*宠物成长!$C$2/宠物成长!$C$3*(1+VLOOKUP(宠物属性点预览!K$2,宠物成长!$F$5:$K$25,3,FALSE)+0)</f>
        <v>1463.1296296296296</v>
      </c>
      <c r="L51" s="9">
        <f>(宠物成长!$C$1+宠物成长!$C$2/宠物成长!$C$3*宠物成长!$E$30)*(1+VLOOKUP(宠物属性点预览!L$2,宠物成长!$F$4:$K$25,4,FALSE)+0)+(VLOOKUP(宠物属性点预览!$B51,宠物成长!$D$30:$E$129,2,FALSE)-宠物成长!$E$30)*宠物成长!$C$2/宠物成长!$C$3*(1+VLOOKUP(宠物属性点预览!L$2,宠物成长!$F$5:$K$25,3,FALSE)+0)</f>
        <v>1721.7242242242241</v>
      </c>
      <c r="M51" s="9">
        <f>(宠物成长!$C$1+宠物成长!$C$2/宠物成长!$C$3*宠物成长!$E$30)*(1+VLOOKUP(宠物属性点预览!M$2,宠物成长!$F$4:$K$25,4,FALSE)+0)+(VLOOKUP(宠物属性点预览!$B51,宠物成长!$D$30:$E$129,2,FALSE)-宠物成长!$E$30)*宠物成长!$C$2/宠物成长!$C$3*(1+VLOOKUP(宠物属性点预览!M$2,宠物成长!$F$5:$K$25,3,FALSE)+0)</f>
        <v>1981.9147004147003</v>
      </c>
      <c r="N51" s="9">
        <f>(宠物成长!$C$1+宠物成长!$C$2/宠物成长!$C$3*宠物成长!$E$30)*(1+VLOOKUP(宠物属性点预览!N$2,宠物成长!$F$4:$K$25,4,FALSE)+0)+(VLOOKUP(宠物属性点预览!$B51,宠物成长!$D$30:$E$129,2,FALSE)-宠物成长!$E$30)*宠物成长!$C$2/宠物成长!$C$3*(1+VLOOKUP(宠物属性点预览!N$2,宠物成长!$F$5:$K$25,3,FALSE)+0)</f>
        <v>2243.3615089253385</v>
      </c>
      <c r="O51" s="9">
        <f>(宠物成长!$C$1+宠物成长!$C$2/宠物成长!$C$3*宠物成长!$E$30)*(1+VLOOKUP(宠物属性点预览!O$2,宠物成长!$F$4:$K$25,4,FALSE)+0)+(VLOOKUP(宠物属性点预览!$B51,宠物成长!$D$30:$E$129,2,FALSE)-宠物成长!$E$30)*宠物成长!$C$2/宠物成长!$C$3*(1+VLOOKUP(宠物属性点预览!O$2,宠物成长!$F$5:$K$25,3,FALSE)+0)</f>
        <v>2505.8230473868766</v>
      </c>
      <c r="P51" s="9">
        <f>(宠物成长!$C$1+宠物成长!$C$2/宠物成长!$C$3*宠物成长!$E$30)*(1+VLOOKUP(宠物属性点预览!P$2,宠物成长!$F$4:$K$25,4,FALSE)+0)+(VLOOKUP(宠物属性点预览!$B51,宠物成长!$D$30:$E$129,2,FALSE)-宠物成长!$E$30)*宠物成长!$C$2/宠物成长!$C$3*(1+VLOOKUP(宠物属性点预览!P$2,宠物成长!$F$5:$K$25,3,FALSE)+0)</f>
        <v>2769.1212930009119</v>
      </c>
      <c r="Q51" s="9">
        <f>(宠物成长!$C$1+宠物成长!$C$2/宠物成长!$C$3*宠物成长!$E$30)*(1+VLOOKUP(宠物属性点预览!Q$2,宠物成长!$F$4:$K$25,4,FALSE)+0)+(VLOOKUP(宠物属性点预览!$B51,宠物成长!$D$30:$E$129,2,FALSE)-宠物成长!$E$30)*宠物成长!$C$2/宠物成长!$C$3*(1+VLOOKUP(宠物属性点预览!Q$2,宠物成长!$F$5:$K$25,3,FALSE)+0)</f>
        <v>3033.1212930009119</v>
      </c>
      <c r="R51" s="9">
        <f>(宠物成长!$C$1+宠物成长!$C$2/宠物成长!$C$3*宠物成长!$E$30)*(1+VLOOKUP(宠物属性点预览!R$2,宠物成长!$F$4:$K$25,4,FALSE)+0)+(VLOOKUP(宠物属性点预览!$B51,宠物成长!$D$30:$E$129,2,FALSE)-宠物成长!$E$30)*宠物成长!$C$2/宠物成长!$C$3*(1+VLOOKUP(宠物属性点预览!R$2,宠物成长!$F$5:$K$25,3,FALSE)+0)</f>
        <v>3297.718307926285</v>
      </c>
      <c r="S51" s="9">
        <f>(宠物成长!$C$1+宠物成长!$C$2/宠物成长!$C$3*宠物成长!$E$30)*(1+VLOOKUP(宠物属性点预览!S$2,宠物成长!$F$4:$K$25,4,FALSE)+0)+(VLOOKUP(宠物属性点预览!$B51,宠物成长!$D$30:$E$129,2,FALSE)-宠物成长!$E$30)*宠物成长!$C$2/宠物成长!$C$3*(1+VLOOKUP(宠物属性点预览!S$2,宠物成长!$F$5:$K$25,3,FALSE)+0)</f>
        <v>3562.8294190373958</v>
      </c>
      <c r="T51" s="83">
        <f t="shared" si="10"/>
        <v>1721.7242242242241</v>
      </c>
      <c r="V51" s="9">
        <f>(宠物成长!$C$1+宠物成长!$C$2/宠物成长!$C$3*宠物成长!$E$30)*(1+宠物成长!$I$14+VLOOKUP(宠物属性点预览!V$2,宠物成长!$O$5:$R$10,3,FALSE))+(VLOOKUP(宠物属性点预览!$B51,宠物成长!$D$30:$E$129,2,FALSE)-宠物成长!$E$30)*宠物成长!$C$2/宠物成长!$C$3*(1+宠物成长!$H$14+VLOOKUP(宠物属性点预览!V$2,宠物成长!$O$5:$R$10,2,FALSE))</f>
        <v>1721.7242242242241</v>
      </c>
      <c r="W51" s="9">
        <f>(宠物成长!$C$1+宠物成长!$C$2/宠物成长!$C$3*宠物成长!$E$30)*(1+宠物成长!$I$14+VLOOKUP(宠物属性点预览!W$2,宠物成长!$O$5:$R$10,3,FALSE))+(VLOOKUP(宠物属性点预览!$B51,宠物成长!$D$30:$E$129,2,FALSE)-宠物成长!$E$30)*宠物成长!$C$2/宠物成长!$C$3*(1+宠物成长!$H$14+VLOOKUP(宠物属性点预览!W$2,宠物成长!$O$5:$R$10,2,FALSE))</f>
        <v>2079.7242242242241</v>
      </c>
      <c r="X51" s="9">
        <f>(宠物成长!$C$1+宠物成长!$C$2/宠物成长!$C$3*宠物成长!$E$30)*(1+宠物成长!$I$14+VLOOKUP(宠物属性点预览!X$2,宠物成长!$O$5:$R$10,3,FALSE))+(VLOOKUP(宠物属性点预览!$B51,宠物成长!$D$30:$E$129,2,FALSE)-宠物成长!$E$30)*宠物成长!$C$2/宠物成长!$C$3*(1+宠物成长!$H$14+VLOOKUP(宠物属性点预览!X$2,宠物成长!$O$5:$R$10,2,FALSE))</f>
        <v>2499.7242242242241</v>
      </c>
      <c r="Y51" s="9">
        <f>(宠物成长!$C$1+宠物成长!$C$2/宠物成长!$C$3*宠物成长!$E$30)*(1+宠物成长!$I$14+VLOOKUP(宠物属性点预览!Y$2,宠物成长!$O$5:$R$10,3,FALSE))+(VLOOKUP(宠物属性点预览!$B51,宠物成长!$D$30:$E$129,2,FALSE)-宠物成长!$E$30)*宠物成长!$C$2/宠物成长!$C$3*(1+宠物成长!$H$14+VLOOKUP(宠物属性点预览!Y$2,宠物成长!$O$5:$R$10,2,FALSE))</f>
        <v>2981.7242242242241</v>
      </c>
      <c r="Z51" s="9">
        <f>(宠物成长!$C$1+宠物成长!$C$2/宠物成长!$C$3*宠物成长!$E$30)*(1+宠物成长!$I$14+VLOOKUP(宠物属性点预览!Z$2,宠物成长!$O$5:$R$10,3,FALSE))+(VLOOKUP(宠物属性点预览!$B51,宠物成长!$D$30:$E$129,2,FALSE)-宠物成长!$E$30)*宠物成长!$C$2/宠物成长!$C$3*(1+宠物成长!$H$14+VLOOKUP(宠物属性点预览!Z$2,宠物成长!$O$5:$R$10,2,FALSE))</f>
        <v>3463.7242242242241</v>
      </c>
    </row>
    <row r="52" spans="2:27" x14ac:dyDescent="0.15">
      <c r="B52" s="1">
        <v>50</v>
      </c>
      <c r="C52" s="9">
        <f>(宠物成长!$C$1+宠物成长!$C$2/宠物成长!$C$3*宠物成长!$E$30)*(1+VLOOKUP(宠物属性点预览!C$2,宠物成长!$F$4:$K$25,4,FALSE)+0)+(VLOOKUP(宠物属性点预览!$B52,宠物成长!$D$30:$E$129,2,FALSE)-宠物成长!$E$30)*宠物成长!$C$2/宠物成长!$C$3*(1+VLOOKUP(宠物属性点预览!C$2,宠物成长!$F$5:$K$25,3,FALSE)+0)</f>
        <v>233.5</v>
      </c>
      <c r="D52" s="9">
        <f>(宠物成长!$C$1+宠物成长!$C$2/宠物成长!$C$3*宠物成长!$E$30)*(1+VLOOKUP(宠物属性点预览!D$2,宠物成长!$F$4:$K$25,4,FALSE)+0)+(VLOOKUP(宠物属性点预览!$B52,宠物成长!$D$30:$E$129,2,FALSE)-宠物成长!$E$30)*宠物成长!$C$2/宠物成长!$C$3*(1+VLOOKUP(宠物属性点预览!D$2,宠物成长!$F$5:$K$25,3,FALSE)+0)</f>
        <v>280</v>
      </c>
      <c r="E52" s="9">
        <f>(宠物成长!$C$1+宠物成长!$C$2/宠物成长!$C$3*宠物成长!$E$30)*(1+VLOOKUP(宠物属性点预览!E$2,宠物成长!$F$4:$K$25,4,FALSE)+0)+(VLOOKUP(宠物属性点预览!$B52,宠物成长!$D$30:$E$129,2,FALSE)-宠物成长!$E$30)*宠物成长!$C$2/宠物成长!$C$3*(1+VLOOKUP(宠物属性点预览!E$2,宠物成长!$F$5:$K$25,3,FALSE)+0)</f>
        <v>345.1</v>
      </c>
      <c r="F52" s="9">
        <f>(宠物成长!$C$1+宠物成长!$C$2/宠物成长!$C$3*宠物成长!$E$30)*(1+VLOOKUP(宠物属性点预览!F$2,宠物成长!$F$4:$K$25,4,FALSE)+0)+(VLOOKUP(宠物属性点预览!$B52,宠物成长!$D$30:$E$129,2,FALSE)-宠物成长!$E$30)*宠物成长!$C$2/宠物成长!$C$3*(1+VLOOKUP(宠物属性点预览!F$2,宠物成长!$F$5:$K$25,3,FALSE)+0)</f>
        <v>431.90000000000003</v>
      </c>
      <c r="G52" s="9">
        <f>(宠物成长!$C$1+宠物成长!$C$2/宠物成长!$C$3*宠物成长!$E$30)*(1+VLOOKUP(宠物属性点预览!G$2,宠物成长!$F$4:$K$25,4,FALSE)+0)+(VLOOKUP(宠物属性点预览!$B52,宠物成长!$D$30:$E$129,2,FALSE)-宠物成长!$E$30)*宠物成长!$C$2/宠物成长!$C$3*(1+VLOOKUP(宠物属性点预览!G$2,宠物成长!$F$5:$K$25,3,FALSE)+0)</f>
        <v>555.59999999999991</v>
      </c>
      <c r="H52" s="9">
        <f>(宠物成长!$C$1+宠物成长!$C$2/宠物成长!$C$3*宠物成长!$E$30)*(1+VLOOKUP(宠物属性点预览!H$2,宠物成长!$F$4:$K$25,4,FALSE)+0)+(VLOOKUP(宠物属性点预览!$B52,宠物成长!$D$30:$E$129,2,FALSE)-宠物成长!$E$30)*宠物成长!$C$2/宠物成长!$C$3*(1+VLOOKUP(宠物属性点预览!H$2,宠物成长!$F$5:$K$25,3,FALSE)+0)</f>
        <v>728.9</v>
      </c>
      <c r="I52" s="9">
        <f>(宠物成长!$C$1+宠物成长!$C$2/宠物成长!$C$3*宠物成长!$E$30)*(1+VLOOKUP(宠物属性点预览!I$2,宠物成长!$F$4:$K$25,4,FALSE)+0)+(VLOOKUP(宠物属性点预览!$B52,宠物成长!$D$30:$E$129,2,FALSE)-宠物成长!$E$30)*宠物成长!$C$2/宠物成长!$C$3*(1+VLOOKUP(宠物属性点预览!I$2,宠物成长!$F$5:$K$25,3,FALSE)+0)</f>
        <v>958</v>
      </c>
      <c r="J52" s="9">
        <f>(宠物成长!$C$1+宠物成长!$C$2/宠物成长!$C$3*宠物成长!$E$30)*(1+VLOOKUP(宠物属性点预览!J$2,宠物成长!$F$4:$K$25,4,FALSE)+0)+(VLOOKUP(宠物属性点预览!$B52,宠物成长!$D$30:$E$129,2,FALSE)-宠物成长!$E$30)*宠物成长!$C$2/宠物成长!$C$3*(1+VLOOKUP(宠物属性点预览!J$2,宠物成长!$F$5:$K$25,3,FALSE)+0)</f>
        <v>1212.1296296296296</v>
      </c>
      <c r="K52" s="9">
        <f>(宠物成长!$C$1+宠物成长!$C$2/宠物成长!$C$3*宠物成长!$E$30)*(1+VLOOKUP(宠物属性点预览!K$2,宠物成长!$F$4:$K$25,4,FALSE)+0)+(VLOOKUP(宠物属性点预览!$B52,宠物成长!$D$30:$E$129,2,FALSE)-宠物成长!$E$30)*宠物成长!$C$2/宠物成长!$C$3*(1+VLOOKUP(宠物属性点预览!K$2,宠物成长!$F$5:$K$25,3,FALSE)+0)</f>
        <v>1469.1296296296296</v>
      </c>
      <c r="L52" s="9">
        <f>(宠物成长!$C$1+宠物成长!$C$2/宠物成长!$C$3*宠物成长!$E$30)*(1+VLOOKUP(宠物属性点预览!L$2,宠物成长!$F$4:$K$25,4,FALSE)+0)+(VLOOKUP(宠物属性点预览!$B52,宠物成长!$D$30:$E$129,2,FALSE)-宠物成长!$E$30)*宠物成长!$C$2/宠物成长!$C$3*(1+VLOOKUP(宠物属性点预览!L$2,宠物成长!$F$5:$K$25,3,FALSE)+0)</f>
        <v>1728.2242242242241</v>
      </c>
      <c r="M52" s="83">
        <f>(宠物成长!$C$1+宠物成长!$C$2/宠物成长!$C$3*宠物成长!$E$30)*(1+VLOOKUP(宠物属性点预览!M$2,宠物成长!$F$4:$K$25,4,FALSE)+0)+(VLOOKUP(宠物属性点预览!$B52,宠物成长!$D$30:$E$129,2,FALSE)-宠物成长!$E$30)*宠物成长!$C$2/宠物成长!$C$3*(1+VLOOKUP(宠物属性点预览!M$2,宠物成长!$F$5:$K$25,3,FALSE)+0)</f>
        <v>1988.9147004147003</v>
      </c>
      <c r="N52" s="9">
        <f>(宠物成长!$C$1+宠物成长!$C$2/宠物成长!$C$3*宠物成长!$E$30)*(1+VLOOKUP(宠物属性点预览!N$2,宠物成长!$F$4:$K$25,4,FALSE)+0)+(VLOOKUP(宠物属性点预览!$B52,宠物成长!$D$30:$E$129,2,FALSE)-宠物成长!$E$30)*宠物成长!$C$2/宠物成长!$C$3*(1+VLOOKUP(宠物属性点预览!N$2,宠物成长!$F$5:$K$25,3,FALSE)+0)</f>
        <v>2250.8615089253385</v>
      </c>
      <c r="O52" s="9">
        <f>(宠物成长!$C$1+宠物成长!$C$2/宠物成长!$C$3*宠物成长!$E$30)*(1+VLOOKUP(宠物属性点预览!O$2,宠物成长!$F$4:$K$25,4,FALSE)+0)+(VLOOKUP(宠物属性点预览!$B52,宠物成长!$D$30:$E$129,2,FALSE)-宠物成长!$E$30)*宠物成长!$C$2/宠物成长!$C$3*(1+VLOOKUP(宠物属性点预览!O$2,宠物成长!$F$5:$K$25,3,FALSE)+0)</f>
        <v>2513.8230473868766</v>
      </c>
      <c r="P52" s="9">
        <f>(宠物成长!$C$1+宠物成长!$C$2/宠物成长!$C$3*宠物成长!$E$30)*(1+VLOOKUP(宠物属性点预览!P$2,宠物成长!$F$4:$K$25,4,FALSE)+0)+(VLOOKUP(宠物属性点预览!$B52,宠物成长!$D$30:$E$129,2,FALSE)-宠物成长!$E$30)*宠物成长!$C$2/宠物成长!$C$3*(1+VLOOKUP(宠物属性点预览!P$2,宠物成长!$F$5:$K$25,3,FALSE)+0)</f>
        <v>2777.6212930009119</v>
      </c>
      <c r="Q52" s="9">
        <f>(宠物成长!$C$1+宠物成长!$C$2/宠物成长!$C$3*宠物成长!$E$30)*(1+VLOOKUP(宠物属性点预览!Q$2,宠物成长!$F$4:$K$25,4,FALSE)+0)+(VLOOKUP(宠物属性点预览!$B52,宠物成长!$D$30:$E$129,2,FALSE)-宠物成长!$E$30)*宠物成长!$C$2/宠物成长!$C$3*(1+VLOOKUP(宠物属性点预览!Q$2,宠物成长!$F$5:$K$25,3,FALSE)+0)</f>
        <v>3042.1212930009119</v>
      </c>
      <c r="R52" s="9">
        <f>(宠物成长!$C$1+宠物成长!$C$2/宠物成长!$C$3*宠物成长!$E$30)*(1+VLOOKUP(宠物属性点预览!R$2,宠物成长!$F$4:$K$25,4,FALSE)+0)+(VLOOKUP(宠物属性点预览!$B52,宠物成长!$D$30:$E$129,2,FALSE)-宠物成长!$E$30)*宠物成长!$C$2/宠物成长!$C$3*(1+VLOOKUP(宠物属性点预览!R$2,宠物成长!$F$5:$K$25,3,FALSE)+0)</f>
        <v>3307.218307926285</v>
      </c>
      <c r="S52" s="9">
        <f>(宠物成长!$C$1+宠物成长!$C$2/宠物成长!$C$3*宠物成长!$E$30)*(1+VLOOKUP(宠物属性点预览!S$2,宠物成长!$F$4:$K$25,4,FALSE)+0)+(VLOOKUP(宠物属性点预览!$B52,宠物成长!$D$30:$E$129,2,FALSE)-宠物成长!$E$30)*宠物成长!$C$2/宠物成长!$C$3*(1+VLOOKUP(宠物属性点预览!S$2,宠物成长!$F$5:$K$25,3,FALSE)+0)</f>
        <v>3572.8294190373958</v>
      </c>
      <c r="T52" s="83">
        <f t="shared" si="10"/>
        <v>1728.2242242242241</v>
      </c>
      <c r="U52" s="9">
        <f>M52</f>
        <v>1988.9147004147003</v>
      </c>
      <c r="V52" s="9">
        <f>(宠物成长!$C$1+宠物成长!$C$2/宠物成长!$C$3*宠物成长!$E$30)*(1+宠物成长!$I$15+VLOOKUP(宠物属性点预览!V$2,宠物成长!$O$5:$R$10,3,FALSE))+(VLOOKUP(宠物属性点预览!$B52,宠物成长!$D$30:$E$129,2,FALSE)-宠物成长!$E$30)*宠物成长!$C$2/宠物成长!$C$3*(1+宠物成长!$H$15+VLOOKUP(宠物属性点预览!V$2,宠物成长!$O$5:$R$10,2,FALSE))</f>
        <v>1988.9147004147003</v>
      </c>
      <c r="W52" s="9">
        <f>(宠物成长!$C$1+宠物成长!$C$2/宠物成长!$C$3*宠物成长!$E$30)*(1+宠物成长!$I$15+VLOOKUP(宠物属性点预览!W$2,宠物成长!$O$5:$R$10,3,FALSE))+(VLOOKUP(宠物属性点预览!$B52,宠物成长!$D$30:$E$129,2,FALSE)-宠物成长!$E$30)*宠物成长!$C$2/宠物成长!$C$3*(1+宠物成长!$H$15+VLOOKUP(宠物属性点预览!W$2,宠物成长!$O$5:$R$10,2,FALSE))</f>
        <v>2347.9147004147003</v>
      </c>
      <c r="X52" s="9">
        <f>(宠物成长!$C$1+宠物成长!$C$2/宠物成长!$C$3*宠物成长!$E$30)*(1+宠物成长!$I$15+VLOOKUP(宠物属性点预览!X$2,宠物成长!$O$5:$R$10,3,FALSE))+(VLOOKUP(宠物属性点预览!$B52,宠物成长!$D$30:$E$129,2,FALSE)-宠物成长!$E$30)*宠物成长!$C$2/宠物成长!$C$3*(1+宠物成长!$H$15+VLOOKUP(宠物属性点预览!X$2,宠物成长!$O$5:$R$10,2,FALSE))</f>
        <v>2768.9147004147003</v>
      </c>
      <c r="Y52" s="9">
        <f>(宠物成长!$C$1+宠物成长!$C$2/宠物成长!$C$3*宠物成长!$E$30)*(1+宠物成长!$I$15+VLOOKUP(宠物属性点预览!Y$2,宠物成长!$O$5:$R$10,3,FALSE))+(VLOOKUP(宠物属性点预览!$B52,宠物成长!$D$30:$E$129,2,FALSE)-宠物成长!$E$30)*宠物成长!$C$2/宠物成长!$C$3*(1+宠物成长!$H$15+VLOOKUP(宠物属性点预览!Y$2,宠物成长!$O$5:$R$10,2,FALSE))</f>
        <v>3251.9147004147003</v>
      </c>
      <c r="Z52" s="9">
        <f>(宠物成长!$C$1+宠物成长!$C$2/宠物成长!$C$3*宠物成长!$E$30)*(1+宠物成长!$I$15+VLOOKUP(宠物属性点预览!Z$2,宠物成长!$O$5:$R$10,3,FALSE))+(VLOOKUP(宠物属性点预览!$B52,宠物成长!$D$30:$E$129,2,FALSE)-宠物成长!$E$30)*宠物成长!$C$2/宠物成长!$C$3*(1+宠物成长!$H$15+VLOOKUP(宠物属性点预览!Z$2,宠物成长!$O$5:$R$10,2,FALSE))</f>
        <v>3734.9147004147003</v>
      </c>
    </row>
    <row r="53" spans="2:27" x14ac:dyDescent="0.15">
      <c r="B53" s="1">
        <v>51</v>
      </c>
      <c r="C53" s="9">
        <f>(宠物成长!$C$1+宠物成长!$C$2/宠物成长!$C$3*宠物成长!$E$30)*(1+VLOOKUP(宠物属性点预览!C$2,宠物成长!$F$4:$K$25,4,FALSE)+0)+(VLOOKUP(宠物属性点预览!$B53,宠物成长!$D$30:$E$129,2,FALSE)-宠物成长!$E$30)*宠物成长!$C$2/宠物成长!$C$3*(1+VLOOKUP(宠物属性点预览!C$2,宠物成长!$F$5:$K$25,3,FALSE)+0)</f>
        <v>237</v>
      </c>
      <c r="D53" s="9">
        <f>(宠物成长!$C$1+宠物成长!$C$2/宠物成长!$C$3*宠物成长!$E$30)*(1+VLOOKUP(宠物属性点预览!D$2,宠物成长!$F$4:$K$25,4,FALSE)+0)+(VLOOKUP(宠物属性点预览!$B53,宠物成长!$D$30:$E$129,2,FALSE)-宠物成长!$E$30)*宠物成长!$C$2/宠物成长!$C$3*(1+VLOOKUP(宠物属性点预览!D$2,宠物成长!$F$5:$K$25,3,FALSE)+0)</f>
        <v>283.5</v>
      </c>
      <c r="E53" s="9">
        <f>(宠物成长!$C$1+宠物成长!$C$2/宠物成长!$C$3*宠物成长!$E$30)*(1+VLOOKUP(宠物属性点预览!E$2,宠物成长!$F$4:$K$25,4,FALSE)+0)+(VLOOKUP(宠物属性点预览!$B53,宠物成长!$D$30:$E$129,2,FALSE)-宠物成长!$E$30)*宠物成长!$C$2/宠物成长!$C$3*(1+VLOOKUP(宠物属性点预览!E$2,宠物成长!$F$5:$K$25,3,FALSE)+0)</f>
        <v>348.6</v>
      </c>
      <c r="F53" s="9">
        <f>(宠物成长!$C$1+宠物成长!$C$2/宠物成长!$C$3*宠物成长!$E$30)*(1+VLOOKUP(宠物属性点预览!F$2,宠物成长!$F$4:$K$25,4,FALSE)+0)+(VLOOKUP(宠物属性点预览!$B53,宠物成长!$D$30:$E$129,2,FALSE)-宠物成长!$E$30)*宠物成长!$C$2/宠物成长!$C$3*(1+VLOOKUP(宠物属性点预览!F$2,宠物成长!$F$5:$K$25,3,FALSE)+0)</f>
        <v>435.40000000000003</v>
      </c>
      <c r="G53" s="9">
        <f>(宠物成长!$C$1+宠物成长!$C$2/宠物成长!$C$3*宠物成长!$E$30)*(1+VLOOKUP(宠物属性点预览!G$2,宠物成长!$F$4:$K$25,4,FALSE)+0)+(VLOOKUP(宠物属性点预览!$B53,宠物成长!$D$30:$E$129,2,FALSE)-宠物成长!$E$30)*宠物成长!$C$2/宠物成长!$C$3*(1+VLOOKUP(宠物属性点预览!G$2,宠物成长!$F$5:$K$25,3,FALSE)+0)</f>
        <v>559.59999999999991</v>
      </c>
      <c r="H53" s="9">
        <f>(宠物成长!$C$1+宠物成长!$C$2/宠物成长!$C$3*宠物成长!$E$30)*(1+VLOOKUP(宠物属性点预览!H$2,宠物成长!$F$4:$K$25,4,FALSE)+0)+(VLOOKUP(宠物属性点预览!$B53,宠物成长!$D$30:$E$129,2,FALSE)-宠物成长!$E$30)*宠物成长!$C$2/宠物成长!$C$3*(1+VLOOKUP(宠物属性点预览!H$2,宠物成长!$F$5:$K$25,3,FALSE)+0)</f>
        <v>733.4</v>
      </c>
      <c r="I53" s="9">
        <f>(宠物成长!$C$1+宠物成长!$C$2/宠物成长!$C$3*宠物成长!$E$30)*(1+VLOOKUP(宠物属性点预览!I$2,宠物成长!$F$4:$K$25,4,FALSE)+0)+(VLOOKUP(宠物属性点预览!$B53,宠物成长!$D$30:$E$129,2,FALSE)-宠物成长!$E$30)*宠物成长!$C$2/宠物成长!$C$3*(1+VLOOKUP(宠物属性点预览!I$2,宠物成长!$F$5:$K$25,3,FALSE)+0)</f>
        <v>963</v>
      </c>
      <c r="J53" s="9">
        <f>(宠物成长!$C$1+宠物成长!$C$2/宠物成长!$C$3*宠物成长!$E$30)*(1+VLOOKUP(宠物属性点预览!J$2,宠物成长!$F$4:$K$25,4,FALSE)+0)+(VLOOKUP(宠物属性点预览!$B53,宠物成长!$D$30:$E$129,2,FALSE)-宠物成长!$E$30)*宠物成长!$C$2/宠物成长!$C$3*(1+VLOOKUP(宠物属性点预览!J$2,宠物成长!$F$5:$K$25,3,FALSE)+0)</f>
        <v>1217.6296296296296</v>
      </c>
      <c r="K53" s="9">
        <f>(宠物成长!$C$1+宠物成长!$C$2/宠物成长!$C$3*宠物成长!$E$30)*(1+VLOOKUP(宠物属性点预览!K$2,宠物成长!$F$4:$K$25,4,FALSE)+0)+(VLOOKUP(宠物属性点预览!$B53,宠物成长!$D$30:$E$129,2,FALSE)-宠物成长!$E$30)*宠物成长!$C$2/宠物成长!$C$3*(1+VLOOKUP(宠物属性点预览!K$2,宠物成长!$F$5:$K$25,3,FALSE)+0)</f>
        <v>1475.1296296296296</v>
      </c>
      <c r="L53" s="9">
        <f>(宠物成长!$C$1+宠物成长!$C$2/宠物成长!$C$3*宠物成长!$E$30)*(1+VLOOKUP(宠物属性点预览!L$2,宠物成长!$F$4:$K$25,4,FALSE)+0)+(VLOOKUP(宠物属性点预览!$B53,宠物成长!$D$30:$E$129,2,FALSE)-宠物成长!$E$30)*宠物成长!$C$2/宠物成长!$C$3*(1+VLOOKUP(宠物属性点预览!L$2,宠物成长!$F$5:$K$25,3,FALSE)+0)</f>
        <v>1734.7242242242241</v>
      </c>
      <c r="M53" s="9">
        <f>(宠物成长!$C$1+宠物成长!$C$2/宠物成长!$C$3*宠物成长!$E$30)*(1+VLOOKUP(宠物属性点预览!M$2,宠物成长!$F$4:$K$25,4,FALSE)+0)+(VLOOKUP(宠物属性点预览!$B53,宠物成长!$D$30:$E$129,2,FALSE)-宠物成长!$E$30)*宠物成长!$C$2/宠物成长!$C$3*(1+VLOOKUP(宠物属性点预览!M$2,宠物成长!$F$5:$K$25,3,FALSE)+0)</f>
        <v>1995.9147004147003</v>
      </c>
      <c r="N53" s="9">
        <f>(宠物成长!$C$1+宠物成长!$C$2/宠物成长!$C$3*宠物成长!$E$30)*(1+VLOOKUP(宠物属性点预览!N$2,宠物成长!$F$4:$K$25,4,FALSE)+0)+(VLOOKUP(宠物属性点预览!$B53,宠物成长!$D$30:$E$129,2,FALSE)-宠物成长!$E$30)*宠物成长!$C$2/宠物成长!$C$3*(1+VLOOKUP(宠物属性点预览!N$2,宠物成长!$F$5:$K$25,3,FALSE)+0)</f>
        <v>2258.3615089253385</v>
      </c>
      <c r="O53" s="9">
        <f>(宠物成长!$C$1+宠物成长!$C$2/宠物成长!$C$3*宠物成长!$E$30)*(1+VLOOKUP(宠物属性点预览!O$2,宠物成长!$F$4:$K$25,4,FALSE)+0)+(VLOOKUP(宠物属性点预览!$B53,宠物成长!$D$30:$E$129,2,FALSE)-宠物成长!$E$30)*宠物成长!$C$2/宠物成长!$C$3*(1+VLOOKUP(宠物属性点预览!O$2,宠物成长!$F$5:$K$25,3,FALSE)+0)</f>
        <v>2521.8230473868766</v>
      </c>
      <c r="P53" s="9">
        <f>(宠物成长!$C$1+宠物成长!$C$2/宠物成长!$C$3*宠物成长!$E$30)*(1+VLOOKUP(宠物属性点预览!P$2,宠物成长!$F$4:$K$25,4,FALSE)+0)+(VLOOKUP(宠物属性点预览!$B53,宠物成长!$D$30:$E$129,2,FALSE)-宠物成长!$E$30)*宠物成长!$C$2/宠物成长!$C$3*(1+VLOOKUP(宠物属性点预览!P$2,宠物成长!$F$5:$K$25,3,FALSE)+0)</f>
        <v>2786.1212930009119</v>
      </c>
      <c r="Q53" s="9">
        <f>(宠物成长!$C$1+宠物成长!$C$2/宠物成长!$C$3*宠物成长!$E$30)*(1+VLOOKUP(宠物属性点预览!Q$2,宠物成长!$F$4:$K$25,4,FALSE)+0)+(VLOOKUP(宠物属性点预览!$B53,宠物成长!$D$30:$E$129,2,FALSE)-宠物成长!$E$30)*宠物成长!$C$2/宠物成长!$C$3*(1+VLOOKUP(宠物属性点预览!Q$2,宠物成长!$F$5:$K$25,3,FALSE)+0)</f>
        <v>3051.1212930009119</v>
      </c>
      <c r="R53" s="9">
        <f>(宠物成长!$C$1+宠物成长!$C$2/宠物成长!$C$3*宠物成长!$E$30)*(1+VLOOKUP(宠物属性点预览!R$2,宠物成长!$F$4:$K$25,4,FALSE)+0)+(VLOOKUP(宠物属性点预览!$B53,宠物成长!$D$30:$E$129,2,FALSE)-宠物成长!$E$30)*宠物成长!$C$2/宠物成长!$C$3*(1+VLOOKUP(宠物属性点预览!R$2,宠物成长!$F$5:$K$25,3,FALSE)+0)</f>
        <v>3316.718307926285</v>
      </c>
      <c r="S53" s="9">
        <f>(宠物成长!$C$1+宠物成长!$C$2/宠物成长!$C$3*宠物成长!$E$30)*(1+VLOOKUP(宠物属性点预览!S$2,宠物成长!$F$4:$K$25,4,FALSE)+0)+(VLOOKUP(宠物属性点预览!$B53,宠物成长!$D$30:$E$129,2,FALSE)-宠物成长!$E$30)*宠物成长!$C$2/宠物成长!$C$3*(1+VLOOKUP(宠物属性点预览!S$2,宠物成长!$F$5:$K$25,3,FALSE)+0)</f>
        <v>3582.8294190373958</v>
      </c>
      <c r="T53" s="83">
        <f>M53</f>
        <v>1995.9147004147003</v>
      </c>
      <c r="V53" s="9">
        <f>(宠物成长!$C$1+宠物成长!$C$2/宠物成长!$C$3*宠物成长!$E$30)*(1+宠物成长!$I$15+VLOOKUP(宠物属性点预览!V$2,宠物成长!$O$5:$R$10,3,FALSE))+(VLOOKUP(宠物属性点预览!$B53,宠物成长!$D$30:$E$129,2,FALSE)-宠物成长!$E$30)*宠物成长!$C$2/宠物成长!$C$3*(1+宠物成长!$H$15+VLOOKUP(宠物属性点预览!V$2,宠物成长!$O$5:$R$10,2,FALSE))</f>
        <v>1995.9147004147003</v>
      </c>
      <c r="W53" s="9">
        <f>(宠物成长!$C$1+宠物成长!$C$2/宠物成长!$C$3*宠物成长!$E$30)*(1+宠物成长!$I$15+VLOOKUP(宠物属性点预览!W$2,宠物成长!$O$5:$R$10,3,FALSE))+(VLOOKUP(宠物属性点预览!$B53,宠物成长!$D$30:$E$129,2,FALSE)-宠物成长!$E$30)*宠物成长!$C$2/宠物成长!$C$3*(1+宠物成长!$H$15+VLOOKUP(宠物属性点预览!W$2,宠物成长!$O$5:$R$10,2,FALSE))</f>
        <v>2355.9147004147003</v>
      </c>
      <c r="X53" s="9">
        <f>(宠物成长!$C$1+宠物成长!$C$2/宠物成长!$C$3*宠物成长!$E$30)*(1+宠物成长!$I$15+VLOOKUP(宠物属性点预览!X$2,宠物成长!$O$5:$R$10,3,FALSE))+(VLOOKUP(宠物属性点预览!$B53,宠物成长!$D$30:$E$129,2,FALSE)-宠物成长!$E$30)*宠物成长!$C$2/宠物成长!$C$3*(1+宠物成长!$H$15+VLOOKUP(宠物属性点预览!X$2,宠物成长!$O$5:$R$10,2,FALSE))</f>
        <v>2777.9147004147003</v>
      </c>
      <c r="Y53" s="9">
        <f>(宠物成长!$C$1+宠物成长!$C$2/宠物成长!$C$3*宠物成长!$E$30)*(1+宠物成长!$I$15+VLOOKUP(宠物属性点预览!Y$2,宠物成长!$O$5:$R$10,3,FALSE))+(VLOOKUP(宠物属性点预览!$B53,宠物成长!$D$30:$E$129,2,FALSE)-宠物成长!$E$30)*宠物成长!$C$2/宠物成长!$C$3*(1+宠物成长!$H$15+VLOOKUP(宠物属性点预览!Y$2,宠物成长!$O$5:$R$10,2,FALSE))</f>
        <v>3261.9147004147003</v>
      </c>
      <c r="Z53" s="9">
        <f>(宠物成长!$C$1+宠物成长!$C$2/宠物成长!$C$3*宠物成长!$E$30)*(1+宠物成长!$I$15+VLOOKUP(宠物属性点预览!Z$2,宠物成长!$O$5:$R$10,3,FALSE))+(VLOOKUP(宠物属性点预览!$B53,宠物成长!$D$30:$E$129,2,FALSE)-宠物成长!$E$30)*宠物成长!$C$2/宠物成长!$C$3*(1+宠物成长!$H$15+VLOOKUP(宠物属性点预览!Z$2,宠物成长!$O$5:$R$10,2,FALSE))</f>
        <v>3745.9147004147003</v>
      </c>
    </row>
    <row r="54" spans="2:27" x14ac:dyDescent="0.15">
      <c r="B54" s="1">
        <v>52</v>
      </c>
      <c r="C54" s="9">
        <f>(宠物成长!$C$1+宠物成长!$C$2/宠物成长!$C$3*宠物成长!$E$30)*(1+VLOOKUP(宠物属性点预览!C$2,宠物成长!$F$4:$K$25,4,FALSE)+0)+(VLOOKUP(宠物属性点预览!$B54,宠物成长!$D$30:$E$129,2,FALSE)-宠物成长!$E$30)*宠物成长!$C$2/宠物成长!$C$3*(1+VLOOKUP(宠物属性点预览!C$2,宠物成长!$F$5:$K$25,3,FALSE)+0)</f>
        <v>240.5</v>
      </c>
      <c r="D54" s="9">
        <f>(宠物成长!$C$1+宠物成长!$C$2/宠物成长!$C$3*宠物成长!$E$30)*(1+VLOOKUP(宠物属性点预览!D$2,宠物成长!$F$4:$K$25,4,FALSE)+0)+(VLOOKUP(宠物属性点预览!$B54,宠物成长!$D$30:$E$129,2,FALSE)-宠物成长!$E$30)*宠物成长!$C$2/宠物成长!$C$3*(1+VLOOKUP(宠物属性点预览!D$2,宠物成长!$F$5:$K$25,3,FALSE)+0)</f>
        <v>287</v>
      </c>
      <c r="E54" s="9">
        <f>(宠物成长!$C$1+宠物成长!$C$2/宠物成长!$C$3*宠物成长!$E$30)*(1+VLOOKUP(宠物属性点预览!E$2,宠物成长!$F$4:$K$25,4,FALSE)+0)+(VLOOKUP(宠物属性点预览!$B54,宠物成长!$D$30:$E$129,2,FALSE)-宠物成长!$E$30)*宠物成长!$C$2/宠物成长!$C$3*(1+VLOOKUP(宠物属性点预览!E$2,宠物成长!$F$5:$K$25,3,FALSE)+0)</f>
        <v>352.1</v>
      </c>
      <c r="F54" s="9">
        <f>(宠物成长!$C$1+宠物成长!$C$2/宠物成长!$C$3*宠物成长!$E$30)*(1+VLOOKUP(宠物属性点预览!F$2,宠物成长!$F$4:$K$25,4,FALSE)+0)+(VLOOKUP(宠物属性点预览!$B54,宠物成长!$D$30:$E$129,2,FALSE)-宠物成长!$E$30)*宠物成长!$C$2/宠物成长!$C$3*(1+VLOOKUP(宠物属性点预览!F$2,宠物成长!$F$5:$K$25,3,FALSE)+0)</f>
        <v>438.90000000000003</v>
      </c>
      <c r="G54" s="9">
        <f>(宠物成长!$C$1+宠物成长!$C$2/宠物成长!$C$3*宠物成长!$E$30)*(1+VLOOKUP(宠物属性点预览!G$2,宠物成长!$F$4:$K$25,4,FALSE)+0)+(VLOOKUP(宠物属性点预览!$B54,宠物成长!$D$30:$E$129,2,FALSE)-宠物成长!$E$30)*宠物成长!$C$2/宠物成长!$C$3*(1+VLOOKUP(宠物属性点预览!G$2,宠物成长!$F$5:$K$25,3,FALSE)+0)</f>
        <v>563.59999999999991</v>
      </c>
      <c r="H54" s="9">
        <f>(宠物成长!$C$1+宠物成长!$C$2/宠物成长!$C$3*宠物成长!$E$30)*(1+VLOOKUP(宠物属性点预览!H$2,宠物成长!$F$4:$K$25,4,FALSE)+0)+(VLOOKUP(宠物属性点预览!$B54,宠物成长!$D$30:$E$129,2,FALSE)-宠物成长!$E$30)*宠物成长!$C$2/宠物成长!$C$3*(1+VLOOKUP(宠物属性点预览!H$2,宠物成长!$F$5:$K$25,3,FALSE)+0)</f>
        <v>737.9</v>
      </c>
      <c r="I54" s="9">
        <f>(宠物成长!$C$1+宠物成长!$C$2/宠物成长!$C$3*宠物成长!$E$30)*(1+VLOOKUP(宠物属性点预览!I$2,宠物成长!$F$4:$K$25,4,FALSE)+0)+(VLOOKUP(宠物属性点预览!$B54,宠物成长!$D$30:$E$129,2,FALSE)-宠物成长!$E$30)*宠物成长!$C$2/宠物成长!$C$3*(1+VLOOKUP(宠物属性点预览!I$2,宠物成长!$F$5:$K$25,3,FALSE)+0)</f>
        <v>968</v>
      </c>
      <c r="J54" s="9">
        <f>(宠物成长!$C$1+宠物成长!$C$2/宠物成长!$C$3*宠物成长!$E$30)*(1+VLOOKUP(宠物属性点预览!J$2,宠物成长!$F$4:$K$25,4,FALSE)+0)+(VLOOKUP(宠物属性点预览!$B54,宠物成长!$D$30:$E$129,2,FALSE)-宠物成长!$E$30)*宠物成长!$C$2/宠物成长!$C$3*(1+VLOOKUP(宠物属性点预览!J$2,宠物成长!$F$5:$K$25,3,FALSE)+0)</f>
        <v>1223.1296296296296</v>
      </c>
      <c r="K54" s="9">
        <f>(宠物成长!$C$1+宠物成长!$C$2/宠物成长!$C$3*宠物成长!$E$30)*(1+VLOOKUP(宠物属性点预览!K$2,宠物成长!$F$4:$K$25,4,FALSE)+0)+(VLOOKUP(宠物属性点预览!$B54,宠物成长!$D$30:$E$129,2,FALSE)-宠物成长!$E$30)*宠物成长!$C$2/宠物成长!$C$3*(1+VLOOKUP(宠物属性点预览!K$2,宠物成长!$F$5:$K$25,3,FALSE)+0)</f>
        <v>1481.1296296296296</v>
      </c>
      <c r="L54" s="9">
        <f>(宠物成长!$C$1+宠物成长!$C$2/宠物成长!$C$3*宠物成长!$E$30)*(1+VLOOKUP(宠物属性点预览!L$2,宠物成长!$F$4:$K$25,4,FALSE)+0)+(VLOOKUP(宠物属性点预览!$B54,宠物成长!$D$30:$E$129,2,FALSE)-宠物成长!$E$30)*宠物成长!$C$2/宠物成长!$C$3*(1+VLOOKUP(宠物属性点预览!L$2,宠物成长!$F$5:$K$25,3,FALSE)+0)</f>
        <v>1741.2242242242241</v>
      </c>
      <c r="M54" s="9">
        <f>(宠物成长!$C$1+宠物成长!$C$2/宠物成长!$C$3*宠物成长!$E$30)*(1+VLOOKUP(宠物属性点预览!M$2,宠物成长!$F$4:$K$25,4,FALSE)+0)+(VLOOKUP(宠物属性点预览!$B54,宠物成长!$D$30:$E$129,2,FALSE)-宠物成长!$E$30)*宠物成长!$C$2/宠物成长!$C$3*(1+VLOOKUP(宠物属性点预览!M$2,宠物成长!$F$5:$K$25,3,FALSE)+0)</f>
        <v>2002.9147004147003</v>
      </c>
      <c r="N54" s="9">
        <f>(宠物成长!$C$1+宠物成长!$C$2/宠物成长!$C$3*宠物成长!$E$30)*(1+VLOOKUP(宠物属性点预览!N$2,宠物成长!$F$4:$K$25,4,FALSE)+0)+(VLOOKUP(宠物属性点预览!$B54,宠物成长!$D$30:$E$129,2,FALSE)-宠物成长!$E$30)*宠物成长!$C$2/宠物成长!$C$3*(1+VLOOKUP(宠物属性点预览!N$2,宠物成长!$F$5:$K$25,3,FALSE)+0)</f>
        <v>2265.8615089253385</v>
      </c>
      <c r="O54" s="9">
        <f>(宠物成长!$C$1+宠物成长!$C$2/宠物成长!$C$3*宠物成长!$E$30)*(1+VLOOKUP(宠物属性点预览!O$2,宠物成长!$F$4:$K$25,4,FALSE)+0)+(VLOOKUP(宠物属性点预览!$B54,宠物成长!$D$30:$E$129,2,FALSE)-宠物成长!$E$30)*宠物成长!$C$2/宠物成长!$C$3*(1+VLOOKUP(宠物属性点预览!O$2,宠物成长!$F$5:$K$25,3,FALSE)+0)</f>
        <v>2529.8230473868766</v>
      </c>
      <c r="P54" s="9">
        <f>(宠物成长!$C$1+宠物成长!$C$2/宠物成长!$C$3*宠物成长!$E$30)*(1+VLOOKUP(宠物属性点预览!P$2,宠物成长!$F$4:$K$25,4,FALSE)+0)+(VLOOKUP(宠物属性点预览!$B54,宠物成长!$D$30:$E$129,2,FALSE)-宠物成长!$E$30)*宠物成长!$C$2/宠物成长!$C$3*(1+VLOOKUP(宠物属性点预览!P$2,宠物成长!$F$5:$K$25,3,FALSE)+0)</f>
        <v>2794.6212930009119</v>
      </c>
      <c r="Q54" s="9">
        <f>(宠物成长!$C$1+宠物成长!$C$2/宠物成长!$C$3*宠物成长!$E$30)*(1+VLOOKUP(宠物属性点预览!Q$2,宠物成长!$F$4:$K$25,4,FALSE)+0)+(VLOOKUP(宠物属性点预览!$B54,宠物成长!$D$30:$E$129,2,FALSE)-宠物成长!$E$30)*宠物成长!$C$2/宠物成长!$C$3*(1+VLOOKUP(宠物属性点预览!Q$2,宠物成长!$F$5:$K$25,3,FALSE)+0)</f>
        <v>3060.1212930009119</v>
      </c>
      <c r="R54" s="9">
        <f>(宠物成长!$C$1+宠物成长!$C$2/宠物成长!$C$3*宠物成长!$E$30)*(1+VLOOKUP(宠物属性点预览!R$2,宠物成长!$F$4:$K$25,4,FALSE)+0)+(VLOOKUP(宠物属性点预览!$B54,宠物成长!$D$30:$E$129,2,FALSE)-宠物成长!$E$30)*宠物成长!$C$2/宠物成长!$C$3*(1+VLOOKUP(宠物属性点预览!R$2,宠物成长!$F$5:$K$25,3,FALSE)+0)</f>
        <v>3326.218307926285</v>
      </c>
      <c r="S54" s="9">
        <f>(宠物成长!$C$1+宠物成长!$C$2/宠物成长!$C$3*宠物成长!$E$30)*(1+VLOOKUP(宠物属性点预览!S$2,宠物成长!$F$4:$K$25,4,FALSE)+0)+(VLOOKUP(宠物属性点预览!$B54,宠物成长!$D$30:$E$129,2,FALSE)-宠物成长!$E$30)*宠物成长!$C$2/宠物成长!$C$3*(1+VLOOKUP(宠物属性点预览!S$2,宠物成长!$F$5:$K$25,3,FALSE)+0)</f>
        <v>3592.8294190373958</v>
      </c>
      <c r="T54" s="83">
        <f t="shared" ref="T54:T57" si="11">M54</f>
        <v>2002.9147004147003</v>
      </c>
      <c r="V54" s="9">
        <f>(宠物成长!$C$1+宠物成长!$C$2/宠物成长!$C$3*宠物成长!$E$30)*(1+宠物成长!$I$15+VLOOKUP(宠物属性点预览!V$2,宠物成长!$O$5:$R$10,3,FALSE))+(VLOOKUP(宠物属性点预览!$B54,宠物成长!$D$30:$E$129,2,FALSE)-宠物成长!$E$30)*宠物成长!$C$2/宠物成长!$C$3*(1+宠物成长!$H$15+VLOOKUP(宠物属性点预览!V$2,宠物成长!$O$5:$R$10,2,FALSE))</f>
        <v>2002.9147004147003</v>
      </c>
      <c r="W54" s="9">
        <f>(宠物成长!$C$1+宠物成长!$C$2/宠物成长!$C$3*宠物成长!$E$30)*(1+宠物成长!$I$15+VLOOKUP(宠物属性点预览!W$2,宠物成长!$O$5:$R$10,3,FALSE))+(VLOOKUP(宠物属性点预览!$B54,宠物成长!$D$30:$E$129,2,FALSE)-宠物成长!$E$30)*宠物成长!$C$2/宠物成长!$C$3*(1+宠物成长!$H$15+VLOOKUP(宠物属性点预览!W$2,宠物成长!$O$5:$R$10,2,FALSE))</f>
        <v>2363.9147004147003</v>
      </c>
      <c r="X54" s="9">
        <f>(宠物成长!$C$1+宠物成长!$C$2/宠物成长!$C$3*宠物成长!$E$30)*(1+宠物成长!$I$15+VLOOKUP(宠物属性点预览!X$2,宠物成长!$O$5:$R$10,3,FALSE))+(VLOOKUP(宠物属性点预览!$B54,宠物成长!$D$30:$E$129,2,FALSE)-宠物成长!$E$30)*宠物成长!$C$2/宠物成长!$C$3*(1+宠物成长!$H$15+VLOOKUP(宠物属性点预览!X$2,宠物成长!$O$5:$R$10,2,FALSE))</f>
        <v>2786.9147004147003</v>
      </c>
      <c r="Y54" s="9">
        <f>(宠物成长!$C$1+宠物成长!$C$2/宠物成长!$C$3*宠物成长!$E$30)*(1+宠物成长!$I$15+VLOOKUP(宠物属性点预览!Y$2,宠物成长!$O$5:$R$10,3,FALSE))+(VLOOKUP(宠物属性点预览!$B54,宠物成长!$D$30:$E$129,2,FALSE)-宠物成长!$E$30)*宠物成长!$C$2/宠物成长!$C$3*(1+宠物成长!$H$15+VLOOKUP(宠物属性点预览!Y$2,宠物成长!$O$5:$R$10,2,FALSE))</f>
        <v>3271.9147004147003</v>
      </c>
      <c r="Z54" s="9">
        <f>(宠物成长!$C$1+宠物成长!$C$2/宠物成长!$C$3*宠物成长!$E$30)*(1+宠物成长!$I$15+VLOOKUP(宠物属性点预览!Z$2,宠物成长!$O$5:$R$10,3,FALSE))+(VLOOKUP(宠物属性点预览!$B54,宠物成长!$D$30:$E$129,2,FALSE)-宠物成长!$E$30)*宠物成长!$C$2/宠物成长!$C$3*(1+宠物成长!$H$15+VLOOKUP(宠物属性点预览!Z$2,宠物成长!$O$5:$R$10,2,FALSE))</f>
        <v>3756.9147004147003</v>
      </c>
    </row>
    <row r="55" spans="2:27" x14ac:dyDescent="0.15">
      <c r="B55" s="1">
        <v>53</v>
      </c>
      <c r="C55" s="9">
        <f>(宠物成长!$C$1+宠物成长!$C$2/宠物成长!$C$3*宠物成长!$E$30)*(1+VLOOKUP(宠物属性点预览!C$2,宠物成长!$F$4:$K$25,4,FALSE)+0)+(VLOOKUP(宠物属性点预览!$B55,宠物成长!$D$30:$E$129,2,FALSE)-宠物成长!$E$30)*宠物成长!$C$2/宠物成长!$C$3*(1+VLOOKUP(宠物属性点预览!C$2,宠物成长!$F$5:$K$25,3,FALSE)+0)</f>
        <v>244</v>
      </c>
      <c r="D55" s="9">
        <f>(宠物成长!$C$1+宠物成长!$C$2/宠物成长!$C$3*宠物成长!$E$30)*(1+VLOOKUP(宠物属性点预览!D$2,宠物成长!$F$4:$K$25,4,FALSE)+0)+(VLOOKUP(宠物属性点预览!$B55,宠物成长!$D$30:$E$129,2,FALSE)-宠物成长!$E$30)*宠物成长!$C$2/宠物成长!$C$3*(1+VLOOKUP(宠物属性点预览!D$2,宠物成长!$F$5:$K$25,3,FALSE)+0)</f>
        <v>290.5</v>
      </c>
      <c r="E55" s="9">
        <f>(宠物成长!$C$1+宠物成长!$C$2/宠物成长!$C$3*宠物成长!$E$30)*(1+VLOOKUP(宠物属性点预览!E$2,宠物成长!$F$4:$K$25,4,FALSE)+0)+(VLOOKUP(宠物属性点预览!$B55,宠物成长!$D$30:$E$129,2,FALSE)-宠物成长!$E$30)*宠物成长!$C$2/宠物成长!$C$3*(1+VLOOKUP(宠物属性点预览!E$2,宠物成长!$F$5:$K$25,3,FALSE)+0)</f>
        <v>355.6</v>
      </c>
      <c r="F55" s="9">
        <f>(宠物成长!$C$1+宠物成长!$C$2/宠物成长!$C$3*宠物成长!$E$30)*(1+VLOOKUP(宠物属性点预览!F$2,宠物成长!$F$4:$K$25,4,FALSE)+0)+(VLOOKUP(宠物属性点预览!$B55,宠物成长!$D$30:$E$129,2,FALSE)-宠物成长!$E$30)*宠物成长!$C$2/宠物成长!$C$3*(1+VLOOKUP(宠物属性点预览!F$2,宠物成长!$F$5:$K$25,3,FALSE)+0)</f>
        <v>442.40000000000003</v>
      </c>
      <c r="G55" s="9">
        <f>(宠物成长!$C$1+宠物成长!$C$2/宠物成长!$C$3*宠物成长!$E$30)*(1+VLOOKUP(宠物属性点预览!G$2,宠物成长!$F$4:$K$25,4,FALSE)+0)+(VLOOKUP(宠物属性点预览!$B55,宠物成长!$D$30:$E$129,2,FALSE)-宠物成长!$E$30)*宠物成长!$C$2/宠物成长!$C$3*(1+VLOOKUP(宠物属性点预览!G$2,宠物成长!$F$5:$K$25,3,FALSE)+0)</f>
        <v>567.59999999999991</v>
      </c>
      <c r="H55" s="9">
        <f>(宠物成长!$C$1+宠物成长!$C$2/宠物成长!$C$3*宠物成长!$E$30)*(1+VLOOKUP(宠物属性点预览!H$2,宠物成长!$F$4:$K$25,4,FALSE)+0)+(VLOOKUP(宠物属性点预览!$B55,宠物成长!$D$30:$E$129,2,FALSE)-宠物成长!$E$30)*宠物成长!$C$2/宠物成长!$C$3*(1+VLOOKUP(宠物属性点预览!H$2,宠物成长!$F$5:$K$25,3,FALSE)+0)</f>
        <v>742.4</v>
      </c>
      <c r="I55" s="9">
        <f>(宠物成长!$C$1+宠物成长!$C$2/宠物成长!$C$3*宠物成长!$E$30)*(1+VLOOKUP(宠物属性点预览!I$2,宠物成长!$F$4:$K$25,4,FALSE)+0)+(VLOOKUP(宠物属性点预览!$B55,宠物成长!$D$30:$E$129,2,FALSE)-宠物成长!$E$30)*宠物成长!$C$2/宠物成长!$C$3*(1+VLOOKUP(宠物属性点预览!I$2,宠物成长!$F$5:$K$25,3,FALSE)+0)</f>
        <v>973</v>
      </c>
      <c r="J55" s="9">
        <f>(宠物成长!$C$1+宠物成长!$C$2/宠物成长!$C$3*宠物成长!$E$30)*(1+VLOOKUP(宠物属性点预览!J$2,宠物成长!$F$4:$K$25,4,FALSE)+0)+(VLOOKUP(宠物属性点预览!$B55,宠物成长!$D$30:$E$129,2,FALSE)-宠物成长!$E$30)*宠物成长!$C$2/宠物成长!$C$3*(1+VLOOKUP(宠物属性点预览!J$2,宠物成长!$F$5:$K$25,3,FALSE)+0)</f>
        <v>1228.6296296296296</v>
      </c>
      <c r="K55" s="9">
        <f>(宠物成长!$C$1+宠物成长!$C$2/宠物成长!$C$3*宠物成长!$E$30)*(1+VLOOKUP(宠物属性点预览!K$2,宠物成长!$F$4:$K$25,4,FALSE)+0)+(VLOOKUP(宠物属性点预览!$B55,宠物成长!$D$30:$E$129,2,FALSE)-宠物成长!$E$30)*宠物成长!$C$2/宠物成长!$C$3*(1+VLOOKUP(宠物属性点预览!K$2,宠物成长!$F$5:$K$25,3,FALSE)+0)</f>
        <v>1487.1296296296296</v>
      </c>
      <c r="L55" s="9">
        <f>(宠物成长!$C$1+宠物成长!$C$2/宠物成长!$C$3*宠物成长!$E$30)*(1+VLOOKUP(宠物属性点预览!L$2,宠物成长!$F$4:$K$25,4,FALSE)+0)+(VLOOKUP(宠物属性点预览!$B55,宠物成长!$D$30:$E$129,2,FALSE)-宠物成长!$E$30)*宠物成长!$C$2/宠物成长!$C$3*(1+VLOOKUP(宠物属性点预览!L$2,宠物成长!$F$5:$K$25,3,FALSE)+0)</f>
        <v>1747.7242242242241</v>
      </c>
      <c r="M55" s="9">
        <f>(宠物成长!$C$1+宠物成长!$C$2/宠物成长!$C$3*宠物成长!$E$30)*(1+VLOOKUP(宠物属性点预览!M$2,宠物成长!$F$4:$K$25,4,FALSE)+0)+(VLOOKUP(宠物属性点预览!$B55,宠物成长!$D$30:$E$129,2,FALSE)-宠物成长!$E$30)*宠物成长!$C$2/宠物成长!$C$3*(1+VLOOKUP(宠物属性点预览!M$2,宠物成长!$F$5:$K$25,3,FALSE)+0)</f>
        <v>2009.9147004147003</v>
      </c>
      <c r="N55" s="9">
        <f>(宠物成长!$C$1+宠物成长!$C$2/宠物成长!$C$3*宠物成长!$E$30)*(1+VLOOKUP(宠物属性点预览!N$2,宠物成长!$F$4:$K$25,4,FALSE)+0)+(VLOOKUP(宠物属性点预览!$B55,宠物成长!$D$30:$E$129,2,FALSE)-宠物成长!$E$30)*宠物成长!$C$2/宠物成长!$C$3*(1+VLOOKUP(宠物属性点预览!N$2,宠物成长!$F$5:$K$25,3,FALSE)+0)</f>
        <v>2273.3615089253385</v>
      </c>
      <c r="O55" s="9">
        <f>(宠物成长!$C$1+宠物成长!$C$2/宠物成长!$C$3*宠物成长!$E$30)*(1+VLOOKUP(宠物属性点预览!O$2,宠物成长!$F$4:$K$25,4,FALSE)+0)+(VLOOKUP(宠物属性点预览!$B55,宠物成长!$D$30:$E$129,2,FALSE)-宠物成长!$E$30)*宠物成长!$C$2/宠物成长!$C$3*(1+VLOOKUP(宠物属性点预览!O$2,宠物成长!$F$5:$K$25,3,FALSE)+0)</f>
        <v>2537.8230473868766</v>
      </c>
      <c r="P55" s="9">
        <f>(宠物成长!$C$1+宠物成长!$C$2/宠物成长!$C$3*宠物成长!$E$30)*(1+VLOOKUP(宠物属性点预览!P$2,宠物成长!$F$4:$K$25,4,FALSE)+0)+(VLOOKUP(宠物属性点预览!$B55,宠物成长!$D$30:$E$129,2,FALSE)-宠物成长!$E$30)*宠物成长!$C$2/宠物成长!$C$3*(1+VLOOKUP(宠物属性点预览!P$2,宠物成长!$F$5:$K$25,3,FALSE)+0)</f>
        <v>2803.1212930009119</v>
      </c>
      <c r="Q55" s="9">
        <f>(宠物成长!$C$1+宠物成长!$C$2/宠物成长!$C$3*宠物成长!$E$30)*(1+VLOOKUP(宠物属性点预览!Q$2,宠物成长!$F$4:$K$25,4,FALSE)+0)+(VLOOKUP(宠物属性点预览!$B55,宠物成长!$D$30:$E$129,2,FALSE)-宠物成长!$E$30)*宠物成长!$C$2/宠物成长!$C$3*(1+VLOOKUP(宠物属性点预览!Q$2,宠物成长!$F$5:$K$25,3,FALSE)+0)</f>
        <v>3069.1212930009119</v>
      </c>
      <c r="R55" s="9">
        <f>(宠物成长!$C$1+宠物成长!$C$2/宠物成长!$C$3*宠物成长!$E$30)*(1+VLOOKUP(宠物属性点预览!R$2,宠物成长!$F$4:$K$25,4,FALSE)+0)+(VLOOKUP(宠物属性点预览!$B55,宠物成长!$D$30:$E$129,2,FALSE)-宠物成长!$E$30)*宠物成长!$C$2/宠物成长!$C$3*(1+VLOOKUP(宠物属性点预览!R$2,宠物成长!$F$5:$K$25,3,FALSE)+0)</f>
        <v>3335.718307926285</v>
      </c>
      <c r="S55" s="9">
        <f>(宠物成长!$C$1+宠物成长!$C$2/宠物成长!$C$3*宠物成长!$E$30)*(1+VLOOKUP(宠物属性点预览!S$2,宠物成长!$F$4:$K$25,4,FALSE)+0)+(VLOOKUP(宠物属性点预览!$B55,宠物成长!$D$30:$E$129,2,FALSE)-宠物成长!$E$30)*宠物成长!$C$2/宠物成长!$C$3*(1+VLOOKUP(宠物属性点预览!S$2,宠物成长!$F$5:$K$25,3,FALSE)+0)</f>
        <v>3602.8294190373958</v>
      </c>
      <c r="T55" s="83">
        <f t="shared" si="11"/>
        <v>2009.9147004147003</v>
      </c>
      <c r="V55" s="9">
        <f>(宠物成长!$C$1+宠物成长!$C$2/宠物成长!$C$3*宠物成长!$E$30)*(1+宠物成长!$I$15+VLOOKUP(宠物属性点预览!V$2,宠物成长!$O$5:$R$10,3,FALSE))+(VLOOKUP(宠物属性点预览!$B55,宠物成长!$D$30:$E$129,2,FALSE)-宠物成长!$E$30)*宠物成长!$C$2/宠物成长!$C$3*(1+宠物成长!$H$15+VLOOKUP(宠物属性点预览!V$2,宠物成长!$O$5:$R$10,2,FALSE))</f>
        <v>2009.9147004147003</v>
      </c>
      <c r="W55" s="9">
        <f>(宠物成长!$C$1+宠物成长!$C$2/宠物成长!$C$3*宠物成长!$E$30)*(1+宠物成长!$I$15+VLOOKUP(宠物属性点预览!W$2,宠物成长!$O$5:$R$10,3,FALSE))+(VLOOKUP(宠物属性点预览!$B55,宠物成长!$D$30:$E$129,2,FALSE)-宠物成长!$E$30)*宠物成长!$C$2/宠物成长!$C$3*(1+宠物成长!$H$15+VLOOKUP(宠物属性点预览!W$2,宠物成长!$O$5:$R$10,2,FALSE))</f>
        <v>2371.9147004147003</v>
      </c>
      <c r="X55" s="9">
        <f>(宠物成长!$C$1+宠物成长!$C$2/宠物成长!$C$3*宠物成长!$E$30)*(1+宠物成长!$I$15+VLOOKUP(宠物属性点预览!X$2,宠物成长!$O$5:$R$10,3,FALSE))+(VLOOKUP(宠物属性点预览!$B55,宠物成长!$D$30:$E$129,2,FALSE)-宠物成长!$E$30)*宠物成长!$C$2/宠物成长!$C$3*(1+宠物成长!$H$15+VLOOKUP(宠物属性点预览!X$2,宠物成长!$O$5:$R$10,2,FALSE))</f>
        <v>2795.9147004147003</v>
      </c>
      <c r="Y55" s="9">
        <f>(宠物成长!$C$1+宠物成长!$C$2/宠物成长!$C$3*宠物成长!$E$30)*(1+宠物成长!$I$15+VLOOKUP(宠物属性点预览!Y$2,宠物成长!$O$5:$R$10,3,FALSE))+(VLOOKUP(宠物属性点预览!$B55,宠物成长!$D$30:$E$129,2,FALSE)-宠物成长!$E$30)*宠物成长!$C$2/宠物成长!$C$3*(1+宠物成长!$H$15+VLOOKUP(宠物属性点预览!Y$2,宠物成长!$O$5:$R$10,2,FALSE))</f>
        <v>3281.9147004147003</v>
      </c>
      <c r="Z55" s="9">
        <f>(宠物成长!$C$1+宠物成长!$C$2/宠物成长!$C$3*宠物成长!$E$30)*(1+宠物成长!$I$15+VLOOKUP(宠物属性点预览!Z$2,宠物成长!$O$5:$R$10,3,FALSE))+(VLOOKUP(宠物属性点预览!$B55,宠物成长!$D$30:$E$129,2,FALSE)-宠物成长!$E$30)*宠物成长!$C$2/宠物成长!$C$3*(1+宠物成长!$H$15+VLOOKUP(宠物属性点预览!Z$2,宠物成长!$O$5:$R$10,2,FALSE))</f>
        <v>3767.9147004147003</v>
      </c>
    </row>
    <row r="56" spans="2:27" x14ac:dyDescent="0.15">
      <c r="B56" s="1">
        <v>54</v>
      </c>
      <c r="C56" s="9">
        <f>(宠物成长!$C$1+宠物成长!$C$2/宠物成长!$C$3*宠物成长!$E$30)*(1+VLOOKUP(宠物属性点预览!C$2,宠物成长!$F$4:$K$25,4,FALSE)+0)+(VLOOKUP(宠物属性点预览!$B56,宠物成长!$D$30:$E$129,2,FALSE)-宠物成长!$E$30)*宠物成长!$C$2/宠物成长!$C$3*(1+VLOOKUP(宠物属性点预览!C$2,宠物成长!$F$5:$K$25,3,FALSE)+0)</f>
        <v>247.5</v>
      </c>
      <c r="D56" s="9">
        <f>(宠物成长!$C$1+宠物成长!$C$2/宠物成长!$C$3*宠物成长!$E$30)*(1+VLOOKUP(宠物属性点预览!D$2,宠物成长!$F$4:$K$25,4,FALSE)+0)+(VLOOKUP(宠物属性点预览!$B56,宠物成长!$D$30:$E$129,2,FALSE)-宠物成长!$E$30)*宠物成长!$C$2/宠物成长!$C$3*(1+VLOOKUP(宠物属性点预览!D$2,宠物成长!$F$5:$K$25,3,FALSE)+0)</f>
        <v>294</v>
      </c>
      <c r="E56" s="9">
        <f>(宠物成长!$C$1+宠物成长!$C$2/宠物成长!$C$3*宠物成长!$E$30)*(1+VLOOKUP(宠物属性点预览!E$2,宠物成长!$F$4:$K$25,4,FALSE)+0)+(VLOOKUP(宠物属性点预览!$B56,宠物成长!$D$30:$E$129,2,FALSE)-宠物成长!$E$30)*宠物成长!$C$2/宠物成长!$C$3*(1+VLOOKUP(宠物属性点预览!E$2,宠物成长!$F$5:$K$25,3,FALSE)+0)</f>
        <v>359.1</v>
      </c>
      <c r="F56" s="9">
        <f>(宠物成长!$C$1+宠物成长!$C$2/宠物成长!$C$3*宠物成长!$E$30)*(1+VLOOKUP(宠物属性点预览!F$2,宠物成长!$F$4:$K$25,4,FALSE)+0)+(VLOOKUP(宠物属性点预览!$B56,宠物成长!$D$30:$E$129,2,FALSE)-宠物成长!$E$30)*宠物成长!$C$2/宠物成长!$C$3*(1+VLOOKUP(宠物属性点预览!F$2,宠物成长!$F$5:$K$25,3,FALSE)+0)</f>
        <v>445.90000000000003</v>
      </c>
      <c r="G56" s="9">
        <f>(宠物成长!$C$1+宠物成长!$C$2/宠物成长!$C$3*宠物成长!$E$30)*(1+VLOOKUP(宠物属性点预览!G$2,宠物成长!$F$4:$K$25,4,FALSE)+0)+(VLOOKUP(宠物属性点预览!$B56,宠物成长!$D$30:$E$129,2,FALSE)-宠物成长!$E$30)*宠物成长!$C$2/宠物成长!$C$3*(1+VLOOKUP(宠物属性点预览!G$2,宠物成长!$F$5:$K$25,3,FALSE)+0)</f>
        <v>571.59999999999991</v>
      </c>
      <c r="H56" s="9">
        <f>(宠物成长!$C$1+宠物成长!$C$2/宠物成长!$C$3*宠物成长!$E$30)*(1+VLOOKUP(宠物属性点预览!H$2,宠物成长!$F$4:$K$25,4,FALSE)+0)+(VLOOKUP(宠物属性点预览!$B56,宠物成长!$D$30:$E$129,2,FALSE)-宠物成长!$E$30)*宠物成长!$C$2/宠物成长!$C$3*(1+VLOOKUP(宠物属性点预览!H$2,宠物成长!$F$5:$K$25,3,FALSE)+0)</f>
        <v>746.9</v>
      </c>
      <c r="I56" s="9">
        <f>(宠物成长!$C$1+宠物成长!$C$2/宠物成长!$C$3*宠物成长!$E$30)*(1+VLOOKUP(宠物属性点预览!I$2,宠物成长!$F$4:$K$25,4,FALSE)+0)+(VLOOKUP(宠物属性点预览!$B56,宠物成长!$D$30:$E$129,2,FALSE)-宠物成长!$E$30)*宠物成长!$C$2/宠物成长!$C$3*(1+VLOOKUP(宠物属性点预览!I$2,宠物成长!$F$5:$K$25,3,FALSE)+0)</f>
        <v>978</v>
      </c>
      <c r="J56" s="9">
        <f>(宠物成长!$C$1+宠物成长!$C$2/宠物成长!$C$3*宠物成长!$E$30)*(1+VLOOKUP(宠物属性点预览!J$2,宠物成长!$F$4:$K$25,4,FALSE)+0)+(VLOOKUP(宠物属性点预览!$B56,宠物成长!$D$30:$E$129,2,FALSE)-宠物成长!$E$30)*宠物成长!$C$2/宠物成长!$C$3*(1+VLOOKUP(宠物属性点预览!J$2,宠物成长!$F$5:$K$25,3,FALSE)+0)</f>
        <v>1234.1296296296296</v>
      </c>
      <c r="K56" s="9">
        <f>(宠物成长!$C$1+宠物成长!$C$2/宠物成长!$C$3*宠物成长!$E$30)*(1+VLOOKUP(宠物属性点预览!K$2,宠物成长!$F$4:$K$25,4,FALSE)+0)+(VLOOKUP(宠物属性点预览!$B56,宠物成长!$D$30:$E$129,2,FALSE)-宠物成长!$E$30)*宠物成长!$C$2/宠物成长!$C$3*(1+VLOOKUP(宠物属性点预览!K$2,宠物成长!$F$5:$K$25,3,FALSE)+0)</f>
        <v>1493.1296296296296</v>
      </c>
      <c r="L56" s="9">
        <f>(宠物成长!$C$1+宠物成长!$C$2/宠物成长!$C$3*宠物成长!$E$30)*(1+VLOOKUP(宠物属性点预览!L$2,宠物成长!$F$4:$K$25,4,FALSE)+0)+(VLOOKUP(宠物属性点预览!$B56,宠物成长!$D$30:$E$129,2,FALSE)-宠物成长!$E$30)*宠物成长!$C$2/宠物成长!$C$3*(1+VLOOKUP(宠物属性点预览!L$2,宠物成长!$F$5:$K$25,3,FALSE)+0)</f>
        <v>1754.2242242242241</v>
      </c>
      <c r="M56" s="9">
        <f>(宠物成长!$C$1+宠物成长!$C$2/宠物成长!$C$3*宠物成长!$E$30)*(1+VLOOKUP(宠物属性点预览!M$2,宠物成长!$F$4:$K$25,4,FALSE)+0)+(VLOOKUP(宠物属性点预览!$B56,宠物成长!$D$30:$E$129,2,FALSE)-宠物成长!$E$30)*宠物成长!$C$2/宠物成长!$C$3*(1+VLOOKUP(宠物属性点预览!M$2,宠物成长!$F$5:$K$25,3,FALSE)+0)</f>
        <v>2016.9147004147003</v>
      </c>
      <c r="N56" s="9">
        <f>(宠物成长!$C$1+宠物成长!$C$2/宠物成长!$C$3*宠物成长!$E$30)*(1+VLOOKUP(宠物属性点预览!N$2,宠物成长!$F$4:$K$25,4,FALSE)+0)+(VLOOKUP(宠物属性点预览!$B56,宠物成长!$D$30:$E$129,2,FALSE)-宠物成长!$E$30)*宠物成长!$C$2/宠物成长!$C$3*(1+VLOOKUP(宠物属性点预览!N$2,宠物成长!$F$5:$K$25,3,FALSE)+0)</f>
        <v>2280.8615089253385</v>
      </c>
      <c r="O56" s="9">
        <f>(宠物成长!$C$1+宠物成长!$C$2/宠物成长!$C$3*宠物成长!$E$30)*(1+VLOOKUP(宠物属性点预览!O$2,宠物成长!$F$4:$K$25,4,FALSE)+0)+(VLOOKUP(宠物属性点预览!$B56,宠物成长!$D$30:$E$129,2,FALSE)-宠物成长!$E$30)*宠物成长!$C$2/宠物成长!$C$3*(1+VLOOKUP(宠物属性点预览!O$2,宠物成长!$F$5:$K$25,3,FALSE)+0)</f>
        <v>2545.8230473868766</v>
      </c>
      <c r="P56" s="9">
        <f>(宠物成长!$C$1+宠物成长!$C$2/宠物成长!$C$3*宠物成长!$E$30)*(1+VLOOKUP(宠物属性点预览!P$2,宠物成长!$F$4:$K$25,4,FALSE)+0)+(VLOOKUP(宠物属性点预览!$B56,宠物成长!$D$30:$E$129,2,FALSE)-宠物成长!$E$30)*宠物成长!$C$2/宠物成长!$C$3*(1+VLOOKUP(宠物属性点预览!P$2,宠物成长!$F$5:$K$25,3,FALSE)+0)</f>
        <v>2811.6212930009119</v>
      </c>
      <c r="Q56" s="9">
        <f>(宠物成长!$C$1+宠物成长!$C$2/宠物成长!$C$3*宠物成长!$E$30)*(1+VLOOKUP(宠物属性点预览!Q$2,宠物成长!$F$4:$K$25,4,FALSE)+0)+(VLOOKUP(宠物属性点预览!$B56,宠物成长!$D$30:$E$129,2,FALSE)-宠物成长!$E$30)*宠物成长!$C$2/宠物成长!$C$3*(1+VLOOKUP(宠物属性点预览!Q$2,宠物成长!$F$5:$K$25,3,FALSE)+0)</f>
        <v>3078.1212930009119</v>
      </c>
      <c r="R56" s="9">
        <f>(宠物成长!$C$1+宠物成长!$C$2/宠物成长!$C$3*宠物成长!$E$30)*(1+VLOOKUP(宠物属性点预览!R$2,宠物成长!$F$4:$K$25,4,FALSE)+0)+(VLOOKUP(宠物属性点预览!$B56,宠物成长!$D$30:$E$129,2,FALSE)-宠物成长!$E$30)*宠物成长!$C$2/宠物成长!$C$3*(1+VLOOKUP(宠物属性点预览!R$2,宠物成长!$F$5:$K$25,3,FALSE)+0)</f>
        <v>3345.218307926285</v>
      </c>
      <c r="S56" s="9">
        <f>(宠物成长!$C$1+宠物成长!$C$2/宠物成长!$C$3*宠物成长!$E$30)*(1+VLOOKUP(宠物属性点预览!S$2,宠物成长!$F$4:$K$25,4,FALSE)+0)+(VLOOKUP(宠物属性点预览!$B56,宠物成长!$D$30:$E$129,2,FALSE)-宠物成长!$E$30)*宠物成长!$C$2/宠物成长!$C$3*(1+VLOOKUP(宠物属性点预览!S$2,宠物成长!$F$5:$K$25,3,FALSE)+0)</f>
        <v>3612.8294190373958</v>
      </c>
      <c r="T56" s="83">
        <f t="shared" si="11"/>
        <v>2016.9147004147003</v>
      </c>
      <c r="V56" s="9">
        <f>(宠物成长!$C$1+宠物成长!$C$2/宠物成长!$C$3*宠物成长!$E$30)*(1+宠物成长!$I$15+VLOOKUP(宠物属性点预览!V$2,宠物成长!$O$5:$R$10,3,FALSE))+(VLOOKUP(宠物属性点预览!$B56,宠物成长!$D$30:$E$129,2,FALSE)-宠物成长!$E$30)*宠物成长!$C$2/宠物成长!$C$3*(1+宠物成长!$H$15+VLOOKUP(宠物属性点预览!V$2,宠物成长!$O$5:$R$10,2,FALSE))</f>
        <v>2016.9147004147003</v>
      </c>
      <c r="W56" s="9">
        <f>(宠物成长!$C$1+宠物成长!$C$2/宠物成长!$C$3*宠物成长!$E$30)*(1+宠物成长!$I$15+VLOOKUP(宠物属性点预览!W$2,宠物成长!$O$5:$R$10,3,FALSE))+(VLOOKUP(宠物属性点预览!$B56,宠物成长!$D$30:$E$129,2,FALSE)-宠物成长!$E$30)*宠物成长!$C$2/宠物成长!$C$3*(1+宠物成长!$H$15+VLOOKUP(宠物属性点预览!W$2,宠物成长!$O$5:$R$10,2,FALSE))</f>
        <v>2379.9147004147003</v>
      </c>
      <c r="X56" s="9">
        <f>(宠物成长!$C$1+宠物成长!$C$2/宠物成长!$C$3*宠物成长!$E$30)*(1+宠物成长!$I$15+VLOOKUP(宠物属性点预览!X$2,宠物成长!$O$5:$R$10,3,FALSE))+(VLOOKUP(宠物属性点预览!$B56,宠物成长!$D$30:$E$129,2,FALSE)-宠物成长!$E$30)*宠物成长!$C$2/宠物成长!$C$3*(1+宠物成长!$H$15+VLOOKUP(宠物属性点预览!X$2,宠物成长!$O$5:$R$10,2,FALSE))</f>
        <v>2804.9147004147003</v>
      </c>
      <c r="Y56" s="9">
        <f>(宠物成长!$C$1+宠物成长!$C$2/宠物成长!$C$3*宠物成长!$E$30)*(1+宠物成长!$I$15+VLOOKUP(宠物属性点预览!Y$2,宠物成长!$O$5:$R$10,3,FALSE))+(VLOOKUP(宠物属性点预览!$B56,宠物成长!$D$30:$E$129,2,FALSE)-宠物成长!$E$30)*宠物成长!$C$2/宠物成长!$C$3*(1+宠物成长!$H$15+VLOOKUP(宠物属性点预览!Y$2,宠物成长!$O$5:$R$10,2,FALSE))</f>
        <v>3291.9147004147003</v>
      </c>
      <c r="Z56" s="9">
        <f>(宠物成长!$C$1+宠物成长!$C$2/宠物成长!$C$3*宠物成长!$E$30)*(1+宠物成长!$I$15+VLOOKUP(宠物属性点预览!Z$2,宠物成长!$O$5:$R$10,3,FALSE))+(VLOOKUP(宠物属性点预览!$B56,宠物成长!$D$30:$E$129,2,FALSE)-宠物成长!$E$30)*宠物成长!$C$2/宠物成长!$C$3*(1+宠物成长!$H$15+VLOOKUP(宠物属性点预览!Z$2,宠物成长!$O$5:$R$10,2,FALSE))</f>
        <v>3778.9147004147003</v>
      </c>
    </row>
    <row r="57" spans="2:27" x14ac:dyDescent="0.15">
      <c r="B57" s="1">
        <v>55</v>
      </c>
      <c r="C57" s="9">
        <f>(宠物成长!$C$1+宠物成长!$C$2/宠物成长!$C$3*宠物成长!$E$30)*(1+VLOOKUP(宠物属性点预览!C$2,宠物成长!$F$4:$K$25,4,FALSE)+0)+(VLOOKUP(宠物属性点预览!$B57,宠物成长!$D$30:$E$129,2,FALSE)-宠物成长!$E$30)*宠物成长!$C$2/宠物成长!$C$3*(1+VLOOKUP(宠物属性点预览!C$2,宠物成长!$F$5:$K$25,3,FALSE)+0)</f>
        <v>251</v>
      </c>
      <c r="D57" s="9">
        <f>(宠物成长!$C$1+宠物成长!$C$2/宠物成长!$C$3*宠物成长!$E$30)*(1+VLOOKUP(宠物属性点预览!D$2,宠物成长!$F$4:$K$25,4,FALSE)+0)+(VLOOKUP(宠物属性点预览!$B57,宠物成长!$D$30:$E$129,2,FALSE)-宠物成长!$E$30)*宠物成长!$C$2/宠物成长!$C$3*(1+VLOOKUP(宠物属性点预览!D$2,宠物成长!$F$5:$K$25,3,FALSE)+0)</f>
        <v>297.5</v>
      </c>
      <c r="E57" s="9">
        <f>(宠物成长!$C$1+宠物成长!$C$2/宠物成长!$C$3*宠物成长!$E$30)*(1+VLOOKUP(宠物属性点预览!E$2,宠物成长!$F$4:$K$25,4,FALSE)+0)+(VLOOKUP(宠物属性点预览!$B57,宠物成长!$D$30:$E$129,2,FALSE)-宠物成长!$E$30)*宠物成长!$C$2/宠物成长!$C$3*(1+VLOOKUP(宠物属性点预览!E$2,宠物成长!$F$5:$K$25,3,FALSE)+0)</f>
        <v>362.6</v>
      </c>
      <c r="F57" s="9">
        <f>(宠物成长!$C$1+宠物成长!$C$2/宠物成长!$C$3*宠物成长!$E$30)*(1+VLOOKUP(宠物属性点预览!F$2,宠物成长!$F$4:$K$25,4,FALSE)+0)+(VLOOKUP(宠物属性点预览!$B57,宠物成长!$D$30:$E$129,2,FALSE)-宠物成长!$E$30)*宠物成长!$C$2/宠物成长!$C$3*(1+VLOOKUP(宠物属性点预览!F$2,宠物成长!$F$5:$K$25,3,FALSE)+0)</f>
        <v>449.40000000000003</v>
      </c>
      <c r="G57" s="9">
        <f>(宠物成长!$C$1+宠物成长!$C$2/宠物成长!$C$3*宠物成长!$E$30)*(1+VLOOKUP(宠物属性点预览!G$2,宠物成长!$F$4:$K$25,4,FALSE)+0)+(VLOOKUP(宠物属性点预览!$B57,宠物成长!$D$30:$E$129,2,FALSE)-宠物成长!$E$30)*宠物成长!$C$2/宠物成长!$C$3*(1+VLOOKUP(宠物属性点预览!G$2,宠物成长!$F$5:$K$25,3,FALSE)+0)</f>
        <v>575.59999999999991</v>
      </c>
      <c r="H57" s="9">
        <f>(宠物成长!$C$1+宠物成长!$C$2/宠物成长!$C$3*宠物成长!$E$30)*(1+VLOOKUP(宠物属性点预览!H$2,宠物成长!$F$4:$K$25,4,FALSE)+0)+(VLOOKUP(宠物属性点预览!$B57,宠物成长!$D$30:$E$129,2,FALSE)-宠物成长!$E$30)*宠物成长!$C$2/宠物成长!$C$3*(1+VLOOKUP(宠物属性点预览!H$2,宠物成长!$F$5:$K$25,3,FALSE)+0)</f>
        <v>751.4</v>
      </c>
      <c r="I57" s="9">
        <f>(宠物成长!$C$1+宠物成长!$C$2/宠物成长!$C$3*宠物成长!$E$30)*(1+VLOOKUP(宠物属性点预览!I$2,宠物成长!$F$4:$K$25,4,FALSE)+0)+(VLOOKUP(宠物属性点预览!$B57,宠物成长!$D$30:$E$129,2,FALSE)-宠物成长!$E$30)*宠物成长!$C$2/宠物成长!$C$3*(1+VLOOKUP(宠物属性点预览!I$2,宠物成长!$F$5:$K$25,3,FALSE)+0)</f>
        <v>983</v>
      </c>
      <c r="J57" s="9">
        <f>(宠物成长!$C$1+宠物成长!$C$2/宠物成长!$C$3*宠物成长!$E$30)*(1+VLOOKUP(宠物属性点预览!J$2,宠物成长!$F$4:$K$25,4,FALSE)+0)+(VLOOKUP(宠物属性点预览!$B57,宠物成长!$D$30:$E$129,2,FALSE)-宠物成长!$E$30)*宠物成长!$C$2/宠物成长!$C$3*(1+VLOOKUP(宠物属性点预览!J$2,宠物成长!$F$5:$K$25,3,FALSE)+0)</f>
        <v>1239.6296296296296</v>
      </c>
      <c r="K57" s="9">
        <f>(宠物成长!$C$1+宠物成长!$C$2/宠物成长!$C$3*宠物成长!$E$30)*(1+VLOOKUP(宠物属性点预览!K$2,宠物成长!$F$4:$K$25,4,FALSE)+0)+(VLOOKUP(宠物属性点预览!$B57,宠物成长!$D$30:$E$129,2,FALSE)-宠物成长!$E$30)*宠物成长!$C$2/宠物成长!$C$3*(1+VLOOKUP(宠物属性点预览!K$2,宠物成长!$F$5:$K$25,3,FALSE)+0)</f>
        <v>1499.1296296296296</v>
      </c>
      <c r="L57" s="9">
        <f>(宠物成长!$C$1+宠物成长!$C$2/宠物成长!$C$3*宠物成长!$E$30)*(1+VLOOKUP(宠物属性点预览!L$2,宠物成长!$F$4:$K$25,4,FALSE)+0)+(VLOOKUP(宠物属性点预览!$B57,宠物成长!$D$30:$E$129,2,FALSE)-宠物成长!$E$30)*宠物成长!$C$2/宠物成长!$C$3*(1+VLOOKUP(宠物属性点预览!L$2,宠物成长!$F$5:$K$25,3,FALSE)+0)</f>
        <v>1760.7242242242241</v>
      </c>
      <c r="M57" s="9">
        <f>(宠物成长!$C$1+宠物成长!$C$2/宠物成长!$C$3*宠物成长!$E$30)*(1+VLOOKUP(宠物属性点预览!M$2,宠物成长!$F$4:$K$25,4,FALSE)+0)+(VLOOKUP(宠物属性点预览!$B57,宠物成长!$D$30:$E$129,2,FALSE)-宠物成长!$E$30)*宠物成长!$C$2/宠物成长!$C$3*(1+VLOOKUP(宠物属性点预览!M$2,宠物成长!$F$5:$K$25,3,FALSE)+0)</f>
        <v>2023.9147004147003</v>
      </c>
      <c r="N57" s="83">
        <f>(宠物成长!$C$1+宠物成长!$C$2/宠物成长!$C$3*宠物成长!$E$30)*(1+VLOOKUP(宠物属性点预览!N$2,宠物成长!$F$4:$K$25,4,FALSE)+0)+(VLOOKUP(宠物属性点预览!$B57,宠物成长!$D$30:$E$129,2,FALSE)-宠物成长!$E$30)*宠物成长!$C$2/宠物成长!$C$3*(1+VLOOKUP(宠物属性点预览!N$2,宠物成长!$F$5:$K$25,3,FALSE)+0)</f>
        <v>2288.3615089253385</v>
      </c>
      <c r="O57" s="9">
        <f>(宠物成长!$C$1+宠物成长!$C$2/宠物成长!$C$3*宠物成长!$E$30)*(1+VLOOKUP(宠物属性点预览!O$2,宠物成长!$F$4:$K$25,4,FALSE)+0)+(VLOOKUP(宠物属性点预览!$B57,宠物成长!$D$30:$E$129,2,FALSE)-宠物成长!$E$30)*宠物成长!$C$2/宠物成长!$C$3*(1+VLOOKUP(宠物属性点预览!O$2,宠物成长!$F$5:$K$25,3,FALSE)+0)</f>
        <v>2553.8230473868766</v>
      </c>
      <c r="P57" s="9">
        <f>(宠物成长!$C$1+宠物成长!$C$2/宠物成长!$C$3*宠物成长!$E$30)*(1+VLOOKUP(宠物属性点预览!P$2,宠物成长!$F$4:$K$25,4,FALSE)+0)+(VLOOKUP(宠物属性点预览!$B57,宠物成长!$D$30:$E$129,2,FALSE)-宠物成长!$E$30)*宠物成长!$C$2/宠物成长!$C$3*(1+VLOOKUP(宠物属性点预览!P$2,宠物成长!$F$5:$K$25,3,FALSE)+0)</f>
        <v>2820.1212930009119</v>
      </c>
      <c r="Q57" s="9">
        <f>(宠物成长!$C$1+宠物成长!$C$2/宠物成长!$C$3*宠物成长!$E$30)*(1+VLOOKUP(宠物属性点预览!Q$2,宠物成长!$F$4:$K$25,4,FALSE)+0)+(VLOOKUP(宠物属性点预览!$B57,宠物成长!$D$30:$E$129,2,FALSE)-宠物成长!$E$30)*宠物成长!$C$2/宠物成长!$C$3*(1+VLOOKUP(宠物属性点预览!Q$2,宠物成长!$F$5:$K$25,3,FALSE)+0)</f>
        <v>3087.1212930009119</v>
      </c>
      <c r="R57" s="9">
        <f>(宠物成长!$C$1+宠物成长!$C$2/宠物成长!$C$3*宠物成长!$E$30)*(1+VLOOKUP(宠物属性点预览!R$2,宠物成长!$F$4:$K$25,4,FALSE)+0)+(VLOOKUP(宠物属性点预览!$B57,宠物成长!$D$30:$E$129,2,FALSE)-宠物成长!$E$30)*宠物成长!$C$2/宠物成长!$C$3*(1+VLOOKUP(宠物属性点预览!R$2,宠物成长!$F$5:$K$25,3,FALSE)+0)</f>
        <v>3354.718307926285</v>
      </c>
      <c r="S57" s="9">
        <f>(宠物成长!$C$1+宠物成长!$C$2/宠物成长!$C$3*宠物成长!$E$30)*(1+VLOOKUP(宠物属性点预览!S$2,宠物成长!$F$4:$K$25,4,FALSE)+0)+(VLOOKUP(宠物属性点预览!$B57,宠物成长!$D$30:$E$129,2,FALSE)-宠物成长!$E$30)*宠物成长!$C$2/宠物成长!$C$3*(1+VLOOKUP(宠物属性点预览!S$2,宠物成长!$F$5:$K$25,3,FALSE)+0)</f>
        <v>3622.8294190373958</v>
      </c>
      <c r="T57" s="83">
        <f t="shared" si="11"/>
        <v>2023.9147004147003</v>
      </c>
      <c r="U57" s="9">
        <f>N57</f>
        <v>2288.3615089253385</v>
      </c>
      <c r="V57" s="9">
        <f>(宠物成长!$C$1+宠物成长!$C$2/宠物成长!$C$3*宠物成长!$E$30)*(1+宠物成长!$I$16+VLOOKUP(宠物属性点预览!V$2,宠物成长!$O$5:$R$10,3,FALSE))+(VLOOKUP(宠物属性点预览!$B57,宠物成长!$D$30:$E$129,2,FALSE)-宠物成长!$E$30)*宠物成长!$C$2/宠物成长!$C$3*(1+宠物成长!$H$16+VLOOKUP(宠物属性点预览!V$2,宠物成长!$O$5:$R$10,2,FALSE))</f>
        <v>2288.3615089253385</v>
      </c>
      <c r="W57" s="9">
        <f>(宠物成长!$C$1+宠物成长!$C$2/宠物成长!$C$3*宠物成长!$E$30)*(1+宠物成长!$I$16+VLOOKUP(宠物属性点预览!W$2,宠物成长!$O$5:$R$10,3,FALSE))+(VLOOKUP(宠物属性点预览!$B57,宠物成长!$D$30:$E$129,2,FALSE)-宠物成长!$E$30)*宠物成长!$C$2/宠物成长!$C$3*(1+宠物成长!$H$16+VLOOKUP(宠物属性点预览!W$2,宠物成长!$O$5:$R$10,2,FALSE))</f>
        <v>2652.361508925339</v>
      </c>
      <c r="X57" s="9">
        <f>(宠物成长!$C$1+宠物成长!$C$2/宠物成长!$C$3*宠物成长!$E$30)*(1+宠物成长!$I$16+VLOOKUP(宠物属性点预览!X$2,宠物成长!$O$5:$R$10,3,FALSE))+(VLOOKUP(宠物属性点预览!$B57,宠物成长!$D$30:$E$129,2,FALSE)-宠物成长!$E$30)*宠物成长!$C$2/宠物成长!$C$3*(1+宠物成长!$H$16+VLOOKUP(宠物属性点预览!X$2,宠物成长!$O$5:$R$10,2,FALSE))</f>
        <v>3078.361508925339</v>
      </c>
      <c r="Y57" s="9">
        <f>(宠物成长!$C$1+宠物成长!$C$2/宠物成长!$C$3*宠物成长!$E$30)*(1+宠物成长!$I$16+VLOOKUP(宠物属性点预览!Y$2,宠物成长!$O$5:$R$10,3,FALSE))+(VLOOKUP(宠物属性点预览!$B57,宠物成长!$D$30:$E$129,2,FALSE)-宠物成长!$E$30)*宠物成长!$C$2/宠物成长!$C$3*(1+宠物成长!$H$16+VLOOKUP(宠物属性点预览!Y$2,宠物成长!$O$5:$R$10,2,FALSE))</f>
        <v>3566.361508925339</v>
      </c>
      <c r="Z57" s="9">
        <f>(宠物成长!$C$1+宠物成长!$C$2/宠物成长!$C$3*宠物成长!$E$30)*(1+宠物成长!$I$16+VLOOKUP(宠物属性点预览!Z$2,宠物成长!$O$5:$R$10,3,FALSE))+(VLOOKUP(宠物属性点预览!$B57,宠物成长!$D$30:$E$129,2,FALSE)-宠物成长!$E$30)*宠物成长!$C$2/宠物成长!$C$3*(1+宠物成长!$H$16+VLOOKUP(宠物属性点预览!Z$2,宠物成长!$O$5:$R$10,2,FALSE))</f>
        <v>4054.361508925339</v>
      </c>
    </row>
    <row r="58" spans="2:27" x14ac:dyDescent="0.15">
      <c r="B58" s="1">
        <v>56</v>
      </c>
      <c r="C58" s="9">
        <f>(宠物成长!$C$1+宠物成长!$C$2/宠物成长!$C$3*宠物成长!$E$30)*(1+VLOOKUP(宠物属性点预览!C$2,宠物成长!$F$4:$K$25,4,FALSE)+0)+(VLOOKUP(宠物属性点预览!$B58,宠物成长!$D$30:$E$129,2,FALSE)-宠物成长!$E$30)*宠物成长!$C$2/宠物成长!$C$3*(1+VLOOKUP(宠物属性点预览!C$2,宠物成长!$F$5:$K$25,3,FALSE)+0)</f>
        <v>254.5</v>
      </c>
      <c r="D58" s="9">
        <f>(宠物成长!$C$1+宠物成长!$C$2/宠物成长!$C$3*宠物成长!$E$30)*(1+VLOOKUP(宠物属性点预览!D$2,宠物成长!$F$4:$K$25,4,FALSE)+0)+(VLOOKUP(宠物属性点预览!$B58,宠物成长!$D$30:$E$129,2,FALSE)-宠物成长!$E$30)*宠物成长!$C$2/宠物成长!$C$3*(1+VLOOKUP(宠物属性点预览!D$2,宠物成长!$F$5:$K$25,3,FALSE)+0)</f>
        <v>301</v>
      </c>
      <c r="E58" s="9">
        <f>(宠物成长!$C$1+宠物成长!$C$2/宠物成长!$C$3*宠物成长!$E$30)*(1+VLOOKUP(宠物属性点预览!E$2,宠物成长!$F$4:$K$25,4,FALSE)+0)+(VLOOKUP(宠物属性点预览!$B58,宠物成长!$D$30:$E$129,2,FALSE)-宠物成长!$E$30)*宠物成长!$C$2/宠物成长!$C$3*(1+VLOOKUP(宠物属性点预览!E$2,宠物成长!$F$5:$K$25,3,FALSE)+0)</f>
        <v>366.1</v>
      </c>
      <c r="F58" s="9">
        <f>(宠物成长!$C$1+宠物成长!$C$2/宠物成长!$C$3*宠物成长!$E$30)*(1+VLOOKUP(宠物属性点预览!F$2,宠物成长!$F$4:$K$25,4,FALSE)+0)+(VLOOKUP(宠物属性点预览!$B58,宠物成长!$D$30:$E$129,2,FALSE)-宠物成长!$E$30)*宠物成长!$C$2/宠物成长!$C$3*(1+VLOOKUP(宠物属性点预览!F$2,宠物成长!$F$5:$K$25,3,FALSE)+0)</f>
        <v>452.90000000000003</v>
      </c>
      <c r="G58" s="9">
        <f>(宠物成长!$C$1+宠物成长!$C$2/宠物成长!$C$3*宠物成长!$E$30)*(1+VLOOKUP(宠物属性点预览!G$2,宠物成长!$F$4:$K$25,4,FALSE)+0)+(VLOOKUP(宠物属性点预览!$B58,宠物成长!$D$30:$E$129,2,FALSE)-宠物成长!$E$30)*宠物成长!$C$2/宠物成长!$C$3*(1+VLOOKUP(宠物属性点预览!G$2,宠物成长!$F$5:$K$25,3,FALSE)+0)</f>
        <v>579.59999999999991</v>
      </c>
      <c r="H58" s="9">
        <f>(宠物成长!$C$1+宠物成长!$C$2/宠物成长!$C$3*宠物成长!$E$30)*(1+VLOOKUP(宠物属性点预览!H$2,宠物成长!$F$4:$K$25,4,FALSE)+0)+(VLOOKUP(宠物属性点预览!$B58,宠物成长!$D$30:$E$129,2,FALSE)-宠物成长!$E$30)*宠物成长!$C$2/宠物成长!$C$3*(1+VLOOKUP(宠物属性点预览!H$2,宠物成长!$F$5:$K$25,3,FALSE)+0)</f>
        <v>755.9</v>
      </c>
      <c r="I58" s="9">
        <f>(宠物成长!$C$1+宠物成长!$C$2/宠物成长!$C$3*宠物成长!$E$30)*(1+VLOOKUP(宠物属性点预览!I$2,宠物成长!$F$4:$K$25,4,FALSE)+0)+(VLOOKUP(宠物属性点预览!$B58,宠物成长!$D$30:$E$129,2,FALSE)-宠物成长!$E$30)*宠物成长!$C$2/宠物成长!$C$3*(1+VLOOKUP(宠物属性点预览!I$2,宠物成长!$F$5:$K$25,3,FALSE)+0)</f>
        <v>988</v>
      </c>
      <c r="J58" s="9">
        <f>(宠物成长!$C$1+宠物成长!$C$2/宠物成长!$C$3*宠物成长!$E$30)*(1+VLOOKUP(宠物属性点预览!J$2,宠物成长!$F$4:$K$25,4,FALSE)+0)+(VLOOKUP(宠物属性点预览!$B58,宠物成长!$D$30:$E$129,2,FALSE)-宠物成长!$E$30)*宠物成长!$C$2/宠物成长!$C$3*(1+VLOOKUP(宠物属性点预览!J$2,宠物成长!$F$5:$K$25,3,FALSE)+0)</f>
        <v>1245.1296296296296</v>
      </c>
      <c r="K58" s="9">
        <f>(宠物成长!$C$1+宠物成长!$C$2/宠物成长!$C$3*宠物成长!$E$30)*(1+VLOOKUP(宠物属性点预览!K$2,宠物成长!$F$4:$K$25,4,FALSE)+0)+(VLOOKUP(宠物属性点预览!$B58,宠物成长!$D$30:$E$129,2,FALSE)-宠物成长!$E$30)*宠物成长!$C$2/宠物成长!$C$3*(1+VLOOKUP(宠物属性点预览!K$2,宠物成长!$F$5:$K$25,3,FALSE)+0)</f>
        <v>1505.1296296296296</v>
      </c>
      <c r="L58" s="9">
        <f>(宠物成长!$C$1+宠物成长!$C$2/宠物成长!$C$3*宠物成长!$E$30)*(1+VLOOKUP(宠物属性点预览!L$2,宠物成长!$F$4:$K$25,4,FALSE)+0)+(VLOOKUP(宠物属性点预览!$B58,宠物成长!$D$30:$E$129,2,FALSE)-宠物成长!$E$30)*宠物成长!$C$2/宠物成长!$C$3*(1+VLOOKUP(宠物属性点预览!L$2,宠物成长!$F$5:$K$25,3,FALSE)+0)</f>
        <v>1767.2242242242241</v>
      </c>
      <c r="M58" s="9">
        <f>(宠物成长!$C$1+宠物成长!$C$2/宠物成长!$C$3*宠物成长!$E$30)*(1+VLOOKUP(宠物属性点预览!M$2,宠物成长!$F$4:$K$25,4,FALSE)+0)+(VLOOKUP(宠物属性点预览!$B58,宠物成长!$D$30:$E$129,2,FALSE)-宠物成长!$E$30)*宠物成长!$C$2/宠物成长!$C$3*(1+VLOOKUP(宠物属性点预览!M$2,宠物成长!$F$5:$K$25,3,FALSE)+0)</f>
        <v>2030.9147004147003</v>
      </c>
      <c r="N58" s="9">
        <f>(宠物成长!$C$1+宠物成长!$C$2/宠物成长!$C$3*宠物成长!$E$30)*(1+VLOOKUP(宠物属性点预览!N$2,宠物成长!$F$4:$K$25,4,FALSE)+0)+(VLOOKUP(宠物属性点预览!$B58,宠物成长!$D$30:$E$129,2,FALSE)-宠物成长!$E$30)*宠物成长!$C$2/宠物成长!$C$3*(1+VLOOKUP(宠物属性点预览!N$2,宠物成长!$F$5:$K$25,3,FALSE)+0)</f>
        <v>2295.8615089253385</v>
      </c>
      <c r="O58" s="9">
        <f>(宠物成长!$C$1+宠物成长!$C$2/宠物成长!$C$3*宠物成长!$E$30)*(1+VLOOKUP(宠物属性点预览!O$2,宠物成长!$F$4:$K$25,4,FALSE)+0)+(VLOOKUP(宠物属性点预览!$B58,宠物成长!$D$30:$E$129,2,FALSE)-宠物成长!$E$30)*宠物成长!$C$2/宠物成长!$C$3*(1+VLOOKUP(宠物属性点预览!O$2,宠物成长!$F$5:$K$25,3,FALSE)+0)</f>
        <v>2561.8230473868766</v>
      </c>
      <c r="P58" s="9">
        <f>(宠物成长!$C$1+宠物成长!$C$2/宠物成长!$C$3*宠物成长!$E$30)*(1+VLOOKUP(宠物属性点预览!P$2,宠物成长!$F$4:$K$25,4,FALSE)+0)+(VLOOKUP(宠物属性点预览!$B58,宠物成长!$D$30:$E$129,2,FALSE)-宠物成长!$E$30)*宠物成长!$C$2/宠物成长!$C$3*(1+VLOOKUP(宠物属性点预览!P$2,宠物成长!$F$5:$K$25,3,FALSE)+0)</f>
        <v>2828.6212930009119</v>
      </c>
      <c r="Q58" s="9">
        <f>(宠物成长!$C$1+宠物成长!$C$2/宠物成长!$C$3*宠物成长!$E$30)*(1+VLOOKUP(宠物属性点预览!Q$2,宠物成长!$F$4:$K$25,4,FALSE)+0)+(VLOOKUP(宠物属性点预览!$B58,宠物成长!$D$30:$E$129,2,FALSE)-宠物成长!$E$30)*宠物成长!$C$2/宠物成长!$C$3*(1+VLOOKUP(宠物属性点预览!Q$2,宠物成长!$F$5:$K$25,3,FALSE)+0)</f>
        <v>3096.1212930009119</v>
      </c>
      <c r="R58" s="9">
        <f>(宠物成长!$C$1+宠物成长!$C$2/宠物成长!$C$3*宠物成长!$E$30)*(1+VLOOKUP(宠物属性点预览!R$2,宠物成长!$F$4:$K$25,4,FALSE)+0)+(VLOOKUP(宠物属性点预览!$B58,宠物成长!$D$30:$E$129,2,FALSE)-宠物成长!$E$30)*宠物成长!$C$2/宠物成长!$C$3*(1+VLOOKUP(宠物属性点预览!R$2,宠物成长!$F$5:$K$25,3,FALSE)+0)</f>
        <v>3364.218307926285</v>
      </c>
      <c r="S58" s="9">
        <f>(宠物成长!$C$1+宠物成长!$C$2/宠物成长!$C$3*宠物成长!$E$30)*(1+VLOOKUP(宠物属性点预览!S$2,宠物成长!$F$4:$K$25,4,FALSE)+0)+(VLOOKUP(宠物属性点预览!$B58,宠物成长!$D$30:$E$129,2,FALSE)-宠物成长!$E$30)*宠物成长!$C$2/宠物成长!$C$3*(1+VLOOKUP(宠物属性点预览!S$2,宠物成长!$F$5:$K$25,3,FALSE)+0)</f>
        <v>3632.8294190373958</v>
      </c>
      <c r="T58" s="83">
        <f>N58</f>
        <v>2295.8615089253385</v>
      </c>
      <c r="V58" s="9">
        <f>(宠物成长!$C$1+宠物成长!$C$2/宠物成长!$C$3*宠物成长!$E$30)*(1+宠物成长!$I$16+VLOOKUP(宠物属性点预览!V$2,宠物成长!$O$5:$R$10,3,FALSE))+(VLOOKUP(宠物属性点预览!$B58,宠物成长!$D$30:$E$129,2,FALSE)-宠物成长!$E$30)*宠物成长!$C$2/宠物成长!$C$3*(1+宠物成长!$H$16+VLOOKUP(宠物属性点预览!V$2,宠物成长!$O$5:$R$10,2,FALSE))</f>
        <v>2295.8615089253385</v>
      </c>
      <c r="W58" s="9">
        <f>(宠物成长!$C$1+宠物成长!$C$2/宠物成长!$C$3*宠物成长!$E$30)*(1+宠物成长!$I$16+VLOOKUP(宠物属性点预览!W$2,宠物成长!$O$5:$R$10,3,FALSE))+(VLOOKUP(宠物属性点预览!$B58,宠物成长!$D$30:$E$129,2,FALSE)-宠物成长!$E$30)*宠物成长!$C$2/宠物成长!$C$3*(1+宠物成长!$H$16+VLOOKUP(宠物属性点预览!W$2,宠物成长!$O$5:$R$10,2,FALSE))</f>
        <v>2660.861508925339</v>
      </c>
      <c r="X58" s="9">
        <f>(宠物成长!$C$1+宠物成长!$C$2/宠物成长!$C$3*宠物成长!$E$30)*(1+宠物成长!$I$16+VLOOKUP(宠物属性点预览!X$2,宠物成长!$O$5:$R$10,3,FALSE))+(VLOOKUP(宠物属性点预览!$B58,宠物成长!$D$30:$E$129,2,FALSE)-宠物成长!$E$30)*宠物成长!$C$2/宠物成长!$C$3*(1+宠物成长!$H$16+VLOOKUP(宠物属性点预览!X$2,宠物成长!$O$5:$R$10,2,FALSE))</f>
        <v>3087.861508925339</v>
      </c>
      <c r="Y58" s="9">
        <f>(宠物成长!$C$1+宠物成长!$C$2/宠物成长!$C$3*宠物成长!$E$30)*(1+宠物成长!$I$16+VLOOKUP(宠物属性点预览!Y$2,宠物成长!$O$5:$R$10,3,FALSE))+(VLOOKUP(宠物属性点预览!$B58,宠物成长!$D$30:$E$129,2,FALSE)-宠物成长!$E$30)*宠物成长!$C$2/宠物成长!$C$3*(1+宠物成长!$H$16+VLOOKUP(宠物属性点预览!Y$2,宠物成长!$O$5:$R$10,2,FALSE))</f>
        <v>3576.861508925339</v>
      </c>
      <c r="Z58" s="9">
        <f>(宠物成长!$C$1+宠物成长!$C$2/宠物成长!$C$3*宠物成长!$E$30)*(1+宠物成长!$I$16+VLOOKUP(宠物属性点预览!Z$2,宠物成长!$O$5:$R$10,3,FALSE))+(VLOOKUP(宠物属性点预览!$B58,宠物成长!$D$30:$E$129,2,FALSE)-宠物成长!$E$30)*宠物成长!$C$2/宠物成长!$C$3*(1+宠物成长!$H$16+VLOOKUP(宠物属性点预览!Z$2,宠物成长!$O$5:$R$10,2,FALSE))</f>
        <v>4065.861508925339</v>
      </c>
    </row>
    <row r="59" spans="2:27" x14ac:dyDescent="0.15">
      <c r="B59" s="1">
        <v>57</v>
      </c>
      <c r="C59" s="9">
        <f>(宠物成长!$C$1+宠物成长!$C$2/宠物成长!$C$3*宠物成长!$E$30)*(1+VLOOKUP(宠物属性点预览!C$2,宠物成长!$F$4:$K$25,4,FALSE)+0)+(VLOOKUP(宠物属性点预览!$B59,宠物成长!$D$30:$E$129,2,FALSE)-宠物成长!$E$30)*宠物成长!$C$2/宠物成长!$C$3*(1+VLOOKUP(宠物属性点预览!C$2,宠物成长!$F$5:$K$25,3,FALSE)+0)</f>
        <v>258</v>
      </c>
      <c r="D59" s="9">
        <f>(宠物成长!$C$1+宠物成长!$C$2/宠物成长!$C$3*宠物成长!$E$30)*(1+VLOOKUP(宠物属性点预览!D$2,宠物成长!$F$4:$K$25,4,FALSE)+0)+(VLOOKUP(宠物属性点预览!$B59,宠物成长!$D$30:$E$129,2,FALSE)-宠物成长!$E$30)*宠物成长!$C$2/宠物成长!$C$3*(1+VLOOKUP(宠物属性点预览!D$2,宠物成长!$F$5:$K$25,3,FALSE)+0)</f>
        <v>304.5</v>
      </c>
      <c r="E59" s="9">
        <f>(宠物成长!$C$1+宠物成长!$C$2/宠物成长!$C$3*宠物成长!$E$30)*(1+VLOOKUP(宠物属性点预览!E$2,宠物成长!$F$4:$K$25,4,FALSE)+0)+(VLOOKUP(宠物属性点预览!$B59,宠物成长!$D$30:$E$129,2,FALSE)-宠物成长!$E$30)*宠物成长!$C$2/宠物成长!$C$3*(1+VLOOKUP(宠物属性点预览!E$2,宠物成长!$F$5:$K$25,3,FALSE)+0)</f>
        <v>369.6</v>
      </c>
      <c r="F59" s="9">
        <f>(宠物成长!$C$1+宠物成长!$C$2/宠物成长!$C$3*宠物成长!$E$30)*(1+VLOOKUP(宠物属性点预览!F$2,宠物成长!$F$4:$K$25,4,FALSE)+0)+(VLOOKUP(宠物属性点预览!$B59,宠物成长!$D$30:$E$129,2,FALSE)-宠物成长!$E$30)*宠物成长!$C$2/宠物成长!$C$3*(1+VLOOKUP(宠物属性点预览!F$2,宠物成长!$F$5:$K$25,3,FALSE)+0)</f>
        <v>456.40000000000003</v>
      </c>
      <c r="G59" s="9">
        <f>(宠物成长!$C$1+宠物成长!$C$2/宠物成长!$C$3*宠物成长!$E$30)*(1+VLOOKUP(宠物属性点预览!G$2,宠物成长!$F$4:$K$25,4,FALSE)+0)+(VLOOKUP(宠物属性点预览!$B59,宠物成长!$D$30:$E$129,2,FALSE)-宠物成长!$E$30)*宠物成长!$C$2/宠物成长!$C$3*(1+VLOOKUP(宠物属性点预览!G$2,宠物成长!$F$5:$K$25,3,FALSE)+0)</f>
        <v>583.59999999999991</v>
      </c>
      <c r="H59" s="9">
        <f>(宠物成长!$C$1+宠物成长!$C$2/宠物成长!$C$3*宠物成长!$E$30)*(1+VLOOKUP(宠物属性点预览!H$2,宠物成长!$F$4:$K$25,4,FALSE)+0)+(VLOOKUP(宠物属性点预览!$B59,宠物成长!$D$30:$E$129,2,FALSE)-宠物成长!$E$30)*宠物成长!$C$2/宠物成长!$C$3*(1+VLOOKUP(宠物属性点预览!H$2,宠物成长!$F$5:$K$25,3,FALSE)+0)</f>
        <v>760.4</v>
      </c>
      <c r="I59" s="9">
        <f>(宠物成长!$C$1+宠物成长!$C$2/宠物成长!$C$3*宠物成长!$E$30)*(1+VLOOKUP(宠物属性点预览!I$2,宠物成长!$F$4:$K$25,4,FALSE)+0)+(VLOOKUP(宠物属性点预览!$B59,宠物成长!$D$30:$E$129,2,FALSE)-宠物成长!$E$30)*宠物成长!$C$2/宠物成长!$C$3*(1+VLOOKUP(宠物属性点预览!I$2,宠物成长!$F$5:$K$25,3,FALSE)+0)</f>
        <v>993</v>
      </c>
      <c r="J59" s="9">
        <f>(宠物成长!$C$1+宠物成长!$C$2/宠物成长!$C$3*宠物成长!$E$30)*(1+VLOOKUP(宠物属性点预览!J$2,宠物成长!$F$4:$K$25,4,FALSE)+0)+(VLOOKUP(宠物属性点预览!$B59,宠物成长!$D$30:$E$129,2,FALSE)-宠物成长!$E$30)*宠物成长!$C$2/宠物成长!$C$3*(1+VLOOKUP(宠物属性点预览!J$2,宠物成长!$F$5:$K$25,3,FALSE)+0)</f>
        <v>1250.6296296296296</v>
      </c>
      <c r="K59" s="9">
        <f>(宠物成长!$C$1+宠物成长!$C$2/宠物成长!$C$3*宠物成长!$E$30)*(1+VLOOKUP(宠物属性点预览!K$2,宠物成长!$F$4:$K$25,4,FALSE)+0)+(VLOOKUP(宠物属性点预览!$B59,宠物成长!$D$30:$E$129,2,FALSE)-宠物成长!$E$30)*宠物成长!$C$2/宠物成长!$C$3*(1+VLOOKUP(宠物属性点预览!K$2,宠物成长!$F$5:$K$25,3,FALSE)+0)</f>
        <v>1511.1296296296296</v>
      </c>
      <c r="L59" s="9">
        <f>(宠物成长!$C$1+宠物成长!$C$2/宠物成长!$C$3*宠物成长!$E$30)*(1+VLOOKUP(宠物属性点预览!L$2,宠物成长!$F$4:$K$25,4,FALSE)+0)+(VLOOKUP(宠物属性点预览!$B59,宠物成长!$D$30:$E$129,2,FALSE)-宠物成长!$E$30)*宠物成长!$C$2/宠物成长!$C$3*(1+VLOOKUP(宠物属性点预览!L$2,宠物成长!$F$5:$K$25,3,FALSE)+0)</f>
        <v>1773.7242242242241</v>
      </c>
      <c r="M59" s="9">
        <f>(宠物成长!$C$1+宠物成长!$C$2/宠物成长!$C$3*宠物成长!$E$30)*(1+VLOOKUP(宠物属性点预览!M$2,宠物成长!$F$4:$K$25,4,FALSE)+0)+(VLOOKUP(宠物属性点预览!$B59,宠物成长!$D$30:$E$129,2,FALSE)-宠物成长!$E$30)*宠物成长!$C$2/宠物成长!$C$3*(1+VLOOKUP(宠物属性点预览!M$2,宠物成长!$F$5:$K$25,3,FALSE)+0)</f>
        <v>2037.9147004147003</v>
      </c>
      <c r="N59" s="9">
        <f>(宠物成长!$C$1+宠物成长!$C$2/宠物成长!$C$3*宠物成长!$E$30)*(1+VLOOKUP(宠物属性点预览!N$2,宠物成长!$F$4:$K$25,4,FALSE)+0)+(VLOOKUP(宠物属性点预览!$B59,宠物成长!$D$30:$E$129,2,FALSE)-宠物成长!$E$30)*宠物成长!$C$2/宠物成长!$C$3*(1+VLOOKUP(宠物属性点预览!N$2,宠物成长!$F$5:$K$25,3,FALSE)+0)</f>
        <v>2303.3615089253385</v>
      </c>
      <c r="O59" s="9">
        <f>(宠物成长!$C$1+宠物成长!$C$2/宠物成长!$C$3*宠物成长!$E$30)*(1+VLOOKUP(宠物属性点预览!O$2,宠物成长!$F$4:$K$25,4,FALSE)+0)+(VLOOKUP(宠物属性点预览!$B59,宠物成长!$D$30:$E$129,2,FALSE)-宠物成长!$E$30)*宠物成长!$C$2/宠物成长!$C$3*(1+VLOOKUP(宠物属性点预览!O$2,宠物成长!$F$5:$K$25,3,FALSE)+0)</f>
        <v>2569.8230473868766</v>
      </c>
      <c r="P59" s="9">
        <f>(宠物成长!$C$1+宠物成长!$C$2/宠物成长!$C$3*宠物成长!$E$30)*(1+VLOOKUP(宠物属性点预览!P$2,宠物成长!$F$4:$K$25,4,FALSE)+0)+(VLOOKUP(宠物属性点预览!$B59,宠物成长!$D$30:$E$129,2,FALSE)-宠物成长!$E$30)*宠物成长!$C$2/宠物成长!$C$3*(1+VLOOKUP(宠物属性点预览!P$2,宠物成长!$F$5:$K$25,3,FALSE)+0)</f>
        <v>2837.1212930009119</v>
      </c>
      <c r="Q59" s="9">
        <f>(宠物成长!$C$1+宠物成长!$C$2/宠物成长!$C$3*宠物成长!$E$30)*(1+VLOOKUP(宠物属性点预览!Q$2,宠物成长!$F$4:$K$25,4,FALSE)+0)+(VLOOKUP(宠物属性点预览!$B59,宠物成长!$D$30:$E$129,2,FALSE)-宠物成长!$E$30)*宠物成长!$C$2/宠物成长!$C$3*(1+VLOOKUP(宠物属性点预览!Q$2,宠物成长!$F$5:$K$25,3,FALSE)+0)</f>
        <v>3105.1212930009119</v>
      </c>
      <c r="R59" s="9">
        <f>(宠物成长!$C$1+宠物成长!$C$2/宠物成长!$C$3*宠物成长!$E$30)*(1+VLOOKUP(宠物属性点预览!R$2,宠物成长!$F$4:$K$25,4,FALSE)+0)+(VLOOKUP(宠物属性点预览!$B59,宠物成长!$D$30:$E$129,2,FALSE)-宠物成长!$E$30)*宠物成长!$C$2/宠物成长!$C$3*(1+VLOOKUP(宠物属性点预览!R$2,宠物成长!$F$5:$K$25,3,FALSE)+0)</f>
        <v>3373.718307926285</v>
      </c>
      <c r="S59" s="9">
        <f>(宠物成长!$C$1+宠物成长!$C$2/宠物成长!$C$3*宠物成长!$E$30)*(1+VLOOKUP(宠物属性点预览!S$2,宠物成长!$F$4:$K$25,4,FALSE)+0)+(VLOOKUP(宠物属性点预览!$B59,宠物成长!$D$30:$E$129,2,FALSE)-宠物成长!$E$30)*宠物成长!$C$2/宠物成长!$C$3*(1+VLOOKUP(宠物属性点预览!S$2,宠物成长!$F$5:$K$25,3,FALSE)+0)</f>
        <v>3642.8294190373958</v>
      </c>
      <c r="T59" s="83">
        <f t="shared" ref="T59:T62" si="12">N59</f>
        <v>2303.3615089253385</v>
      </c>
      <c r="V59" s="9">
        <f>(宠物成长!$C$1+宠物成长!$C$2/宠物成长!$C$3*宠物成长!$E$30)*(1+宠物成长!$I$16+VLOOKUP(宠物属性点预览!V$2,宠物成长!$O$5:$R$10,3,FALSE))+(VLOOKUP(宠物属性点预览!$B59,宠物成长!$D$30:$E$129,2,FALSE)-宠物成长!$E$30)*宠物成长!$C$2/宠物成长!$C$3*(1+宠物成长!$H$16+VLOOKUP(宠物属性点预览!V$2,宠物成长!$O$5:$R$10,2,FALSE))</f>
        <v>2303.3615089253385</v>
      </c>
      <c r="W59" s="9">
        <f>(宠物成长!$C$1+宠物成长!$C$2/宠物成长!$C$3*宠物成长!$E$30)*(1+宠物成长!$I$16+VLOOKUP(宠物属性点预览!W$2,宠物成长!$O$5:$R$10,3,FALSE))+(VLOOKUP(宠物属性点预览!$B59,宠物成长!$D$30:$E$129,2,FALSE)-宠物成长!$E$30)*宠物成长!$C$2/宠物成长!$C$3*(1+宠物成长!$H$16+VLOOKUP(宠物属性点预览!W$2,宠物成长!$O$5:$R$10,2,FALSE))</f>
        <v>2669.361508925339</v>
      </c>
      <c r="X59" s="9">
        <f>(宠物成长!$C$1+宠物成长!$C$2/宠物成长!$C$3*宠物成长!$E$30)*(1+宠物成长!$I$16+VLOOKUP(宠物属性点预览!X$2,宠物成长!$O$5:$R$10,3,FALSE))+(VLOOKUP(宠物属性点预览!$B59,宠物成长!$D$30:$E$129,2,FALSE)-宠物成长!$E$30)*宠物成长!$C$2/宠物成长!$C$3*(1+宠物成长!$H$16+VLOOKUP(宠物属性点预览!X$2,宠物成长!$O$5:$R$10,2,FALSE))</f>
        <v>3097.361508925339</v>
      </c>
      <c r="Y59" s="9">
        <f>(宠物成长!$C$1+宠物成长!$C$2/宠物成长!$C$3*宠物成长!$E$30)*(1+宠物成长!$I$16+VLOOKUP(宠物属性点预览!Y$2,宠物成长!$O$5:$R$10,3,FALSE))+(VLOOKUP(宠物属性点预览!$B59,宠物成长!$D$30:$E$129,2,FALSE)-宠物成长!$E$30)*宠物成长!$C$2/宠物成长!$C$3*(1+宠物成长!$H$16+VLOOKUP(宠物属性点预览!Y$2,宠物成长!$O$5:$R$10,2,FALSE))</f>
        <v>3587.361508925339</v>
      </c>
      <c r="Z59" s="9">
        <f>(宠物成长!$C$1+宠物成长!$C$2/宠物成长!$C$3*宠物成长!$E$30)*(1+宠物成长!$I$16+VLOOKUP(宠物属性点预览!Z$2,宠物成长!$O$5:$R$10,3,FALSE))+(VLOOKUP(宠物属性点预览!$B59,宠物成长!$D$30:$E$129,2,FALSE)-宠物成长!$E$30)*宠物成长!$C$2/宠物成长!$C$3*(1+宠物成长!$H$16+VLOOKUP(宠物属性点预览!Z$2,宠物成长!$O$5:$R$10,2,FALSE))</f>
        <v>4077.361508925339</v>
      </c>
    </row>
    <row r="60" spans="2:27" x14ac:dyDescent="0.15">
      <c r="B60" s="1">
        <v>58</v>
      </c>
      <c r="C60" s="9">
        <f>(宠物成长!$C$1+宠物成长!$C$2/宠物成长!$C$3*宠物成长!$E$30)*(1+VLOOKUP(宠物属性点预览!C$2,宠物成长!$F$4:$K$25,4,FALSE)+0)+(VLOOKUP(宠物属性点预览!$B60,宠物成长!$D$30:$E$129,2,FALSE)-宠物成长!$E$30)*宠物成长!$C$2/宠物成长!$C$3*(1+VLOOKUP(宠物属性点预览!C$2,宠物成长!$F$5:$K$25,3,FALSE)+0)</f>
        <v>261.5</v>
      </c>
      <c r="D60" s="9">
        <f>(宠物成长!$C$1+宠物成长!$C$2/宠物成长!$C$3*宠物成长!$E$30)*(1+VLOOKUP(宠物属性点预览!D$2,宠物成长!$F$4:$K$25,4,FALSE)+0)+(VLOOKUP(宠物属性点预览!$B60,宠物成长!$D$30:$E$129,2,FALSE)-宠物成长!$E$30)*宠物成长!$C$2/宠物成长!$C$3*(1+VLOOKUP(宠物属性点预览!D$2,宠物成长!$F$5:$K$25,3,FALSE)+0)</f>
        <v>308</v>
      </c>
      <c r="E60" s="9">
        <f>(宠物成长!$C$1+宠物成长!$C$2/宠物成长!$C$3*宠物成长!$E$30)*(1+VLOOKUP(宠物属性点预览!E$2,宠物成长!$F$4:$K$25,4,FALSE)+0)+(VLOOKUP(宠物属性点预览!$B60,宠物成长!$D$30:$E$129,2,FALSE)-宠物成长!$E$30)*宠物成长!$C$2/宠物成长!$C$3*(1+VLOOKUP(宠物属性点预览!E$2,宠物成长!$F$5:$K$25,3,FALSE)+0)</f>
        <v>373.1</v>
      </c>
      <c r="F60" s="9">
        <f>(宠物成长!$C$1+宠物成长!$C$2/宠物成长!$C$3*宠物成长!$E$30)*(1+VLOOKUP(宠物属性点预览!F$2,宠物成长!$F$4:$K$25,4,FALSE)+0)+(VLOOKUP(宠物属性点预览!$B60,宠物成长!$D$30:$E$129,2,FALSE)-宠物成长!$E$30)*宠物成长!$C$2/宠物成长!$C$3*(1+VLOOKUP(宠物属性点预览!F$2,宠物成长!$F$5:$K$25,3,FALSE)+0)</f>
        <v>459.90000000000003</v>
      </c>
      <c r="G60" s="9">
        <f>(宠物成长!$C$1+宠物成长!$C$2/宠物成长!$C$3*宠物成长!$E$30)*(1+VLOOKUP(宠物属性点预览!G$2,宠物成长!$F$4:$K$25,4,FALSE)+0)+(VLOOKUP(宠物属性点预览!$B60,宠物成长!$D$30:$E$129,2,FALSE)-宠物成长!$E$30)*宠物成长!$C$2/宠物成长!$C$3*(1+VLOOKUP(宠物属性点预览!G$2,宠物成长!$F$5:$K$25,3,FALSE)+0)</f>
        <v>587.59999999999991</v>
      </c>
      <c r="H60" s="9">
        <f>(宠物成长!$C$1+宠物成长!$C$2/宠物成长!$C$3*宠物成长!$E$30)*(1+VLOOKUP(宠物属性点预览!H$2,宠物成长!$F$4:$K$25,4,FALSE)+0)+(VLOOKUP(宠物属性点预览!$B60,宠物成长!$D$30:$E$129,2,FALSE)-宠物成长!$E$30)*宠物成长!$C$2/宠物成长!$C$3*(1+VLOOKUP(宠物属性点预览!H$2,宠物成长!$F$5:$K$25,3,FALSE)+0)</f>
        <v>764.9</v>
      </c>
      <c r="I60" s="9">
        <f>(宠物成长!$C$1+宠物成长!$C$2/宠物成长!$C$3*宠物成长!$E$30)*(1+VLOOKUP(宠物属性点预览!I$2,宠物成长!$F$4:$K$25,4,FALSE)+0)+(VLOOKUP(宠物属性点预览!$B60,宠物成长!$D$30:$E$129,2,FALSE)-宠物成长!$E$30)*宠物成长!$C$2/宠物成长!$C$3*(1+VLOOKUP(宠物属性点预览!I$2,宠物成长!$F$5:$K$25,3,FALSE)+0)</f>
        <v>998</v>
      </c>
      <c r="J60" s="9">
        <f>(宠物成长!$C$1+宠物成长!$C$2/宠物成长!$C$3*宠物成长!$E$30)*(1+VLOOKUP(宠物属性点预览!J$2,宠物成长!$F$4:$K$25,4,FALSE)+0)+(VLOOKUP(宠物属性点预览!$B60,宠物成长!$D$30:$E$129,2,FALSE)-宠物成长!$E$30)*宠物成长!$C$2/宠物成长!$C$3*(1+VLOOKUP(宠物属性点预览!J$2,宠物成长!$F$5:$K$25,3,FALSE)+0)</f>
        <v>1256.1296296296296</v>
      </c>
      <c r="K60" s="9">
        <f>(宠物成长!$C$1+宠物成长!$C$2/宠物成长!$C$3*宠物成长!$E$30)*(1+VLOOKUP(宠物属性点预览!K$2,宠物成长!$F$4:$K$25,4,FALSE)+0)+(VLOOKUP(宠物属性点预览!$B60,宠物成长!$D$30:$E$129,2,FALSE)-宠物成长!$E$30)*宠物成长!$C$2/宠物成长!$C$3*(1+VLOOKUP(宠物属性点预览!K$2,宠物成长!$F$5:$K$25,3,FALSE)+0)</f>
        <v>1517.1296296296296</v>
      </c>
      <c r="L60" s="9">
        <f>(宠物成长!$C$1+宠物成长!$C$2/宠物成长!$C$3*宠物成长!$E$30)*(1+VLOOKUP(宠物属性点预览!L$2,宠物成长!$F$4:$K$25,4,FALSE)+0)+(VLOOKUP(宠物属性点预览!$B60,宠物成长!$D$30:$E$129,2,FALSE)-宠物成长!$E$30)*宠物成长!$C$2/宠物成长!$C$3*(1+VLOOKUP(宠物属性点预览!L$2,宠物成长!$F$5:$K$25,3,FALSE)+0)</f>
        <v>1780.2242242242241</v>
      </c>
      <c r="M60" s="9">
        <f>(宠物成长!$C$1+宠物成长!$C$2/宠物成长!$C$3*宠物成长!$E$30)*(1+VLOOKUP(宠物属性点预览!M$2,宠物成长!$F$4:$K$25,4,FALSE)+0)+(VLOOKUP(宠物属性点预览!$B60,宠物成长!$D$30:$E$129,2,FALSE)-宠物成长!$E$30)*宠物成长!$C$2/宠物成长!$C$3*(1+VLOOKUP(宠物属性点预览!M$2,宠物成长!$F$5:$K$25,3,FALSE)+0)</f>
        <v>2044.9147004147003</v>
      </c>
      <c r="N60" s="9">
        <f>(宠物成长!$C$1+宠物成长!$C$2/宠物成长!$C$3*宠物成长!$E$30)*(1+VLOOKUP(宠物属性点预览!N$2,宠物成长!$F$4:$K$25,4,FALSE)+0)+(VLOOKUP(宠物属性点预览!$B60,宠物成长!$D$30:$E$129,2,FALSE)-宠物成长!$E$30)*宠物成长!$C$2/宠物成长!$C$3*(1+VLOOKUP(宠物属性点预览!N$2,宠物成长!$F$5:$K$25,3,FALSE)+0)</f>
        <v>2310.8615089253385</v>
      </c>
      <c r="O60" s="9">
        <f>(宠物成长!$C$1+宠物成长!$C$2/宠物成长!$C$3*宠物成长!$E$30)*(1+VLOOKUP(宠物属性点预览!O$2,宠物成长!$F$4:$K$25,4,FALSE)+0)+(VLOOKUP(宠物属性点预览!$B60,宠物成长!$D$30:$E$129,2,FALSE)-宠物成长!$E$30)*宠物成长!$C$2/宠物成长!$C$3*(1+VLOOKUP(宠物属性点预览!O$2,宠物成长!$F$5:$K$25,3,FALSE)+0)</f>
        <v>2577.8230473868766</v>
      </c>
      <c r="P60" s="9">
        <f>(宠物成长!$C$1+宠物成长!$C$2/宠物成长!$C$3*宠物成长!$E$30)*(1+VLOOKUP(宠物属性点预览!P$2,宠物成长!$F$4:$K$25,4,FALSE)+0)+(VLOOKUP(宠物属性点预览!$B60,宠物成长!$D$30:$E$129,2,FALSE)-宠物成长!$E$30)*宠物成长!$C$2/宠物成长!$C$3*(1+VLOOKUP(宠物属性点预览!P$2,宠物成长!$F$5:$K$25,3,FALSE)+0)</f>
        <v>2845.6212930009119</v>
      </c>
      <c r="Q60" s="9">
        <f>(宠物成长!$C$1+宠物成长!$C$2/宠物成长!$C$3*宠物成长!$E$30)*(1+VLOOKUP(宠物属性点预览!Q$2,宠物成长!$F$4:$K$25,4,FALSE)+0)+(VLOOKUP(宠物属性点预览!$B60,宠物成长!$D$30:$E$129,2,FALSE)-宠物成长!$E$30)*宠物成长!$C$2/宠物成长!$C$3*(1+VLOOKUP(宠物属性点预览!Q$2,宠物成长!$F$5:$K$25,3,FALSE)+0)</f>
        <v>3114.1212930009119</v>
      </c>
      <c r="R60" s="9">
        <f>(宠物成长!$C$1+宠物成长!$C$2/宠物成长!$C$3*宠物成长!$E$30)*(1+VLOOKUP(宠物属性点预览!R$2,宠物成长!$F$4:$K$25,4,FALSE)+0)+(VLOOKUP(宠物属性点预览!$B60,宠物成长!$D$30:$E$129,2,FALSE)-宠物成长!$E$30)*宠物成长!$C$2/宠物成长!$C$3*(1+VLOOKUP(宠物属性点预览!R$2,宠物成长!$F$5:$K$25,3,FALSE)+0)</f>
        <v>3383.218307926285</v>
      </c>
      <c r="S60" s="9">
        <f>(宠物成长!$C$1+宠物成长!$C$2/宠物成长!$C$3*宠物成长!$E$30)*(1+VLOOKUP(宠物属性点预览!S$2,宠物成长!$F$4:$K$25,4,FALSE)+0)+(VLOOKUP(宠物属性点预览!$B60,宠物成长!$D$30:$E$129,2,FALSE)-宠物成长!$E$30)*宠物成长!$C$2/宠物成长!$C$3*(1+VLOOKUP(宠物属性点预览!S$2,宠物成长!$F$5:$K$25,3,FALSE)+0)</f>
        <v>3652.8294190373958</v>
      </c>
      <c r="T60" s="83">
        <f t="shared" si="12"/>
        <v>2310.8615089253385</v>
      </c>
      <c r="V60" s="9">
        <f>(宠物成长!$C$1+宠物成长!$C$2/宠物成长!$C$3*宠物成长!$E$30)*(1+宠物成长!$I$16+VLOOKUP(宠物属性点预览!V$2,宠物成长!$O$5:$R$10,3,FALSE))+(VLOOKUP(宠物属性点预览!$B60,宠物成长!$D$30:$E$129,2,FALSE)-宠物成长!$E$30)*宠物成长!$C$2/宠物成长!$C$3*(1+宠物成长!$H$16+VLOOKUP(宠物属性点预览!V$2,宠物成长!$O$5:$R$10,2,FALSE))</f>
        <v>2310.8615089253385</v>
      </c>
      <c r="W60" s="9">
        <f>(宠物成长!$C$1+宠物成长!$C$2/宠物成长!$C$3*宠物成长!$E$30)*(1+宠物成长!$I$16+VLOOKUP(宠物属性点预览!W$2,宠物成长!$O$5:$R$10,3,FALSE))+(VLOOKUP(宠物属性点预览!$B60,宠物成长!$D$30:$E$129,2,FALSE)-宠物成长!$E$30)*宠物成长!$C$2/宠物成长!$C$3*(1+宠物成长!$H$16+VLOOKUP(宠物属性点预览!W$2,宠物成长!$O$5:$R$10,2,FALSE))</f>
        <v>2677.861508925339</v>
      </c>
      <c r="X60" s="9">
        <f>(宠物成长!$C$1+宠物成长!$C$2/宠物成长!$C$3*宠物成长!$E$30)*(1+宠物成长!$I$16+VLOOKUP(宠物属性点预览!X$2,宠物成长!$O$5:$R$10,3,FALSE))+(VLOOKUP(宠物属性点预览!$B60,宠物成长!$D$30:$E$129,2,FALSE)-宠物成长!$E$30)*宠物成长!$C$2/宠物成长!$C$3*(1+宠物成长!$H$16+VLOOKUP(宠物属性点预览!X$2,宠物成长!$O$5:$R$10,2,FALSE))</f>
        <v>3106.861508925339</v>
      </c>
      <c r="Y60" s="9">
        <f>(宠物成长!$C$1+宠物成长!$C$2/宠物成长!$C$3*宠物成长!$E$30)*(1+宠物成长!$I$16+VLOOKUP(宠物属性点预览!Y$2,宠物成长!$O$5:$R$10,3,FALSE))+(VLOOKUP(宠物属性点预览!$B60,宠物成长!$D$30:$E$129,2,FALSE)-宠物成长!$E$30)*宠物成长!$C$2/宠物成长!$C$3*(1+宠物成长!$H$16+VLOOKUP(宠物属性点预览!Y$2,宠物成长!$O$5:$R$10,2,FALSE))</f>
        <v>3597.861508925339</v>
      </c>
      <c r="Z60" s="9">
        <f>(宠物成长!$C$1+宠物成长!$C$2/宠物成长!$C$3*宠物成长!$E$30)*(1+宠物成长!$I$16+VLOOKUP(宠物属性点预览!Z$2,宠物成长!$O$5:$R$10,3,FALSE))+(VLOOKUP(宠物属性点预览!$B60,宠物成长!$D$30:$E$129,2,FALSE)-宠物成长!$E$30)*宠物成长!$C$2/宠物成长!$C$3*(1+宠物成长!$H$16+VLOOKUP(宠物属性点预览!Z$2,宠物成长!$O$5:$R$10,2,FALSE))</f>
        <v>4088.861508925339</v>
      </c>
    </row>
    <row r="61" spans="2:27" x14ac:dyDescent="0.15">
      <c r="B61" s="1">
        <v>59</v>
      </c>
      <c r="C61" s="9">
        <f>(宠物成长!$C$1+宠物成长!$C$2/宠物成长!$C$3*宠物成长!$E$30)*(1+VLOOKUP(宠物属性点预览!C$2,宠物成长!$F$4:$K$25,4,FALSE)+0)+(VLOOKUP(宠物属性点预览!$B61,宠物成长!$D$30:$E$129,2,FALSE)-宠物成长!$E$30)*宠物成长!$C$2/宠物成长!$C$3*(1+VLOOKUP(宠物属性点预览!C$2,宠物成长!$F$5:$K$25,3,FALSE)+0)</f>
        <v>265</v>
      </c>
      <c r="D61" s="9">
        <f>(宠物成长!$C$1+宠物成长!$C$2/宠物成长!$C$3*宠物成长!$E$30)*(1+VLOOKUP(宠物属性点预览!D$2,宠物成长!$F$4:$K$25,4,FALSE)+0)+(VLOOKUP(宠物属性点预览!$B61,宠物成长!$D$30:$E$129,2,FALSE)-宠物成长!$E$30)*宠物成长!$C$2/宠物成长!$C$3*(1+VLOOKUP(宠物属性点预览!D$2,宠物成长!$F$5:$K$25,3,FALSE)+0)</f>
        <v>311.5</v>
      </c>
      <c r="E61" s="9">
        <f>(宠物成长!$C$1+宠物成长!$C$2/宠物成长!$C$3*宠物成长!$E$30)*(1+VLOOKUP(宠物属性点预览!E$2,宠物成长!$F$4:$K$25,4,FALSE)+0)+(VLOOKUP(宠物属性点预览!$B61,宠物成长!$D$30:$E$129,2,FALSE)-宠物成长!$E$30)*宠物成长!$C$2/宠物成长!$C$3*(1+VLOOKUP(宠物属性点预览!E$2,宠物成长!$F$5:$K$25,3,FALSE)+0)</f>
        <v>376.6</v>
      </c>
      <c r="F61" s="9">
        <f>(宠物成长!$C$1+宠物成长!$C$2/宠物成长!$C$3*宠物成长!$E$30)*(1+VLOOKUP(宠物属性点预览!F$2,宠物成长!$F$4:$K$25,4,FALSE)+0)+(VLOOKUP(宠物属性点预览!$B61,宠物成长!$D$30:$E$129,2,FALSE)-宠物成长!$E$30)*宠物成长!$C$2/宠物成长!$C$3*(1+VLOOKUP(宠物属性点预览!F$2,宠物成长!$F$5:$K$25,3,FALSE)+0)</f>
        <v>463.40000000000003</v>
      </c>
      <c r="G61" s="9">
        <f>(宠物成长!$C$1+宠物成长!$C$2/宠物成长!$C$3*宠物成长!$E$30)*(1+VLOOKUP(宠物属性点预览!G$2,宠物成长!$F$4:$K$25,4,FALSE)+0)+(VLOOKUP(宠物属性点预览!$B61,宠物成长!$D$30:$E$129,2,FALSE)-宠物成长!$E$30)*宠物成长!$C$2/宠物成长!$C$3*(1+VLOOKUP(宠物属性点预览!G$2,宠物成长!$F$5:$K$25,3,FALSE)+0)</f>
        <v>591.59999999999991</v>
      </c>
      <c r="H61" s="9">
        <f>(宠物成长!$C$1+宠物成长!$C$2/宠物成长!$C$3*宠物成长!$E$30)*(1+VLOOKUP(宠物属性点预览!H$2,宠物成长!$F$4:$K$25,4,FALSE)+0)+(VLOOKUP(宠物属性点预览!$B61,宠物成长!$D$30:$E$129,2,FALSE)-宠物成长!$E$30)*宠物成长!$C$2/宠物成长!$C$3*(1+VLOOKUP(宠物属性点预览!H$2,宠物成长!$F$5:$K$25,3,FALSE)+0)</f>
        <v>769.4</v>
      </c>
      <c r="I61" s="9">
        <f>(宠物成长!$C$1+宠物成长!$C$2/宠物成长!$C$3*宠物成长!$E$30)*(1+VLOOKUP(宠物属性点预览!I$2,宠物成长!$F$4:$K$25,4,FALSE)+0)+(VLOOKUP(宠物属性点预览!$B61,宠物成长!$D$30:$E$129,2,FALSE)-宠物成长!$E$30)*宠物成长!$C$2/宠物成长!$C$3*(1+VLOOKUP(宠物属性点预览!I$2,宠物成长!$F$5:$K$25,3,FALSE)+0)</f>
        <v>1003</v>
      </c>
      <c r="J61" s="9">
        <f>(宠物成长!$C$1+宠物成长!$C$2/宠物成长!$C$3*宠物成长!$E$30)*(1+VLOOKUP(宠物属性点预览!J$2,宠物成长!$F$4:$K$25,4,FALSE)+0)+(VLOOKUP(宠物属性点预览!$B61,宠物成长!$D$30:$E$129,2,FALSE)-宠物成长!$E$30)*宠物成长!$C$2/宠物成长!$C$3*(1+VLOOKUP(宠物属性点预览!J$2,宠物成长!$F$5:$K$25,3,FALSE)+0)</f>
        <v>1261.6296296296296</v>
      </c>
      <c r="K61" s="9">
        <f>(宠物成长!$C$1+宠物成长!$C$2/宠物成长!$C$3*宠物成长!$E$30)*(1+VLOOKUP(宠物属性点预览!K$2,宠物成长!$F$4:$K$25,4,FALSE)+0)+(VLOOKUP(宠物属性点预览!$B61,宠物成长!$D$30:$E$129,2,FALSE)-宠物成长!$E$30)*宠物成长!$C$2/宠物成长!$C$3*(1+VLOOKUP(宠物属性点预览!K$2,宠物成长!$F$5:$K$25,3,FALSE)+0)</f>
        <v>1523.1296296296296</v>
      </c>
      <c r="L61" s="9">
        <f>(宠物成长!$C$1+宠物成长!$C$2/宠物成长!$C$3*宠物成长!$E$30)*(1+VLOOKUP(宠物属性点预览!L$2,宠物成长!$F$4:$K$25,4,FALSE)+0)+(VLOOKUP(宠物属性点预览!$B61,宠物成长!$D$30:$E$129,2,FALSE)-宠物成长!$E$30)*宠物成长!$C$2/宠物成长!$C$3*(1+VLOOKUP(宠物属性点预览!L$2,宠物成长!$F$5:$K$25,3,FALSE)+0)</f>
        <v>1786.7242242242241</v>
      </c>
      <c r="M61" s="9">
        <f>(宠物成长!$C$1+宠物成长!$C$2/宠物成长!$C$3*宠物成长!$E$30)*(1+VLOOKUP(宠物属性点预览!M$2,宠物成长!$F$4:$K$25,4,FALSE)+0)+(VLOOKUP(宠物属性点预览!$B61,宠物成长!$D$30:$E$129,2,FALSE)-宠物成长!$E$30)*宠物成长!$C$2/宠物成长!$C$3*(1+VLOOKUP(宠物属性点预览!M$2,宠物成长!$F$5:$K$25,3,FALSE)+0)</f>
        <v>2051.9147004147003</v>
      </c>
      <c r="N61" s="9">
        <f>(宠物成长!$C$1+宠物成长!$C$2/宠物成长!$C$3*宠物成长!$E$30)*(1+VLOOKUP(宠物属性点预览!N$2,宠物成长!$F$4:$K$25,4,FALSE)+0)+(VLOOKUP(宠物属性点预览!$B61,宠物成长!$D$30:$E$129,2,FALSE)-宠物成长!$E$30)*宠物成长!$C$2/宠物成长!$C$3*(1+VLOOKUP(宠物属性点预览!N$2,宠物成长!$F$5:$K$25,3,FALSE)+0)</f>
        <v>2318.3615089253385</v>
      </c>
      <c r="O61" s="9">
        <f>(宠物成长!$C$1+宠物成长!$C$2/宠物成长!$C$3*宠物成长!$E$30)*(1+VLOOKUP(宠物属性点预览!O$2,宠物成长!$F$4:$K$25,4,FALSE)+0)+(VLOOKUP(宠物属性点预览!$B61,宠物成长!$D$30:$E$129,2,FALSE)-宠物成长!$E$30)*宠物成长!$C$2/宠物成长!$C$3*(1+VLOOKUP(宠物属性点预览!O$2,宠物成长!$F$5:$K$25,3,FALSE)+0)</f>
        <v>2585.8230473868766</v>
      </c>
      <c r="P61" s="9">
        <f>(宠物成长!$C$1+宠物成长!$C$2/宠物成长!$C$3*宠物成长!$E$30)*(1+VLOOKUP(宠物属性点预览!P$2,宠物成长!$F$4:$K$25,4,FALSE)+0)+(VLOOKUP(宠物属性点预览!$B61,宠物成长!$D$30:$E$129,2,FALSE)-宠物成长!$E$30)*宠物成长!$C$2/宠物成长!$C$3*(1+VLOOKUP(宠物属性点预览!P$2,宠物成长!$F$5:$K$25,3,FALSE)+0)</f>
        <v>2854.1212930009119</v>
      </c>
      <c r="Q61" s="9">
        <f>(宠物成长!$C$1+宠物成长!$C$2/宠物成长!$C$3*宠物成长!$E$30)*(1+VLOOKUP(宠物属性点预览!Q$2,宠物成长!$F$4:$K$25,4,FALSE)+0)+(VLOOKUP(宠物属性点预览!$B61,宠物成长!$D$30:$E$129,2,FALSE)-宠物成长!$E$30)*宠物成长!$C$2/宠物成长!$C$3*(1+VLOOKUP(宠物属性点预览!Q$2,宠物成长!$F$5:$K$25,3,FALSE)+0)</f>
        <v>3123.1212930009119</v>
      </c>
      <c r="R61" s="9">
        <f>(宠物成长!$C$1+宠物成长!$C$2/宠物成长!$C$3*宠物成长!$E$30)*(1+VLOOKUP(宠物属性点预览!R$2,宠物成长!$F$4:$K$25,4,FALSE)+0)+(VLOOKUP(宠物属性点预览!$B61,宠物成长!$D$30:$E$129,2,FALSE)-宠物成长!$E$30)*宠物成长!$C$2/宠物成长!$C$3*(1+VLOOKUP(宠物属性点预览!R$2,宠物成长!$F$5:$K$25,3,FALSE)+0)</f>
        <v>3392.718307926285</v>
      </c>
      <c r="S61" s="9">
        <f>(宠物成长!$C$1+宠物成长!$C$2/宠物成长!$C$3*宠物成长!$E$30)*(1+VLOOKUP(宠物属性点预览!S$2,宠物成长!$F$4:$K$25,4,FALSE)+0)+(VLOOKUP(宠物属性点预览!$B61,宠物成长!$D$30:$E$129,2,FALSE)-宠物成长!$E$30)*宠物成长!$C$2/宠物成长!$C$3*(1+VLOOKUP(宠物属性点预览!S$2,宠物成长!$F$5:$K$25,3,FALSE)+0)</f>
        <v>3662.8294190373958</v>
      </c>
      <c r="T61" s="83">
        <f t="shared" si="12"/>
        <v>2318.3615089253385</v>
      </c>
      <c r="V61" s="9">
        <f>(宠物成长!$C$1+宠物成长!$C$2/宠物成长!$C$3*宠物成长!$E$30)*(1+宠物成长!$I$16+VLOOKUP(宠物属性点预览!V$2,宠物成长!$O$5:$R$10,3,FALSE))+(VLOOKUP(宠物属性点预览!$B61,宠物成长!$D$30:$E$129,2,FALSE)-宠物成长!$E$30)*宠物成长!$C$2/宠物成长!$C$3*(1+宠物成长!$H$16+VLOOKUP(宠物属性点预览!V$2,宠物成长!$O$5:$R$10,2,FALSE))</f>
        <v>2318.3615089253385</v>
      </c>
      <c r="W61" s="9">
        <f>(宠物成长!$C$1+宠物成长!$C$2/宠物成长!$C$3*宠物成长!$E$30)*(1+宠物成长!$I$16+VLOOKUP(宠物属性点预览!W$2,宠物成长!$O$5:$R$10,3,FALSE))+(VLOOKUP(宠物属性点预览!$B61,宠物成长!$D$30:$E$129,2,FALSE)-宠物成长!$E$30)*宠物成长!$C$2/宠物成长!$C$3*(1+宠物成长!$H$16+VLOOKUP(宠物属性点预览!W$2,宠物成长!$O$5:$R$10,2,FALSE))</f>
        <v>2686.361508925339</v>
      </c>
      <c r="X61" s="9">
        <f>(宠物成长!$C$1+宠物成长!$C$2/宠物成长!$C$3*宠物成长!$E$30)*(1+宠物成长!$I$16+VLOOKUP(宠物属性点预览!X$2,宠物成长!$O$5:$R$10,3,FALSE))+(VLOOKUP(宠物属性点预览!$B61,宠物成长!$D$30:$E$129,2,FALSE)-宠物成长!$E$30)*宠物成长!$C$2/宠物成长!$C$3*(1+宠物成长!$H$16+VLOOKUP(宠物属性点预览!X$2,宠物成长!$O$5:$R$10,2,FALSE))</f>
        <v>3116.361508925339</v>
      </c>
      <c r="Y61" s="9">
        <f>(宠物成长!$C$1+宠物成长!$C$2/宠物成长!$C$3*宠物成长!$E$30)*(1+宠物成长!$I$16+VLOOKUP(宠物属性点预览!Y$2,宠物成长!$O$5:$R$10,3,FALSE))+(VLOOKUP(宠物属性点预览!$B61,宠物成长!$D$30:$E$129,2,FALSE)-宠物成长!$E$30)*宠物成长!$C$2/宠物成长!$C$3*(1+宠物成长!$H$16+VLOOKUP(宠物属性点预览!Y$2,宠物成长!$O$5:$R$10,2,FALSE))</f>
        <v>3608.361508925339</v>
      </c>
      <c r="Z61" s="9">
        <f>(宠物成长!$C$1+宠物成长!$C$2/宠物成长!$C$3*宠物成长!$E$30)*(1+宠物成长!$I$16+VLOOKUP(宠物属性点预览!Z$2,宠物成长!$O$5:$R$10,3,FALSE))+(VLOOKUP(宠物属性点预览!$B61,宠物成长!$D$30:$E$129,2,FALSE)-宠物成长!$E$30)*宠物成长!$C$2/宠物成长!$C$3*(1+宠物成长!$H$16+VLOOKUP(宠物属性点预览!Z$2,宠物成长!$O$5:$R$10,2,FALSE))</f>
        <v>4100.361508925339</v>
      </c>
      <c r="AA61" s="1">
        <f>(Z61-Z60)/Z60</f>
        <v>2.8125188331513101E-3</v>
      </c>
    </row>
    <row r="62" spans="2:27" x14ac:dyDescent="0.15">
      <c r="B62" s="1">
        <v>60</v>
      </c>
      <c r="C62" s="9">
        <f>(宠物成长!$C$1+宠物成长!$C$2/宠物成长!$C$3*宠物成长!$E$30)*(1+VLOOKUP(宠物属性点预览!C$2,宠物成长!$F$4:$K$25,4,FALSE)+0)+(VLOOKUP(宠物属性点预览!$B62,宠物成长!$D$30:$E$129,2,FALSE)-宠物成长!$E$30)*宠物成长!$C$2/宠物成长!$C$3*(1+VLOOKUP(宠物属性点预览!C$2,宠物成长!$F$5:$K$25,3,FALSE)+0)</f>
        <v>268.5</v>
      </c>
      <c r="D62" s="9">
        <f>(宠物成长!$C$1+宠物成长!$C$2/宠物成长!$C$3*宠物成长!$E$30)*(1+VLOOKUP(宠物属性点预览!D$2,宠物成长!$F$4:$K$25,4,FALSE)+0)+(VLOOKUP(宠物属性点预览!$B62,宠物成长!$D$30:$E$129,2,FALSE)-宠物成长!$E$30)*宠物成长!$C$2/宠物成长!$C$3*(1+VLOOKUP(宠物属性点预览!D$2,宠物成长!$F$5:$K$25,3,FALSE)+0)</f>
        <v>315</v>
      </c>
      <c r="E62" s="9">
        <f>(宠物成长!$C$1+宠物成长!$C$2/宠物成长!$C$3*宠物成长!$E$30)*(1+VLOOKUP(宠物属性点预览!E$2,宠物成长!$F$4:$K$25,4,FALSE)+0)+(VLOOKUP(宠物属性点预览!$B62,宠物成长!$D$30:$E$129,2,FALSE)-宠物成长!$E$30)*宠物成长!$C$2/宠物成长!$C$3*(1+VLOOKUP(宠物属性点预览!E$2,宠物成长!$F$5:$K$25,3,FALSE)+0)</f>
        <v>380.1</v>
      </c>
      <c r="F62" s="9">
        <f>(宠物成长!$C$1+宠物成长!$C$2/宠物成长!$C$3*宠物成长!$E$30)*(1+VLOOKUP(宠物属性点预览!F$2,宠物成长!$F$4:$K$25,4,FALSE)+0)+(VLOOKUP(宠物属性点预览!$B62,宠物成长!$D$30:$E$129,2,FALSE)-宠物成长!$E$30)*宠物成长!$C$2/宠物成长!$C$3*(1+VLOOKUP(宠物属性点预览!F$2,宠物成长!$F$5:$K$25,3,FALSE)+0)</f>
        <v>466.90000000000003</v>
      </c>
      <c r="G62" s="9">
        <f>(宠物成长!$C$1+宠物成长!$C$2/宠物成长!$C$3*宠物成长!$E$30)*(1+VLOOKUP(宠物属性点预览!G$2,宠物成长!$F$4:$K$25,4,FALSE)+0)+(VLOOKUP(宠物属性点预览!$B62,宠物成长!$D$30:$E$129,2,FALSE)-宠物成长!$E$30)*宠物成长!$C$2/宠物成长!$C$3*(1+VLOOKUP(宠物属性点预览!G$2,宠物成长!$F$5:$K$25,3,FALSE)+0)</f>
        <v>595.59999999999991</v>
      </c>
      <c r="H62" s="9">
        <f>(宠物成长!$C$1+宠物成长!$C$2/宠物成长!$C$3*宠物成长!$E$30)*(1+VLOOKUP(宠物属性点预览!H$2,宠物成长!$F$4:$K$25,4,FALSE)+0)+(VLOOKUP(宠物属性点预览!$B62,宠物成长!$D$30:$E$129,2,FALSE)-宠物成长!$E$30)*宠物成长!$C$2/宠物成长!$C$3*(1+VLOOKUP(宠物属性点预览!H$2,宠物成长!$F$5:$K$25,3,FALSE)+0)</f>
        <v>773.9</v>
      </c>
      <c r="I62" s="9">
        <f>(宠物成长!$C$1+宠物成长!$C$2/宠物成长!$C$3*宠物成长!$E$30)*(1+VLOOKUP(宠物属性点预览!I$2,宠物成长!$F$4:$K$25,4,FALSE)+0)+(VLOOKUP(宠物属性点预览!$B62,宠物成长!$D$30:$E$129,2,FALSE)-宠物成长!$E$30)*宠物成长!$C$2/宠物成长!$C$3*(1+VLOOKUP(宠物属性点预览!I$2,宠物成长!$F$5:$K$25,3,FALSE)+0)</f>
        <v>1008</v>
      </c>
      <c r="J62" s="9">
        <f>(宠物成长!$C$1+宠物成长!$C$2/宠物成长!$C$3*宠物成长!$E$30)*(1+VLOOKUP(宠物属性点预览!J$2,宠物成长!$F$4:$K$25,4,FALSE)+0)+(VLOOKUP(宠物属性点预览!$B62,宠物成长!$D$30:$E$129,2,FALSE)-宠物成长!$E$30)*宠物成长!$C$2/宠物成长!$C$3*(1+VLOOKUP(宠物属性点预览!J$2,宠物成长!$F$5:$K$25,3,FALSE)+0)</f>
        <v>1267.1296296296296</v>
      </c>
      <c r="K62" s="9">
        <f>(宠物成长!$C$1+宠物成长!$C$2/宠物成长!$C$3*宠物成长!$E$30)*(1+VLOOKUP(宠物属性点预览!K$2,宠物成长!$F$4:$K$25,4,FALSE)+0)+(VLOOKUP(宠物属性点预览!$B62,宠物成长!$D$30:$E$129,2,FALSE)-宠物成长!$E$30)*宠物成长!$C$2/宠物成长!$C$3*(1+VLOOKUP(宠物属性点预览!K$2,宠物成长!$F$5:$K$25,3,FALSE)+0)</f>
        <v>1529.1296296296296</v>
      </c>
      <c r="L62" s="9">
        <f>(宠物成长!$C$1+宠物成长!$C$2/宠物成长!$C$3*宠物成长!$E$30)*(1+VLOOKUP(宠物属性点预览!L$2,宠物成长!$F$4:$K$25,4,FALSE)+0)+(VLOOKUP(宠物属性点预览!$B62,宠物成长!$D$30:$E$129,2,FALSE)-宠物成长!$E$30)*宠物成长!$C$2/宠物成长!$C$3*(1+VLOOKUP(宠物属性点预览!L$2,宠物成长!$F$5:$K$25,3,FALSE)+0)</f>
        <v>1793.2242242242241</v>
      </c>
      <c r="M62" s="9">
        <f>(宠物成长!$C$1+宠物成长!$C$2/宠物成长!$C$3*宠物成长!$E$30)*(1+VLOOKUP(宠物属性点预览!M$2,宠物成长!$F$4:$K$25,4,FALSE)+0)+(VLOOKUP(宠物属性点预览!$B62,宠物成长!$D$30:$E$129,2,FALSE)-宠物成长!$E$30)*宠物成长!$C$2/宠物成长!$C$3*(1+VLOOKUP(宠物属性点预览!M$2,宠物成长!$F$5:$K$25,3,FALSE)+0)</f>
        <v>2058.9147004147003</v>
      </c>
      <c r="N62" s="9">
        <f>(宠物成长!$C$1+宠物成长!$C$2/宠物成长!$C$3*宠物成长!$E$30)*(1+VLOOKUP(宠物属性点预览!N$2,宠物成长!$F$4:$K$25,4,FALSE)+0)+(VLOOKUP(宠物属性点预览!$B62,宠物成长!$D$30:$E$129,2,FALSE)-宠物成长!$E$30)*宠物成长!$C$2/宠物成长!$C$3*(1+VLOOKUP(宠物属性点预览!N$2,宠物成长!$F$5:$K$25,3,FALSE)+0)</f>
        <v>2325.8615089253385</v>
      </c>
      <c r="O62" s="83">
        <f>(宠物成长!$C$1+宠物成长!$C$2/宠物成长!$C$3*宠物成长!$E$30)*(1+VLOOKUP(宠物属性点预览!O$2,宠物成长!$F$4:$K$25,4,FALSE)+0)+(VLOOKUP(宠物属性点预览!$B62,宠物成长!$D$30:$E$129,2,FALSE)-宠物成长!$E$30)*宠物成长!$C$2/宠物成长!$C$3*(1+VLOOKUP(宠物属性点预览!O$2,宠物成长!$F$5:$K$25,3,FALSE)+0)</f>
        <v>2593.8230473868766</v>
      </c>
      <c r="P62" s="9">
        <f>(宠物成长!$C$1+宠物成长!$C$2/宠物成长!$C$3*宠物成长!$E$30)*(1+VLOOKUP(宠物属性点预览!P$2,宠物成长!$F$4:$K$25,4,FALSE)+0)+(VLOOKUP(宠物属性点预览!$B62,宠物成长!$D$30:$E$129,2,FALSE)-宠物成长!$E$30)*宠物成长!$C$2/宠物成长!$C$3*(1+VLOOKUP(宠物属性点预览!P$2,宠物成长!$F$5:$K$25,3,FALSE)+0)</f>
        <v>2862.6212930009119</v>
      </c>
      <c r="Q62" s="9">
        <f>(宠物成长!$C$1+宠物成长!$C$2/宠物成长!$C$3*宠物成长!$E$30)*(1+VLOOKUP(宠物属性点预览!Q$2,宠物成长!$F$4:$K$25,4,FALSE)+0)+(VLOOKUP(宠物属性点预览!$B62,宠物成长!$D$30:$E$129,2,FALSE)-宠物成长!$E$30)*宠物成长!$C$2/宠物成长!$C$3*(1+VLOOKUP(宠物属性点预览!Q$2,宠物成长!$F$5:$K$25,3,FALSE)+0)</f>
        <v>3132.1212930009119</v>
      </c>
      <c r="R62" s="9">
        <f>(宠物成长!$C$1+宠物成长!$C$2/宠物成长!$C$3*宠物成长!$E$30)*(1+VLOOKUP(宠物属性点预览!R$2,宠物成长!$F$4:$K$25,4,FALSE)+0)+(VLOOKUP(宠物属性点预览!$B62,宠物成长!$D$30:$E$129,2,FALSE)-宠物成长!$E$30)*宠物成长!$C$2/宠物成长!$C$3*(1+VLOOKUP(宠物属性点预览!R$2,宠物成长!$F$5:$K$25,3,FALSE)+0)</f>
        <v>3402.218307926285</v>
      </c>
      <c r="S62" s="9">
        <f>(宠物成长!$C$1+宠物成长!$C$2/宠物成长!$C$3*宠物成长!$E$30)*(1+VLOOKUP(宠物属性点预览!S$2,宠物成长!$F$4:$K$25,4,FALSE)+0)+(VLOOKUP(宠物属性点预览!$B62,宠物成长!$D$30:$E$129,2,FALSE)-宠物成长!$E$30)*宠物成长!$C$2/宠物成长!$C$3*(1+VLOOKUP(宠物属性点预览!S$2,宠物成长!$F$5:$K$25,3,FALSE)+0)</f>
        <v>3672.8294190373958</v>
      </c>
      <c r="T62" s="83">
        <f t="shared" si="12"/>
        <v>2325.8615089253385</v>
      </c>
      <c r="U62" s="9">
        <f>O62</f>
        <v>2593.8230473868766</v>
      </c>
      <c r="V62" s="9">
        <f>(宠物成长!$C$1+宠物成长!$C$2/宠物成长!$C$3*宠物成长!$E$30)*(1+宠物成长!$I$17+VLOOKUP(宠物属性点预览!V$2,宠物成长!$O$5:$R$10,3,FALSE))+(VLOOKUP(宠物属性点预览!$B62,宠物成长!$D$30:$E$129,2,FALSE)-宠物成长!$E$30)*宠物成长!$C$2/宠物成长!$C$3*(1+宠物成长!$H$17+VLOOKUP(宠物属性点预览!V$2,宠物成长!$O$5:$R$10,2,FALSE))</f>
        <v>2593.8230473868766</v>
      </c>
      <c r="W62" s="9">
        <f>(宠物成长!$C$1+宠物成长!$C$2/宠物成长!$C$3*宠物成长!$E$30)*(1+宠物成长!$I$17+VLOOKUP(宠物属性点预览!W$2,宠物成长!$O$5:$R$10,3,FALSE))+(VLOOKUP(宠物属性点预览!$B62,宠物成长!$D$30:$E$129,2,FALSE)-宠物成长!$E$30)*宠物成长!$C$2/宠物成长!$C$3*(1+宠物成长!$H$17+VLOOKUP(宠物属性点预览!W$2,宠物成长!$O$5:$R$10,2,FALSE))</f>
        <v>2962.8230473868766</v>
      </c>
      <c r="X62" s="9">
        <f>(宠物成长!$C$1+宠物成长!$C$2/宠物成长!$C$3*宠物成长!$E$30)*(1+宠物成长!$I$17+VLOOKUP(宠物属性点预览!X$2,宠物成长!$O$5:$R$10,3,FALSE))+(VLOOKUP(宠物属性点预览!$B62,宠物成长!$D$30:$E$129,2,FALSE)-宠物成长!$E$30)*宠物成长!$C$2/宠物成长!$C$3*(1+宠物成长!$H$17+VLOOKUP(宠物属性点预览!X$2,宠物成长!$O$5:$R$10,2,FALSE))</f>
        <v>3393.8230473868766</v>
      </c>
      <c r="Y62" s="9">
        <f>(宠物成长!$C$1+宠物成长!$C$2/宠物成长!$C$3*宠物成长!$E$30)*(1+宠物成长!$I$17+VLOOKUP(宠物属性点预览!Y$2,宠物成长!$O$5:$R$10,3,FALSE))+(VLOOKUP(宠物属性点预览!$B62,宠物成长!$D$30:$E$129,2,FALSE)-宠物成长!$E$30)*宠物成长!$C$2/宠物成长!$C$3*(1+宠物成长!$H$17+VLOOKUP(宠物属性点预览!Y$2,宠物成长!$O$5:$R$10,2,FALSE))</f>
        <v>3886.8230473868766</v>
      </c>
      <c r="Z62" s="9">
        <f>(宠物成长!$C$1+宠物成长!$C$2/宠物成长!$C$3*宠物成长!$E$30)*(1+宠物成长!$I$17+VLOOKUP(宠物属性点预览!Z$2,宠物成长!$O$5:$R$10,3,FALSE))+(VLOOKUP(宠物属性点预览!$B62,宠物成长!$D$30:$E$129,2,FALSE)-宠物成长!$E$30)*宠物成长!$C$2/宠物成长!$C$3*(1+宠物成长!$H$17+VLOOKUP(宠物属性点预览!Z$2,宠物成长!$O$5:$R$10,2,FALSE))</f>
        <v>4379.8230473868771</v>
      </c>
    </row>
    <row r="63" spans="2:27" x14ac:dyDescent="0.15">
      <c r="B63" s="1">
        <v>61</v>
      </c>
      <c r="C63" s="9">
        <f>(宠物成长!$C$1+宠物成长!$C$2/宠物成长!$C$3*宠物成长!$E$30)*(1+VLOOKUP(宠物属性点预览!C$2,宠物成长!$F$4:$K$25,4,FALSE)+0)+(VLOOKUP(宠物属性点预览!$B63,宠物成长!$D$30:$E$129,2,FALSE)-宠物成长!$E$30)*宠物成长!$C$2/宠物成长!$C$3*(1+VLOOKUP(宠物属性点预览!C$2,宠物成长!$F$5:$K$25,3,FALSE)+0)</f>
        <v>272</v>
      </c>
      <c r="D63" s="9">
        <f>(宠物成长!$C$1+宠物成长!$C$2/宠物成长!$C$3*宠物成长!$E$30)*(1+VLOOKUP(宠物属性点预览!D$2,宠物成长!$F$4:$K$25,4,FALSE)+0)+(VLOOKUP(宠物属性点预览!$B63,宠物成长!$D$30:$E$129,2,FALSE)-宠物成长!$E$30)*宠物成长!$C$2/宠物成长!$C$3*(1+VLOOKUP(宠物属性点预览!D$2,宠物成长!$F$5:$K$25,3,FALSE)+0)</f>
        <v>318.5</v>
      </c>
      <c r="E63" s="9">
        <f>(宠物成长!$C$1+宠物成长!$C$2/宠物成长!$C$3*宠物成长!$E$30)*(1+VLOOKUP(宠物属性点预览!E$2,宠物成长!$F$4:$K$25,4,FALSE)+0)+(VLOOKUP(宠物属性点预览!$B63,宠物成长!$D$30:$E$129,2,FALSE)-宠物成长!$E$30)*宠物成长!$C$2/宠物成长!$C$3*(1+VLOOKUP(宠物属性点预览!E$2,宠物成长!$F$5:$K$25,3,FALSE)+0)</f>
        <v>383.6</v>
      </c>
      <c r="F63" s="9">
        <f>(宠物成长!$C$1+宠物成长!$C$2/宠物成长!$C$3*宠物成长!$E$30)*(1+VLOOKUP(宠物属性点预览!F$2,宠物成长!$F$4:$K$25,4,FALSE)+0)+(VLOOKUP(宠物属性点预览!$B63,宠物成长!$D$30:$E$129,2,FALSE)-宠物成长!$E$30)*宠物成长!$C$2/宠物成长!$C$3*(1+VLOOKUP(宠物属性点预览!F$2,宠物成长!$F$5:$K$25,3,FALSE)+0)</f>
        <v>470.40000000000003</v>
      </c>
      <c r="G63" s="9">
        <f>(宠物成长!$C$1+宠物成长!$C$2/宠物成长!$C$3*宠物成长!$E$30)*(1+VLOOKUP(宠物属性点预览!G$2,宠物成长!$F$4:$K$25,4,FALSE)+0)+(VLOOKUP(宠物属性点预览!$B63,宠物成长!$D$30:$E$129,2,FALSE)-宠物成长!$E$30)*宠物成长!$C$2/宠物成长!$C$3*(1+VLOOKUP(宠物属性点预览!G$2,宠物成长!$F$5:$K$25,3,FALSE)+0)</f>
        <v>599.59999999999991</v>
      </c>
      <c r="H63" s="9">
        <f>(宠物成长!$C$1+宠物成长!$C$2/宠物成长!$C$3*宠物成长!$E$30)*(1+VLOOKUP(宠物属性点预览!H$2,宠物成长!$F$4:$K$25,4,FALSE)+0)+(VLOOKUP(宠物属性点预览!$B63,宠物成长!$D$30:$E$129,2,FALSE)-宠物成长!$E$30)*宠物成长!$C$2/宠物成长!$C$3*(1+VLOOKUP(宠物属性点预览!H$2,宠物成长!$F$5:$K$25,3,FALSE)+0)</f>
        <v>778.4</v>
      </c>
      <c r="I63" s="9">
        <f>(宠物成长!$C$1+宠物成长!$C$2/宠物成长!$C$3*宠物成长!$E$30)*(1+VLOOKUP(宠物属性点预览!I$2,宠物成长!$F$4:$K$25,4,FALSE)+0)+(VLOOKUP(宠物属性点预览!$B63,宠物成长!$D$30:$E$129,2,FALSE)-宠物成长!$E$30)*宠物成长!$C$2/宠物成长!$C$3*(1+VLOOKUP(宠物属性点预览!I$2,宠物成长!$F$5:$K$25,3,FALSE)+0)</f>
        <v>1013</v>
      </c>
      <c r="J63" s="9">
        <f>(宠物成长!$C$1+宠物成长!$C$2/宠物成长!$C$3*宠物成长!$E$30)*(1+VLOOKUP(宠物属性点预览!J$2,宠物成长!$F$4:$K$25,4,FALSE)+0)+(VLOOKUP(宠物属性点预览!$B63,宠物成长!$D$30:$E$129,2,FALSE)-宠物成长!$E$30)*宠物成长!$C$2/宠物成长!$C$3*(1+VLOOKUP(宠物属性点预览!J$2,宠物成长!$F$5:$K$25,3,FALSE)+0)</f>
        <v>1272.6296296296296</v>
      </c>
      <c r="K63" s="9">
        <f>(宠物成长!$C$1+宠物成长!$C$2/宠物成长!$C$3*宠物成长!$E$30)*(1+VLOOKUP(宠物属性点预览!K$2,宠物成长!$F$4:$K$25,4,FALSE)+0)+(VLOOKUP(宠物属性点预览!$B63,宠物成长!$D$30:$E$129,2,FALSE)-宠物成长!$E$30)*宠物成长!$C$2/宠物成长!$C$3*(1+VLOOKUP(宠物属性点预览!K$2,宠物成长!$F$5:$K$25,3,FALSE)+0)</f>
        <v>1535.1296296296296</v>
      </c>
      <c r="L63" s="9">
        <f>(宠物成长!$C$1+宠物成长!$C$2/宠物成长!$C$3*宠物成长!$E$30)*(1+VLOOKUP(宠物属性点预览!L$2,宠物成长!$F$4:$K$25,4,FALSE)+0)+(VLOOKUP(宠物属性点预览!$B63,宠物成长!$D$30:$E$129,2,FALSE)-宠物成长!$E$30)*宠物成长!$C$2/宠物成长!$C$3*(1+VLOOKUP(宠物属性点预览!L$2,宠物成长!$F$5:$K$25,3,FALSE)+0)</f>
        <v>1799.7242242242241</v>
      </c>
      <c r="M63" s="9">
        <f>(宠物成长!$C$1+宠物成长!$C$2/宠物成长!$C$3*宠物成长!$E$30)*(1+VLOOKUP(宠物属性点预览!M$2,宠物成长!$F$4:$K$25,4,FALSE)+0)+(VLOOKUP(宠物属性点预览!$B63,宠物成长!$D$30:$E$129,2,FALSE)-宠物成长!$E$30)*宠物成长!$C$2/宠物成长!$C$3*(1+VLOOKUP(宠物属性点预览!M$2,宠物成长!$F$5:$K$25,3,FALSE)+0)</f>
        <v>2065.9147004147003</v>
      </c>
      <c r="N63" s="9">
        <f>(宠物成长!$C$1+宠物成长!$C$2/宠物成长!$C$3*宠物成长!$E$30)*(1+VLOOKUP(宠物属性点预览!N$2,宠物成长!$F$4:$K$25,4,FALSE)+0)+(VLOOKUP(宠物属性点预览!$B63,宠物成长!$D$30:$E$129,2,FALSE)-宠物成长!$E$30)*宠物成长!$C$2/宠物成长!$C$3*(1+VLOOKUP(宠物属性点预览!N$2,宠物成长!$F$5:$K$25,3,FALSE)+0)</f>
        <v>2333.3615089253385</v>
      </c>
      <c r="O63" s="9">
        <f>(宠物成长!$C$1+宠物成长!$C$2/宠物成长!$C$3*宠物成长!$E$30)*(1+VLOOKUP(宠物属性点预览!O$2,宠物成长!$F$4:$K$25,4,FALSE)+0)+(VLOOKUP(宠物属性点预览!$B63,宠物成长!$D$30:$E$129,2,FALSE)-宠物成长!$E$30)*宠物成长!$C$2/宠物成长!$C$3*(1+VLOOKUP(宠物属性点预览!O$2,宠物成长!$F$5:$K$25,3,FALSE)+0)</f>
        <v>2601.8230473868766</v>
      </c>
      <c r="P63" s="9">
        <f>(宠物成长!$C$1+宠物成长!$C$2/宠物成长!$C$3*宠物成长!$E$30)*(1+VLOOKUP(宠物属性点预览!P$2,宠物成长!$F$4:$K$25,4,FALSE)+0)+(VLOOKUP(宠物属性点预览!$B63,宠物成长!$D$30:$E$129,2,FALSE)-宠物成长!$E$30)*宠物成长!$C$2/宠物成长!$C$3*(1+VLOOKUP(宠物属性点预览!P$2,宠物成长!$F$5:$K$25,3,FALSE)+0)</f>
        <v>2871.1212930009119</v>
      </c>
      <c r="Q63" s="9">
        <f>(宠物成长!$C$1+宠物成长!$C$2/宠物成长!$C$3*宠物成长!$E$30)*(1+VLOOKUP(宠物属性点预览!Q$2,宠物成长!$F$4:$K$25,4,FALSE)+0)+(VLOOKUP(宠物属性点预览!$B63,宠物成长!$D$30:$E$129,2,FALSE)-宠物成长!$E$30)*宠物成长!$C$2/宠物成长!$C$3*(1+VLOOKUP(宠物属性点预览!Q$2,宠物成长!$F$5:$K$25,3,FALSE)+0)</f>
        <v>3141.1212930009119</v>
      </c>
      <c r="R63" s="9">
        <f>(宠物成长!$C$1+宠物成长!$C$2/宠物成长!$C$3*宠物成长!$E$30)*(1+VLOOKUP(宠物属性点预览!R$2,宠物成长!$F$4:$K$25,4,FALSE)+0)+(VLOOKUP(宠物属性点预览!$B63,宠物成长!$D$30:$E$129,2,FALSE)-宠物成长!$E$30)*宠物成长!$C$2/宠物成长!$C$3*(1+VLOOKUP(宠物属性点预览!R$2,宠物成长!$F$5:$K$25,3,FALSE)+0)</f>
        <v>3411.718307926285</v>
      </c>
      <c r="S63" s="9">
        <f>(宠物成长!$C$1+宠物成长!$C$2/宠物成长!$C$3*宠物成长!$E$30)*(1+VLOOKUP(宠物属性点预览!S$2,宠物成长!$F$4:$K$25,4,FALSE)+0)+(VLOOKUP(宠物属性点预览!$B63,宠物成长!$D$30:$E$129,2,FALSE)-宠物成长!$E$30)*宠物成长!$C$2/宠物成长!$C$3*(1+VLOOKUP(宠物属性点预览!S$2,宠物成长!$F$5:$K$25,3,FALSE)+0)</f>
        <v>3682.8294190373958</v>
      </c>
      <c r="T63" s="83">
        <f>O63</f>
        <v>2601.8230473868766</v>
      </c>
      <c r="V63" s="9">
        <f>(宠物成长!$C$1+宠物成长!$C$2/宠物成长!$C$3*宠物成长!$E$30)*(1+宠物成长!$I$17+VLOOKUP(宠物属性点预览!V$2,宠物成长!$O$5:$R$10,3,FALSE))+(VLOOKUP(宠物属性点预览!$B63,宠物成长!$D$30:$E$129,2,FALSE)-宠物成长!$E$30)*宠物成长!$C$2/宠物成长!$C$3*(1+宠物成长!$H$17+VLOOKUP(宠物属性点预览!V$2,宠物成长!$O$5:$R$10,2,FALSE))</f>
        <v>2601.8230473868766</v>
      </c>
      <c r="W63" s="9">
        <f>(宠物成长!$C$1+宠物成长!$C$2/宠物成长!$C$3*宠物成长!$E$30)*(1+宠物成长!$I$17+VLOOKUP(宠物属性点预览!W$2,宠物成长!$O$5:$R$10,3,FALSE))+(VLOOKUP(宠物属性点预览!$B63,宠物成长!$D$30:$E$129,2,FALSE)-宠物成长!$E$30)*宠物成长!$C$2/宠物成长!$C$3*(1+宠物成长!$H$17+VLOOKUP(宠物属性点预览!W$2,宠物成长!$O$5:$R$10,2,FALSE))</f>
        <v>2971.8230473868766</v>
      </c>
      <c r="X63" s="9">
        <f>(宠物成长!$C$1+宠物成长!$C$2/宠物成长!$C$3*宠物成长!$E$30)*(1+宠物成长!$I$17+VLOOKUP(宠物属性点预览!X$2,宠物成长!$O$5:$R$10,3,FALSE))+(VLOOKUP(宠物属性点预览!$B63,宠物成长!$D$30:$E$129,2,FALSE)-宠物成长!$E$30)*宠物成长!$C$2/宠物成长!$C$3*(1+宠物成长!$H$17+VLOOKUP(宠物属性点预览!X$2,宠物成长!$O$5:$R$10,2,FALSE))</f>
        <v>3403.8230473868766</v>
      </c>
      <c r="Y63" s="9">
        <f>(宠物成长!$C$1+宠物成长!$C$2/宠物成长!$C$3*宠物成长!$E$30)*(1+宠物成长!$I$17+VLOOKUP(宠物属性点预览!Y$2,宠物成长!$O$5:$R$10,3,FALSE))+(VLOOKUP(宠物属性点预览!$B63,宠物成长!$D$30:$E$129,2,FALSE)-宠物成长!$E$30)*宠物成长!$C$2/宠物成长!$C$3*(1+宠物成长!$H$17+VLOOKUP(宠物属性点预览!Y$2,宠物成长!$O$5:$R$10,2,FALSE))</f>
        <v>3897.8230473868766</v>
      </c>
      <c r="Z63" s="9">
        <f>(宠物成长!$C$1+宠物成长!$C$2/宠物成长!$C$3*宠物成长!$E$30)*(1+宠物成长!$I$17+VLOOKUP(宠物属性点预览!Z$2,宠物成长!$O$5:$R$10,3,FALSE))+(VLOOKUP(宠物属性点预览!$B63,宠物成长!$D$30:$E$129,2,FALSE)-宠物成长!$E$30)*宠物成长!$C$2/宠物成长!$C$3*(1+宠物成长!$H$17+VLOOKUP(宠物属性点预览!Z$2,宠物成长!$O$5:$R$10,2,FALSE))</f>
        <v>4391.8230473868771</v>
      </c>
    </row>
    <row r="64" spans="2:27" x14ac:dyDescent="0.15">
      <c r="B64" s="1">
        <v>62</v>
      </c>
      <c r="C64" s="9">
        <f>(宠物成长!$C$1+宠物成长!$C$2/宠物成长!$C$3*宠物成长!$E$30)*(1+VLOOKUP(宠物属性点预览!C$2,宠物成长!$F$4:$K$25,4,FALSE)+0)+(VLOOKUP(宠物属性点预览!$B64,宠物成长!$D$30:$E$129,2,FALSE)-宠物成长!$E$30)*宠物成长!$C$2/宠物成长!$C$3*(1+VLOOKUP(宠物属性点预览!C$2,宠物成长!$F$5:$K$25,3,FALSE)+0)</f>
        <v>275.5</v>
      </c>
      <c r="D64" s="9">
        <f>(宠物成长!$C$1+宠物成长!$C$2/宠物成长!$C$3*宠物成长!$E$30)*(1+VLOOKUP(宠物属性点预览!D$2,宠物成长!$F$4:$K$25,4,FALSE)+0)+(VLOOKUP(宠物属性点预览!$B64,宠物成长!$D$30:$E$129,2,FALSE)-宠物成长!$E$30)*宠物成长!$C$2/宠物成长!$C$3*(1+VLOOKUP(宠物属性点预览!D$2,宠物成长!$F$5:$K$25,3,FALSE)+0)</f>
        <v>322</v>
      </c>
      <c r="E64" s="9">
        <f>(宠物成长!$C$1+宠物成长!$C$2/宠物成长!$C$3*宠物成长!$E$30)*(1+VLOOKUP(宠物属性点预览!E$2,宠物成长!$F$4:$K$25,4,FALSE)+0)+(VLOOKUP(宠物属性点预览!$B64,宠物成长!$D$30:$E$129,2,FALSE)-宠物成长!$E$30)*宠物成长!$C$2/宠物成长!$C$3*(1+VLOOKUP(宠物属性点预览!E$2,宠物成长!$F$5:$K$25,3,FALSE)+0)</f>
        <v>387.1</v>
      </c>
      <c r="F64" s="9">
        <f>(宠物成长!$C$1+宠物成长!$C$2/宠物成长!$C$3*宠物成长!$E$30)*(1+VLOOKUP(宠物属性点预览!F$2,宠物成长!$F$4:$K$25,4,FALSE)+0)+(VLOOKUP(宠物属性点预览!$B64,宠物成长!$D$30:$E$129,2,FALSE)-宠物成长!$E$30)*宠物成长!$C$2/宠物成长!$C$3*(1+VLOOKUP(宠物属性点预览!F$2,宠物成长!$F$5:$K$25,3,FALSE)+0)</f>
        <v>473.90000000000003</v>
      </c>
      <c r="G64" s="9">
        <f>(宠物成长!$C$1+宠物成长!$C$2/宠物成长!$C$3*宠物成长!$E$30)*(1+VLOOKUP(宠物属性点预览!G$2,宠物成长!$F$4:$K$25,4,FALSE)+0)+(VLOOKUP(宠物属性点预览!$B64,宠物成长!$D$30:$E$129,2,FALSE)-宠物成长!$E$30)*宠物成长!$C$2/宠物成长!$C$3*(1+VLOOKUP(宠物属性点预览!G$2,宠物成长!$F$5:$K$25,3,FALSE)+0)</f>
        <v>603.59999999999991</v>
      </c>
      <c r="H64" s="9">
        <f>(宠物成长!$C$1+宠物成长!$C$2/宠物成长!$C$3*宠物成长!$E$30)*(1+VLOOKUP(宠物属性点预览!H$2,宠物成长!$F$4:$K$25,4,FALSE)+0)+(VLOOKUP(宠物属性点预览!$B64,宠物成长!$D$30:$E$129,2,FALSE)-宠物成长!$E$30)*宠物成长!$C$2/宠物成长!$C$3*(1+VLOOKUP(宠物属性点预览!H$2,宠物成长!$F$5:$K$25,3,FALSE)+0)</f>
        <v>782.9</v>
      </c>
      <c r="I64" s="9">
        <f>(宠物成长!$C$1+宠物成长!$C$2/宠物成长!$C$3*宠物成长!$E$30)*(1+VLOOKUP(宠物属性点预览!I$2,宠物成长!$F$4:$K$25,4,FALSE)+0)+(VLOOKUP(宠物属性点预览!$B64,宠物成长!$D$30:$E$129,2,FALSE)-宠物成长!$E$30)*宠物成长!$C$2/宠物成长!$C$3*(1+VLOOKUP(宠物属性点预览!I$2,宠物成长!$F$5:$K$25,3,FALSE)+0)</f>
        <v>1018</v>
      </c>
      <c r="J64" s="9">
        <f>(宠物成长!$C$1+宠物成长!$C$2/宠物成长!$C$3*宠物成长!$E$30)*(1+VLOOKUP(宠物属性点预览!J$2,宠物成长!$F$4:$K$25,4,FALSE)+0)+(VLOOKUP(宠物属性点预览!$B64,宠物成长!$D$30:$E$129,2,FALSE)-宠物成长!$E$30)*宠物成长!$C$2/宠物成长!$C$3*(1+VLOOKUP(宠物属性点预览!J$2,宠物成长!$F$5:$K$25,3,FALSE)+0)</f>
        <v>1278.1296296296296</v>
      </c>
      <c r="K64" s="9">
        <f>(宠物成长!$C$1+宠物成长!$C$2/宠物成长!$C$3*宠物成长!$E$30)*(1+VLOOKUP(宠物属性点预览!K$2,宠物成长!$F$4:$K$25,4,FALSE)+0)+(VLOOKUP(宠物属性点预览!$B64,宠物成长!$D$30:$E$129,2,FALSE)-宠物成长!$E$30)*宠物成长!$C$2/宠物成长!$C$3*(1+VLOOKUP(宠物属性点预览!K$2,宠物成长!$F$5:$K$25,3,FALSE)+0)</f>
        <v>1541.1296296296296</v>
      </c>
      <c r="L64" s="9">
        <f>(宠物成长!$C$1+宠物成长!$C$2/宠物成长!$C$3*宠物成长!$E$30)*(1+VLOOKUP(宠物属性点预览!L$2,宠物成长!$F$4:$K$25,4,FALSE)+0)+(VLOOKUP(宠物属性点预览!$B64,宠物成长!$D$30:$E$129,2,FALSE)-宠物成长!$E$30)*宠物成长!$C$2/宠物成长!$C$3*(1+VLOOKUP(宠物属性点预览!L$2,宠物成长!$F$5:$K$25,3,FALSE)+0)</f>
        <v>1806.2242242242241</v>
      </c>
      <c r="M64" s="9">
        <f>(宠物成长!$C$1+宠物成长!$C$2/宠物成长!$C$3*宠物成长!$E$30)*(1+VLOOKUP(宠物属性点预览!M$2,宠物成长!$F$4:$K$25,4,FALSE)+0)+(VLOOKUP(宠物属性点预览!$B64,宠物成长!$D$30:$E$129,2,FALSE)-宠物成长!$E$30)*宠物成长!$C$2/宠物成长!$C$3*(1+VLOOKUP(宠物属性点预览!M$2,宠物成长!$F$5:$K$25,3,FALSE)+0)</f>
        <v>2072.9147004147003</v>
      </c>
      <c r="N64" s="9">
        <f>(宠物成长!$C$1+宠物成长!$C$2/宠物成长!$C$3*宠物成长!$E$30)*(1+VLOOKUP(宠物属性点预览!N$2,宠物成长!$F$4:$K$25,4,FALSE)+0)+(VLOOKUP(宠物属性点预览!$B64,宠物成长!$D$30:$E$129,2,FALSE)-宠物成长!$E$30)*宠物成长!$C$2/宠物成长!$C$3*(1+VLOOKUP(宠物属性点预览!N$2,宠物成长!$F$5:$K$25,3,FALSE)+0)</f>
        <v>2340.8615089253385</v>
      </c>
      <c r="O64" s="9">
        <f>(宠物成长!$C$1+宠物成长!$C$2/宠物成长!$C$3*宠物成长!$E$30)*(1+VLOOKUP(宠物属性点预览!O$2,宠物成长!$F$4:$K$25,4,FALSE)+0)+(VLOOKUP(宠物属性点预览!$B64,宠物成长!$D$30:$E$129,2,FALSE)-宠物成长!$E$30)*宠物成长!$C$2/宠物成长!$C$3*(1+VLOOKUP(宠物属性点预览!O$2,宠物成长!$F$5:$K$25,3,FALSE)+0)</f>
        <v>2609.8230473868766</v>
      </c>
      <c r="P64" s="9">
        <f>(宠物成长!$C$1+宠物成长!$C$2/宠物成长!$C$3*宠物成长!$E$30)*(1+VLOOKUP(宠物属性点预览!P$2,宠物成长!$F$4:$K$25,4,FALSE)+0)+(VLOOKUP(宠物属性点预览!$B64,宠物成长!$D$30:$E$129,2,FALSE)-宠物成长!$E$30)*宠物成长!$C$2/宠物成长!$C$3*(1+VLOOKUP(宠物属性点预览!P$2,宠物成长!$F$5:$K$25,3,FALSE)+0)</f>
        <v>2879.6212930009119</v>
      </c>
      <c r="Q64" s="9">
        <f>(宠物成长!$C$1+宠物成长!$C$2/宠物成长!$C$3*宠物成长!$E$30)*(1+VLOOKUP(宠物属性点预览!Q$2,宠物成长!$F$4:$K$25,4,FALSE)+0)+(VLOOKUP(宠物属性点预览!$B64,宠物成长!$D$30:$E$129,2,FALSE)-宠物成长!$E$30)*宠物成长!$C$2/宠物成长!$C$3*(1+VLOOKUP(宠物属性点预览!Q$2,宠物成长!$F$5:$K$25,3,FALSE)+0)</f>
        <v>3150.1212930009119</v>
      </c>
      <c r="R64" s="9">
        <f>(宠物成长!$C$1+宠物成长!$C$2/宠物成长!$C$3*宠物成长!$E$30)*(1+VLOOKUP(宠物属性点预览!R$2,宠物成长!$F$4:$K$25,4,FALSE)+0)+(VLOOKUP(宠物属性点预览!$B64,宠物成长!$D$30:$E$129,2,FALSE)-宠物成长!$E$30)*宠物成长!$C$2/宠物成长!$C$3*(1+VLOOKUP(宠物属性点预览!R$2,宠物成长!$F$5:$K$25,3,FALSE)+0)</f>
        <v>3421.218307926285</v>
      </c>
      <c r="S64" s="9">
        <f>(宠物成长!$C$1+宠物成长!$C$2/宠物成长!$C$3*宠物成长!$E$30)*(1+VLOOKUP(宠物属性点预览!S$2,宠物成长!$F$4:$K$25,4,FALSE)+0)+(VLOOKUP(宠物属性点预览!$B64,宠物成长!$D$30:$E$129,2,FALSE)-宠物成长!$E$30)*宠物成长!$C$2/宠物成长!$C$3*(1+VLOOKUP(宠物属性点预览!S$2,宠物成长!$F$5:$K$25,3,FALSE)+0)</f>
        <v>3692.8294190373958</v>
      </c>
      <c r="T64" s="83">
        <f t="shared" ref="T64:T67" si="13">O64</f>
        <v>2609.8230473868766</v>
      </c>
      <c r="V64" s="9">
        <f>(宠物成长!$C$1+宠物成长!$C$2/宠物成长!$C$3*宠物成长!$E$30)*(1+宠物成长!$I$17+VLOOKUP(宠物属性点预览!V$2,宠物成长!$O$5:$R$10,3,FALSE))+(VLOOKUP(宠物属性点预览!$B64,宠物成长!$D$30:$E$129,2,FALSE)-宠物成长!$E$30)*宠物成长!$C$2/宠物成长!$C$3*(1+宠物成长!$H$17+VLOOKUP(宠物属性点预览!V$2,宠物成长!$O$5:$R$10,2,FALSE))</f>
        <v>2609.8230473868766</v>
      </c>
      <c r="W64" s="9">
        <f>(宠物成长!$C$1+宠物成长!$C$2/宠物成长!$C$3*宠物成长!$E$30)*(1+宠物成长!$I$17+VLOOKUP(宠物属性点预览!W$2,宠物成长!$O$5:$R$10,3,FALSE))+(VLOOKUP(宠物属性点预览!$B64,宠物成长!$D$30:$E$129,2,FALSE)-宠物成长!$E$30)*宠物成长!$C$2/宠物成长!$C$3*(1+宠物成长!$H$17+VLOOKUP(宠物属性点预览!W$2,宠物成长!$O$5:$R$10,2,FALSE))</f>
        <v>2980.8230473868766</v>
      </c>
      <c r="X64" s="9">
        <f>(宠物成长!$C$1+宠物成长!$C$2/宠物成长!$C$3*宠物成长!$E$30)*(1+宠物成长!$I$17+VLOOKUP(宠物属性点预览!X$2,宠物成长!$O$5:$R$10,3,FALSE))+(VLOOKUP(宠物属性点预览!$B64,宠物成长!$D$30:$E$129,2,FALSE)-宠物成长!$E$30)*宠物成长!$C$2/宠物成长!$C$3*(1+宠物成长!$H$17+VLOOKUP(宠物属性点预览!X$2,宠物成长!$O$5:$R$10,2,FALSE))</f>
        <v>3413.8230473868766</v>
      </c>
      <c r="Y64" s="9">
        <f>(宠物成长!$C$1+宠物成长!$C$2/宠物成长!$C$3*宠物成长!$E$30)*(1+宠物成长!$I$17+VLOOKUP(宠物属性点预览!Y$2,宠物成长!$O$5:$R$10,3,FALSE))+(VLOOKUP(宠物属性点预览!$B64,宠物成长!$D$30:$E$129,2,FALSE)-宠物成长!$E$30)*宠物成长!$C$2/宠物成长!$C$3*(1+宠物成长!$H$17+VLOOKUP(宠物属性点预览!Y$2,宠物成长!$O$5:$R$10,2,FALSE))</f>
        <v>3908.8230473868766</v>
      </c>
      <c r="Z64" s="9">
        <f>(宠物成长!$C$1+宠物成长!$C$2/宠物成长!$C$3*宠物成长!$E$30)*(1+宠物成长!$I$17+VLOOKUP(宠物属性点预览!Z$2,宠物成长!$O$5:$R$10,3,FALSE))+(VLOOKUP(宠物属性点预览!$B64,宠物成长!$D$30:$E$129,2,FALSE)-宠物成长!$E$30)*宠物成长!$C$2/宠物成长!$C$3*(1+宠物成长!$H$17+VLOOKUP(宠物属性点预览!Z$2,宠物成长!$O$5:$R$10,2,FALSE))</f>
        <v>4403.8230473868771</v>
      </c>
    </row>
    <row r="65" spans="2:27" x14ac:dyDescent="0.15">
      <c r="B65" s="1">
        <v>63</v>
      </c>
      <c r="C65" s="9">
        <f>(宠物成长!$C$1+宠物成长!$C$2/宠物成长!$C$3*宠物成长!$E$30)*(1+VLOOKUP(宠物属性点预览!C$2,宠物成长!$F$4:$K$25,4,FALSE)+0)+(VLOOKUP(宠物属性点预览!$B65,宠物成长!$D$30:$E$129,2,FALSE)-宠物成长!$E$30)*宠物成长!$C$2/宠物成长!$C$3*(1+VLOOKUP(宠物属性点预览!C$2,宠物成长!$F$5:$K$25,3,FALSE)+0)</f>
        <v>279</v>
      </c>
      <c r="D65" s="9">
        <f>(宠物成长!$C$1+宠物成长!$C$2/宠物成长!$C$3*宠物成长!$E$30)*(1+VLOOKUP(宠物属性点预览!D$2,宠物成长!$F$4:$K$25,4,FALSE)+0)+(VLOOKUP(宠物属性点预览!$B65,宠物成长!$D$30:$E$129,2,FALSE)-宠物成长!$E$30)*宠物成长!$C$2/宠物成长!$C$3*(1+VLOOKUP(宠物属性点预览!D$2,宠物成长!$F$5:$K$25,3,FALSE)+0)</f>
        <v>325.5</v>
      </c>
      <c r="E65" s="9">
        <f>(宠物成长!$C$1+宠物成长!$C$2/宠物成长!$C$3*宠物成长!$E$30)*(1+VLOOKUP(宠物属性点预览!E$2,宠物成长!$F$4:$K$25,4,FALSE)+0)+(VLOOKUP(宠物属性点预览!$B65,宠物成长!$D$30:$E$129,2,FALSE)-宠物成长!$E$30)*宠物成长!$C$2/宠物成长!$C$3*(1+VLOOKUP(宠物属性点预览!E$2,宠物成长!$F$5:$K$25,3,FALSE)+0)</f>
        <v>390.6</v>
      </c>
      <c r="F65" s="9">
        <f>(宠物成长!$C$1+宠物成长!$C$2/宠物成长!$C$3*宠物成长!$E$30)*(1+VLOOKUP(宠物属性点预览!F$2,宠物成长!$F$4:$K$25,4,FALSE)+0)+(VLOOKUP(宠物属性点预览!$B65,宠物成长!$D$30:$E$129,2,FALSE)-宠物成长!$E$30)*宠物成长!$C$2/宠物成长!$C$3*(1+VLOOKUP(宠物属性点预览!F$2,宠物成长!$F$5:$K$25,3,FALSE)+0)</f>
        <v>477.40000000000003</v>
      </c>
      <c r="G65" s="9">
        <f>(宠物成长!$C$1+宠物成长!$C$2/宠物成长!$C$3*宠物成长!$E$30)*(1+VLOOKUP(宠物属性点预览!G$2,宠物成长!$F$4:$K$25,4,FALSE)+0)+(VLOOKUP(宠物属性点预览!$B65,宠物成长!$D$30:$E$129,2,FALSE)-宠物成长!$E$30)*宠物成长!$C$2/宠物成长!$C$3*(1+VLOOKUP(宠物属性点预览!G$2,宠物成长!$F$5:$K$25,3,FALSE)+0)</f>
        <v>607.59999999999991</v>
      </c>
      <c r="H65" s="9">
        <f>(宠物成长!$C$1+宠物成长!$C$2/宠物成长!$C$3*宠物成长!$E$30)*(1+VLOOKUP(宠物属性点预览!H$2,宠物成长!$F$4:$K$25,4,FALSE)+0)+(VLOOKUP(宠物属性点预览!$B65,宠物成长!$D$30:$E$129,2,FALSE)-宠物成长!$E$30)*宠物成长!$C$2/宠物成长!$C$3*(1+VLOOKUP(宠物属性点预览!H$2,宠物成长!$F$5:$K$25,3,FALSE)+0)</f>
        <v>787.4</v>
      </c>
      <c r="I65" s="9">
        <f>(宠物成长!$C$1+宠物成长!$C$2/宠物成长!$C$3*宠物成长!$E$30)*(1+VLOOKUP(宠物属性点预览!I$2,宠物成长!$F$4:$K$25,4,FALSE)+0)+(VLOOKUP(宠物属性点预览!$B65,宠物成长!$D$30:$E$129,2,FALSE)-宠物成长!$E$30)*宠物成长!$C$2/宠物成长!$C$3*(1+VLOOKUP(宠物属性点预览!I$2,宠物成长!$F$5:$K$25,3,FALSE)+0)</f>
        <v>1023</v>
      </c>
      <c r="J65" s="9">
        <f>(宠物成长!$C$1+宠物成长!$C$2/宠物成长!$C$3*宠物成长!$E$30)*(1+VLOOKUP(宠物属性点预览!J$2,宠物成长!$F$4:$K$25,4,FALSE)+0)+(VLOOKUP(宠物属性点预览!$B65,宠物成长!$D$30:$E$129,2,FALSE)-宠物成长!$E$30)*宠物成长!$C$2/宠物成长!$C$3*(1+VLOOKUP(宠物属性点预览!J$2,宠物成长!$F$5:$K$25,3,FALSE)+0)</f>
        <v>1283.6296296296296</v>
      </c>
      <c r="K65" s="9">
        <f>(宠物成长!$C$1+宠物成长!$C$2/宠物成长!$C$3*宠物成长!$E$30)*(1+VLOOKUP(宠物属性点预览!K$2,宠物成长!$F$4:$K$25,4,FALSE)+0)+(VLOOKUP(宠物属性点预览!$B65,宠物成长!$D$30:$E$129,2,FALSE)-宠物成长!$E$30)*宠物成长!$C$2/宠物成长!$C$3*(1+VLOOKUP(宠物属性点预览!K$2,宠物成长!$F$5:$K$25,3,FALSE)+0)</f>
        <v>1547.1296296296296</v>
      </c>
      <c r="L65" s="9">
        <f>(宠物成长!$C$1+宠物成长!$C$2/宠物成长!$C$3*宠物成长!$E$30)*(1+VLOOKUP(宠物属性点预览!L$2,宠物成长!$F$4:$K$25,4,FALSE)+0)+(VLOOKUP(宠物属性点预览!$B65,宠物成长!$D$30:$E$129,2,FALSE)-宠物成长!$E$30)*宠物成长!$C$2/宠物成长!$C$3*(1+VLOOKUP(宠物属性点预览!L$2,宠物成长!$F$5:$K$25,3,FALSE)+0)</f>
        <v>1812.7242242242241</v>
      </c>
      <c r="M65" s="9">
        <f>(宠物成长!$C$1+宠物成长!$C$2/宠物成长!$C$3*宠物成长!$E$30)*(1+VLOOKUP(宠物属性点预览!M$2,宠物成长!$F$4:$K$25,4,FALSE)+0)+(VLOOKUP(宠物属性点预览!$B65,宠物成长!$D$30:$E$129,2,FALSE)-宠物成长!$E$30)*宠物成长!$C$2/宠物成长!$C$3*(1+VLOOKUP(宠物属性点预览!M$2,宠物成长!$F$5:$K$25,3,FALSE)+0)</f>
        <v>2079.9147004147003</v>
      </c>
      <c r="N65" s="9">
        <f>(宠物成长!$C$1+宠物成长!$C$2/宠物成长!$C$3*宠物成长!$E$30)*(1+VLOOKUP(宠物属性点预览!N$2,宠物成长!$F$4:$K$25,4,FALSE)+0)+(VLOOKUP(宠物属性点预览!$B65,宠物成长!$D$30:$E$129,2,FALSE)-宠物成长!$E$30)*宠物成长!$C$2/宠物成长!$C$3*(1+VLOOKUP(宠物属性点预览!N$2,宠物成长!$F$5:$K$25,3,FALSE)+0)</f>
        <v>2348.3615089253385</v>
      </c>
      <c r="O65" s="9">
        <f>(宠物成长!$C$1+宠物成长!$C$2/宠物成长!$C$3*宠物成长!$E$30)*(1+VLOOKUP(宠物属性点预览!O$2,宠物成长!$F$4:$K$25,4,FALSE)+0)+(VLOOKUP(宠物属性点预览!$B65,宠物成长!$D$30:$E$129,2,FALSE)-宠物成长!$E$30)*宠物成长!$C$2/宠物成长!$C$3*(1+VLOOKUP(宠物属性点预览!O$2,宠物成长!$F$5:$K$25,3,FALSE)+0)</f>
        <v>2617.8230473868766</v>
      </c>
      <c r="P65" s="9">
        <f>(宠物成长!$C$1+宠物成长!$C$2/宠物成长!$C$3*宠物成长!$E$30)*(1+VLOOKUP(宠物属性点预览!P$2,宠物成长!$F$4:$K$25,4,FALSE)+0)+(VLOOKUP(宠物属性点预览!$B65,宠物成长!$D$30:$E$129,2,FALSE)-宠物成长!$E$30)*宠物成长!$C$2/宠物成长!$C$3*(1+VLOOKUP(宠物属性点预览!P$2,宠物成长!$F$5:$K$25,3,FALSE)+0)</f>
        <v>2888.1212930009119</v>
      </c>
      <c r="Q65" s="9">
        <f>(宠物成长!$C$1+宠物成长!$C$2/宠物成长!$C$3*宠物成长!$E$30)*(1+VLOOKUP(宠物属性点预览!Q$2,宠物成长!$F$4:$K$25,4,FALSE)+0)+(VLOOKUP(宠物属性点预览!$B65,宠物成长!$D$30:$E$129,2,FALSE)-宠物成长!$E$30)*宠物成长!$C$2/宠物成长!$C$3*(1+VLOOKUP(宠物属性点预览!Q$2,宠物成长!$F$5:$K$25,3,FALSE)+0)</f>
        <v>3159.1212930009119</v>
      </c>
      <c r="R65" s="9">
        <f>(宠物成长!$C$1+宠物成长!$C$2/宠物成长!$C$3*宠物成长!$E$30)*(1+VLOOKUP(宠物属性点预览!R$2,宠物成长!$F$4:$K$25,4,FALSE)+0)+(VLOOKUP(宠物属性点预览!$B65,宠物成长!$D$30:$E$129,2,FALSE)-宠物成长!$E$30)*宠物成长!$C$2/宠物成长!$C$3*(1+VLOOKUP(宠物属性点预览!R$2,宠物成长!$F$5:$K$25,3,FALSE)+0)</f>
        <v>3430.718307926285</v>
      </c>
      <c r="S65" s="9">
        <f>(宠物成长!$C$1+宠物成长!$C$2/宠物成长!$C$3*宠物成长!$E$30)*(1+VLOOKUP(宠物属性点预览!S$2,宠物成长!$F$4:$K$25,4,FALSE)+0)+(VLOOKUP(宠物属性点预览!$B65,宠物成长!$D$30:$E$129,2,FALSE)-宠物成长!$E$30)*宠物成长!$C$2/宠物成长!$C$3*(1+VLOOKUP(宠物属性点预览!S$2,宠物成长!$F$5:$K$25,3,FALSE)+0)</f>
        <v>3702.8294190373958</v>
      </c>
      <c r="T65" s="83">
        <f t="shared" si="13"/>
        <v>2617.8230473868766</v>
      </c>
      <c r="V65" s="9">
        <f>(宠物成长!$C$1+宠物成长!$C$2/宠物成长!$C$3*宠物成长!$E$30)*(1+宠物成长!$I$17+VLOOKUP(宠物属性点预览!V$2,宠物成长!$O$5:$R$10,3,FALSE))+(VLOOKUP(宠物属性点预览!$B65,宠物成长!$D$30:$E$129,2,FALSE)-宠物成长!$E$30)*宠物成长!$C$2/宠物成长!$C$3*(1+宠物成长!$H$17+VLOOKUP(宠物属性点预览!V$2,宠物成长!$O$5:$R$10,2,FALSE))</f>
        <v>2617.8230473868766</v>
      </c>
      <c r="W65" s="9">
        <f>(宠物成长!$C$1+宠物成长!$C$2/宠物成长!$C$3*宠物成长!$E$30)*(1+宠物成长!$I$17+VLOOKUP(宠物属性点预览!W$2,宠物成长!$O$5:$R$10,3,FALSE))+(VLOOKUP(宠物属性点预览!$B65,宠物成长!$D$30:$E$129,2,FALSE)-宠物成长!$E$30)*宠物成长!$C$2/宠物成长!$C$3*(1+宠物成长!$H$17+VLOOKUP(宠物属性点预览!W$2,宠物成长!$O$5:$R$10,2,FALSE))</f>
        <v>2989.8230473868766</v>
      </c>
      <c r="X65" s="9">
        <f>(宠物成长!$C$1+宠物成长!$C$2/宠物成长!$C$3*宠物成长!$E$30)*(1+宠物成长!$I$17+VLOOKUP(宠物属性点预览!X$2,宠物成长!$O$5:$R$10,3,FALSE))+(VLOOKUP(宠物属性点预览!$B65,宠物成长!$D$30:$E$129,2,FALSE)-宠物成长!$E$30)*宠物成长!$C$2/宠物成长!$C$3*(1+宠物成长!$H$17+VLOOKUP(宠物属性点预览!X$2,宠物成长!$O$5:$R$10,2,FALSE))</f>
        <v>3423.8230473868766</v>
      </c>
      <c r="Y65" s="9">
        <f>(宠物成长!$C$1+宠物成长!$C$2/宠物成长!$C$3*宠物成长!$E$30)*(1+宠物成长!$I$17+VLOOKUP(宠物属性点预览!Y$2,宠物成长!$O$5:$R$10,3,FALSE))+(VLOOKUP(宠物属性点预览!$B65,宠物成长!$D$30:$E$129,2,FALSE)-宠物成长!$E$30)*宠物成长!$C$2/宠物成长!$C$3*(1+宠物成长!$H$17+VLOOKUP(宠物属性点预览!Y$2,宠物成长!$O$5:$R$10,2,FALSE))</f>
        <v>3919.8230473868766</v>
      </c>
      <c r="Z65" s="9">
        <f>(宠物成长!$C$1+宠物成长!$C$2/宠物成长!$C$3*宠物成长!$E$30)*(1+宠物成长!$I$17+VLOOKUP(宠物属性点预览!Z$2,宠物成长!$O$5:$R$10,3,FALSE))+(VLOOKUP(宠物属性点预览!$B65,宠物成长!$D$30:$E$129,2,FALSE)-宠物成长!$E$30)*宠物成长!$C$2/宠物成长!$C$3*(1+宠物成长!$H$17+VLOOKUP(宠物属性点预览!Z$2,宠物成长!$O$5:$R$10,2,FALSE))</f>
        <v>4415.8230473868771</v>
      </c>
    </row>
    <row r="66" spans="2:27" x14ac:dyDescent="0.15">
      <c r="B66" s="1">
        <v>64</v>
      </c>
      <c r="C66" s="9">
        <f>(宠物成长!$C$1+宠物成长!$C$2/宠物成长!$C$3*宠物成长!$E$30)*(1+VLOOKUP(宠物属性点预览!C$2,宠物成长!$F$4:$K$25,4,FALSE)+0)+(VLOOKUP(宠物属性点预览!$B66,宠物成长!$D$30:$E$129,2,FALSE)-宠物成长!$E$30)*宠物成长!$C$2/宠物成长!$C$3*(1+VLOOKUP(宠物属性点预览!C$2,宠物成长!$F$5:$K$25,3,FALSE)+0)</f>
        <v>282.5</v>
      </c>
      <c r="D66" s="9">
        <f>(宠物成长!$C$1+宠物成长!$C$2/宠物成长!$C$3*宠物成长!$E$30)*(1+VLOOKUP(宠物属性点预览!D$2,宠物成长!$F$4:$K$25,4,FALSE)+0)+(VLOOKUP(宠物属性点预览!$B66,宠物成长!$D$30:$E$129,2,FALSE)-宠物成长!$E$30)*宠物成长!$C$2/宠物成长!$C$3*(1+VLOOKUP(宠物属性点预览!D$2,宠物成长!$F$5:$K$25,3,FALSE)+0)</f>
        <v>329</v>
      </c>
      <c r="E66" s="9">
        <f>(宠物成长!$C$1+宠物成长!$C$2/宠物成长!$C$3*宠物成长!$E$30)*(1+VLOOKUP(宠物属性点预览!E$2,宠物成长!$F$4:$K$25,4,FALSE)+0)+(VLOOKUP(宠物属性点预览!$B66,宠物成长!$D$30:$E$129,2,FALSE)-宠物成长!$E$30)*宠物成长!$C$2/宠物成长!$C$3*(1+VLOOKUP(宠物属性点预览!E$2,宠物成长!$F$5:$K$25,3,FALSE)+0)</f>
        <v>394.1</v>
      </c>
      <c r="F66" s="9">
        <f>(宠物成长!$C$1+宠物成长!$C$2/宠物成长!$C$3*宠物成长!$E$30)*(1+VLOOKUP(宠物属性点预览!F$2,宠物成长!$F$4:$K$25,4,FALSE)+0)+(VLOOKUP(宠物属性点预览!$B66,宠物成长!$D$30:$E$129,2,FALSE)-宠物成长!$E$30)*宠物成长!$C$2/宠物成长!$C$3*(1+VLOOKUP(宠物属性点预览!F$2,宠物成长!$F$5:$K$25,3,FALSE)+0)</f>
        <v>480.90000000000003</v>
      </c>
      <c r="G66" s="9">
        <f>(宠物成长!$C$1+宠物成长!$C$2/宠物成长!$C$3*宠物成长!$E$30)*(1+VLOOKUP(宠物属性点预览!G$2,宠物成长!$F$4:$K$25,4,FALSE)+0)+(VLOOKUP(宠物属性点预览!$B66,宠物成长!$D$30:$E$129,2,FALSE)-宠物成长!$E$30)*宠物成长!$C$2/宠物成长!$C$3*(1+VLOOKUP(宠物属性点预览!G$2,宠物成长!$F$5:$K$25,3,FALSE)+0)</f>
        <v>611.59999999999991</v>
      </c>
      <c r="H66" s="9">
        <f>(宠物成长!$C$1+宠物成长!$C$2/宠物成长!$C$3*宠物成长!$E$30)*(1+VLOOKUP(宠物属性点预览!H$2,宠物成长!$F$4:$K$25,4,FALSE)+0)+(VLOOKUP(宠物属性点预览!$B66,宠物成长!$D$30:$E$129,2,FALSE)-宠物成长!$E$30)*宠物成长!$C$2/宠物成长!$C$3*(1+VLOOKUP(宠物属性点预览!H$2,宠物成长!$F$5:$K$25,3,FALSE)+0)</f>
        <v>791.9</v>
      </c>
      <c r="I66" s="9">
        <f>(宠物成长!$C$1+宠物成长!$C$2/宠物成长!$C$3*宠物成长!$E$30)*(1+VLOOKUP(宠物属性点预览!I$2,宠物成长!$F$4:$K$25,4,FALSE)+0)+(VLOOKUP(宠物属性点预览!$B66,宠物成长!$D$30:$E$129,2,FALSE)-宠物成长!$E$30)*宠物成长!$C$2/宠物成长!$C$3*(1+VLOOKUP(宠物属性点预览!I$2,宠物成长!$F$5:$K$25,3,FALSE)+0)</f>
        <v>1028</v>
      </c>
      <c r="J66" s="9">
        <f>(宠物成长!$C$1+宠物成长!$C$2/宠物成长!$C$3*宠物成长!$E$30)*(1+VLOOKUP(宠物属性点预览!J$2,宠物成长!$F$4:$K$25,4,FALSE)+0)+(VLOOKUP(宠物属性点预览!$B66,宠物成长!$D$30:$E$129,2,FALSE)-宠物成长!$E$30)*宠物成长!$C$2/宠物成长!$C$3*(1+VLOOKUP(宠物属性点预览!J$2,宠物成长!$F$5:$K$25,3,FALSE)+0)</f>
        <v>1289.1296296296296</v>
      </c>
      <c r="K66" s="9">
        <f>(宠物成长!$C$1+宠物成长!$C$2/宠物成长!$C$3*宠物成长!$E$30)*(1+VLOOKUP(宠物属性点预览!K$2,宠物成长!$F$4:$K$25,4,FALSE)+0)+(VLOOKUP(宠物属性点预览!$B66,宠物成长!$D$30:$E$129,2,FALSE)-宠物成长!$E$30)*宠物成长!$C$2/宠物成长!$C$3*(1+VLOOKUP(宠物属性点预览!K$2,宠物成长!$F$5:$K$25,3,FALSE)+0)</f>
        <v>1553.1296296296296</v>
      </c>
      <c r="L66" s="9">
        <f>(宠物成长!$C$1+宠物成长!$C$2/宠物成长!$C$3*宠物成长!$E$30)*(1+VLOOKUP(宠物属性点预览!L$2,宠物成长!$F$4:$K$25,4,FALSE)+0)+(VLOOKUP(宠物属性点预览!$B66,宠物成长!$D$30:$E$129,2,FALSE)-宠物成长!$E$30)*宠物成长!$C$2/宠物成长!$C$3*(1+VLOOKUP(宠物属性点预览!L$2,宠物成长!$F$5:$K$25,3,FALSE)+0)</f>
        <v>1819.2242242242241</v>
      </c>
      <c r="M66" s="9">
        <f>(宠物成长!$C$1+宠物成长!$C$2/宠物成长!$C$3*宠物成长!$E$30)*(1+VLOOKUP(宠物属性点预览!M$2,宠物成长!$F$4:$K$25,4,FALSE)+0)+(VLOOKUP(宠物属性点预览!$B66,宠物成长!$D$30:$E$129,2,FALSE)-宠物成长!$E$30)*宠物成长!$C$2/宠物成长!$C$3*(1+VLOOKUP(宠物属性点预览!M$2,宠物成长!$F$5:$K$25,3,FALSE)+0)</f>
        <v>2086.9147004147003</v>
      </c>
      <c r="N66" s="9">
        <f>(宠物成长!$C$1+宠物成长!$C$2/宠物成长!$C$3*宠物成长!$E$30)*(1+VLOOKUP(宠物属性点预览!N$2,宠物成长!$F$4:$K$25,4,FALSE)+0)+(VLOOKUP(宠物属性点预览!$B66,宠物成长!$D$30:$E$129,2,FALSE)-宠物成长!$E$30)*宠物成长!$C$2/宠物成长!$C$3*(1+VLOOKUP(宠物属性点预览!N$2,宠物成长!$F$5:$K$25,3,FALSE)+0)</f>
        <v>2355.8615089253385</v>
      </c>
      <c r="O66" s="9">
        <f>(宠物成长!$C$1+宠物成长!$C$2/宠物成长!$C$3*宠物成长!$E$30)*(1+VLOOKUP(宠物属性点预览!O$2,宠物成长!$F$4:$K$25,4,FALSE)+0)+(VLOOKUP(宠物属性点预览!$B66,宠物成长!$D$30:$E$129,2,FALSE)-宠物成长!$E$30)*宠物成长!$C$2/宠物成长!$C$3*(1+VLOOKUP(宠物属性点预览!O$2,宠物成长!$F$5:$K$25,3,FALSE)+0)</f>
        <v>2625.8230473868766</v>
      </c>
      <c r="P66" s="9">
        <f>(宠物成长!$C$1+宠物成长!$C$2/宠物成长!$C$3*宠物成长!$E$30)*(1+VLOOKUP(宠物属性点预览!P$2,宠物成长!$F$4:$K$25,4,FALSE)+0)+(VLOOKUP(宠物属性点预览!$B66,宠物成长!$D$30:$E$129,2,FALSE)-宠物成长!$E$30)*宠物成长!$C$2/宠物成长!$C$3*(1+VLOOKUP(宠物属性点预览!P$2,宠物成长!$F$5:$K$25,3,FALSE)+0)</f>
        <v>2896.6212930009119</v>
      </c>
      <c r="Q66" s="9">
        <f>(宠物成长!$C$1+宠物成长!$C$2/宠物成长!$C$3*宠物成长!$E$30)*(1+VLOOKUP(宠物属性点预览!Q$2,宠物成长!$F$4:$K$25,4,FALSE)+0)+(VLOOKUP(宠物属性点预览!$B66,宠物成长!$D$30:$E$129,2,FALSE)-宠物成长!$E$30)*宠物成长!$C$2/宠物成长!$C$3*(1+VLOOKUP(宠物属性点预览!Q$2,宠物成长!$F$5:$K$25,3,FALSE)+0)</f>
        <v>3168.1212930009119</v>
      </c>
      <c r="R66" s="9">
        <f>(宠物成长!$C$1+宠物成长!$C$2/宠物成长!$C$3*宠物成长!$E$30)*(1+VLOOKUP(宠物属性点预览!R$2,宠物成长!$F$4:$K$25,4,FALSE)+0)+(VLOOKUP(宠物属性点预览!$B66,宠物成长!$D$30:$E$129,2,FALSE)-宠物成长!$E$30)*宠物成长!$C$2/宠物成长!$C$3*(1+VLOOKUP(宠物属性点预览!R$2,宠物成长!$F$5:$K$25,3,FALSE)+0)</f>
        <v>3440.218307926285</v>
      </c>
      <c r="S66" s="9">
        <f>(宠物成长!$C$1+宠物成长!$C$2/宠物成长!$C$3*宠物成长!$E$30)*(1+VLOOKUP(宠物属性点预览!S$2,宠物成长!$F$4:$K$25,4,FALSE)+0)+(VLOOKUP(宠物属性点预览!$B66,宠物成长!$D$30:$E$129,2,FALSE)-宠物成长!$E$30)*宠物成长!$C$2/宠物成长!$C$3*(1+VLOOKUP(宠物属性点预览!S$2,宠物成长!$F$5:$K$25,3,FALSE)+0)</f>
        <v>3712.8294190373958</v>
      </c>
      <c r="T66" s="83">
        <f t="shared" si="13"/>
        <v>2625.8230473868766</v>
      </c>
      <c r="V66" s="9">
        <f>(宠物成长!$C$1+宠物成长!$C$2/宠物成长!$C$3*宠物成长!$E$30)*(1+宠物成长!$I$17+VLOOKUP(宠物属性点预览!V$2,宠物成长!$O$5:$R$10,3,FALSE))+(VLOOKUP(宠物属性点预览!$B66,宠物成长!$D$30:$E$129,2,FALSE)-宠物成长!$E$30)*宠物成长!$C$2/宠物成长!$C$3*(1+宠物成长!$H$17+VLOOKUP(宠物属性点预览!V$2,宠物成长!$O$5:$R$10,2,FALSE))</f>
        <v>2625.8230473868766</v>
      </c>
      <c r="W66" s="9">
        <f>(宠物成长!$C$1+宠物成长!$C$2/宠物成长!$C$3*宠物成长!$E$30)*(1+宠物成长!$I$17+VLOOKUP(宠物属性点预览!W$2,宠物成长!$O$5:$R$10,3,FALSE))+(VLOOKUP(宠物属性点预览!$B66,宠物成长!$D$30:$E$129,2,FALSE)-宠物成长!$E$30)*宠物成长!$C$2/宠物成长!$C$3*(1+宠物成长!$H$17+VLOOKUP(宠物属性点预览!W$2,宠物成长!$O$5:$R$10,2,FALSE))</f>
        <v>2998.8230473868766</v>
      </c>
      <c r="X66" s="9">
        <f>(宠物成长!$C$1+宠物成长!$C$2/宠物成长!$C$3*宠物成长!$E$30)*(1+宠物成长!$I$17+VLOOKUP(宠物属性点预览!X$2,宠物成长!$O$5:$R$10,3,FALSE))+(VLOOKUP(宠物属性点预览!$B66,宠物成长!$D$30:$E$129,2,FALSE)-宠物成长!$E$30)*宠物成长!$C$2/宠物成长!$C$3*(1+宠物成长!$H$17+VLOOKUP(宠物属性点预览!X$2,宠物成长!$O$5:$R$10,2,FALSE))</f>
        <v>3433.8230473868766</v>
      </c>
      <c r="Y66" s="9">
        <f>(宠物成长!$C$1+宠物成长!$C$2/宠物成长!$C$3*宠物成长!$E$30)*(1+宠物成长!$I$17+VLOOKUP(宠物属性点预览!Y$2,宠物成长!$O$5:$R$10,3,FALSE))+(VLOOKUP(宠物属性点预览!$B66,宠物成长!$D$30:$E$129,2,FALSE)-宠物成长!$E$30)*宠物成长!$C$2/宠物成长!$C$3*(1+宠物成长!$H$17+VLOOKUP(宠物属性点预览!Y$2,宠物成长!$O$5:$R$10,2,FALSE))</f>
        <v>3930.8230473868766</v>
      </c>
      <c r="Z66" s="9">
        <f>(宠物成长!$C$1+宠物成长!$C$2/宠物成长!$C$3*宠物成长!$E$30)*(1+宠物成长!$I$17+VLOOKUP(宠物属性点预览!Z$2,宠物成长!$O$5:$R$10,3,FALSE))+(VLOOKUP(宠物属性点预览!$B66,宠物成长!$D$30:$E$129,2,FALSE)-宠物成长!$E$30)*宠物成长!$C$2/宠物成长!$C$3*(1+宠物成长!$H$17+VLOOKUP(宠物属性点预览!Z$2,宠物成长!$O$5:$R$10,2,FALSE))</f>
        <v>4427.8230473868771</v>
      </c>
    </row>
    <row r="67" spans="2:27" x14ac:dyDescent="0.15">
      <c r="B67" s="1">
        <v>65</v>
      </c>
      <c r="C67" s="9">
        <f>(宠物成长!$C$1+宠物成长!$C$2/宠物成长!$C$3*宠物成长!$E$30)*(1+VLOOKUP(宠物属性点预览!C$2,宠物成长!$F$4:$K$25,4,FALSE)+0)+(VLOOKUP(宠物属性点预览!$B67,宠物成长!$D$30:$E$129,2,FALSE)-宠物成长!$E$30)*宠物成长!$C$2/宠物成长!$C$3*(1+VLOOKUP(宠物属性点预览!C$2,宠物成长!$F$5:$K$25,3,FALSE)+0)</f>
        <v>286</v>
      </c>
      <c r="D67" s="9">
        <f>(宠物成长!$C$1+宠物成长!$C$2/宠物成长!$C$3*宠物成长!$E$30)*(1+VLOOKUP(宠物属性点预览!D$2,宠物成长!$F$4:$K$25,4,FALSE)+0)+(VLOOKUP(宠物属性点预览!$B67,宠物成长!$D$30:$E$129,2,FALSE)-宠物成长!$E$30)*宠物成长!$C$2/宠物成长!$C$3*(1+VLOOKUP(宠物属性点预览!D$2,宠物成长!$F$5:$K$25,3,FALSE)+0)</f>
        <v>332.5</v>
      </c>
      <c r="E67" s="9">
        <f>(宠物成长!$C$1+宠物成长!$C$2/宠物成长!$C$3*宠物成长!$E$30)*(1+VLOOKUP(宠物属性点预览!E$2,宠物成长!$F$4:$K$25,4,FALSE)+0)+(VLOOKUP(宠物属性点预览!$B67,宠物成长!$D$30:$E$129,2,FALSE)-宠物成长!$E$30)*宠物成长!$C$2/宠物成长!$C$3*(1+VLOOKUP(宠物属性点预览!E$2,宠物成长!$F$5:$K$25,3,FALSE)+0)</f>
        <v>397.6</v>
      </c>
      <c r="F67" s="9">
        <f>(宠物成长!$C$1+宠物成长!$C$2/宠物成长!$C$3*宠物成长!$E$30)*(1+VLOOKUP(宠物属性点预览!F$2,宠物成长!$F$4:$K$25,4,FALSE)+0)+(VLOOKUP(宠物属性点预览!$B67,宠物成长!$D$30:$E$129,2,FALSE)-宠物成长!$E$30)*宠物成长!$C$2/宠物成长!$C$3*(1+VLOOKUP(宠物属性点预览!F$2,宠物成长!$F$5:$K$25,3,FALSE)+0)</f>
        <v>484.40000000000003</v>
      </c>
      <c r="G67" s="9">
        <f>(宠物成长!$C$1+宠物成长!$C$2/宠物成长!$C$3*宠物成长!$E$30)*(1+VLOOKUP(宠物属性点预览!G$2,宠物成长!$F$4:$K$25,4,FALSE)+0)+(VLOOKUP(宠物属性点预览!$B67,宠物成长!$D$30:$E$129,2,FALSE)-宠物成长!$E$30)*宠物成长!$C$2/宠物成长!$C$3*(1+VLOOKUP(宠物属性点预览!G$2,宠物成长!$F$5:$K$25,3,FALSE)+0)</f>
        <v>615.59999999999991</v>
      </c>
      <c r="H67" s="9">
        <f>(宠物成长!$C$1+宠物成长!$C$2/宠物成长!$C$3*宠物成长!$E$30)*(1+VLOOKUP(宠物属性点预览!H$2,宠物成长!$F$4:$K$25,4,FALSE)+0)+(VLOOKUP(宠物属性点预览!$B67,宠物成长!$D$30:$E$129,2,FALSE)-宠物成长!$E$30)*宠物成长!$C$2/宠物成长!$C$3*(1+VLOOKUP(宠物属性点预览!H$2,宠物成长!$F$5:$K$25,3,FALSE)+0)</f>
        <v>796.4</v>
      </c>
      <c r="I67" s="9">
        <f>(宠物成长!$C$1+宠物成长!$C$2/宠物成长!$C$3*宠物成长!$E$30)*(1+VLOOKUP(宠物属性点预览!I$2,宠物成长!$F$4:$K$25,4,FALSE)+0)+(VLOOKUP(宠物属性点预览!$B67,宠物成长!$D$30:$E$129,2,FALSE)-宠物成长!$E$30)*宠物成长!$C$2/宠物成长!$C$3*(1+VLOOKUP(宠物属性点预览!I$2,宠物成长!$F$5:$K$25,3,FALSE)+0)</f>
        <v>1033</v>
      </c>
      <c r="J67" s="9">
        <f>(宠物成长!$C$1+宠物成长!$C$2/宠物成长!$C$3*宠物成长!$E$30)*(1+VLOOKUP(宠物属性点预览!J$2,宠物成长!$F$4:$K$25,4,FALSE)+0)+(VLOOKUP(宠物属性点预览!$B67,宠物成长!$D$30:$E$129,2,FALSE)-宠物成长!$E$30)*宠物成长!$C$2/宠物成长!$C$3*(1+VLOOKUP(宠物属性点预览!J$2,宠物成长!$F$5:$K$25,3,FALSE)+0)</f>
        <v>1294.6296296296296</v>
      </c>
      <c r="K67" s="9">
        <f>(宠物成长!$C$1+宠物成长!$C$2/宠物成长!$C$3*宠物成长!$E$30)*(1+VLOOKUP(宠物属性点预览!K$2,宠物成长!$F$4:$K$25,4,FALSE)+0)+(VLOOKUP(宠物属性点预览!$B67,宠物成长!$D$30:$E$129,2,FALSE)-宠物成长!$E$30)*宠物成长!$C$2/宠物成长!$C$3*(1+VLOOKUP(宠物属性点预览!K$2,宠物成长!$F$5:$K$25,3,FALSE)+0)</f>
        <v>1559.1296296296296</v>
      </c>
      <c r="L67" s="9">
        <f>(宠物成长!$C$1+宠物成长!$C$2/宠物成长!$C$3*宠物成长!$E$30)*(1+VLOOKUP(宠物属性点预览!L$2,宠物成长!$F$4:$K$25,4,FALSE)+0)+(VLOOKUP(宠物属性点预览!$B67,宠物成长!$D$30:$E$129,2,FALSE)-宠物成长!$E$30)*宠物成长!$C$2/宠物成长!$C$3*(1+VLOOKUP(宠物属性点预览!L$2,宠物成长!$F$5:$K$25,3,FALSE)+0)</f>
        <v>1825.7242242242241</v>
      </c>
      <c r="M67" s="9">
        <f>(宠物成长!$C$1+宠物成长!$C$2/宠物成长!$C$3*宠物成长!$E$30)*(1+VLOOKUP(宠物属性点预览!M$2,宠物成长!$F$4:$K$25,4,FALSE)+0)+(VLOOKUP(宠物属性点预览!$B67,宠物成长!$D$30:$E$129,2,FALSE)-宠物成长!$E$30)*宠物成长!$C$2/宠物成长!$C$3*(1+VLOOKUP(宠物属性点预览!M$2,宠物成长!$F$5:$K$25,3,FALSE)+0)</f>
        <v>2093.9147004147003</v>
      </c>
      <c r="N67" s="9">
        <f>(宠物成长!$C$1+宠物成长!$C$2/宠物成长!$C$3*宠物成长!$E$30)*(1+VLOOKUP(宠物属性点预览!N$2,宠物成长!$F$4:$K$25,4,FALSE)+0)+(VLOOKUP(宠物属性点预览!$B67,宠物成长!$D$30:$E$129,2,FALSE)-宠物成长!$E$30)*宠物成长!$C$2/宠物成长!$C$3*(1+VLOOKUP(宠物属性点预览!N$2,宠物成长!$F$5:$K$25,3,FALSE)+0)</f>
        <v>2363.3615089253385</v>
      </c>
      <c r="O67" s="9">
        <f>(宠物成长!$C$1+宠物成长!$C$2/宠物成长!$C$3*宠物成长!$E$30)*(1+VLOOKUP(宠物属性点预览!O$2,宠物成长!$F$4:$K$25,4,FALSE)+0)+(VLOOKUP(宠物属性点预览!$B67,宠物成长!$D$30:$E$129,2,FALSE)-宠物成长!$E$30)*宠物成长!$C$2/宠物成长!$C$3*(1+VLOOKUP(宠物属性点预览!O$2,宠物成长!$F$5:$K$25,3,FALSE)+0)</f>
        <v>2633.8230473868766</v>
      </c>
      <c r="P67" s="83">
        <f>(宠物成长!$C$1+宠物成长!$C$2/宠物成长!$C$3*宠物成长!$E$30)*(1+VLOOKUP(宠物属性点预览!P$2,宠物成长!$F$4:$K$25,4,FALSE)+0)+(VLOOKUP(宠物属性点预览!$B67,宠物成长!$D$30:$E$129,2,FALSE)-宠物成长!$E$30)*宠物成长!$C$2/宠物成长!$C$3*(1+VLOOKUP(宠物属性点预览!P$2,宠物成长!$F$5:$K$25,3,FALSE)+0)</f>
        <v>2905.1212930009119</v>
      </c>
      <c r="Q67" s="9">
        <f>(宠物成长!$C$1+宠物成长!$C$2/宠物成长!$C$3*宠物成长!$E$30)*(1+VLOOKUP(宠物属性点预览!Q$2,宠物成长!$F$4:$K$25,4,FALSE)+0)+(VLOOKUP(宠物属性点预览!$B67,宠物成长!$D$30:$E$129,2,FALSE)-宠物成长!$E$30)*宠物成长!$C$2/宠物成长!$C$3*(1+VLOOKUP(宠物属性点预览!Q$2,宠物成长!$F$5:$K$25,3,FALSE)+0)</f>
        <v>3177.1212930009119</v>
      </c>
      <c r="R67" s="9">
        <f>(宠物成长!$C$1+宠物成长!$C$2/宠物成长!$C$3*宠物成长!$E$30)*(1+VLOOKUP(宠物属性点预览!R$2,宠物成长!$F$4:$K$25,4,FALSE)+0)+(VLOOKUP(宠物属性点预览!$B67,宠物成长!$D$30:$E$129,2,FALSE)-宠物成长!$E$30)*宠物成长!$C$2/宠物成长!$C$3*(1+VLOOKUP(宠物属性点预览!R$2,宠物成长!$F$5:$K$25,3,FALSE)+0)</f>
        <v>3449.718307926285</v>
      </c>
      <c r="S67" s="9">
        <f>(宠物成长!$C$1+宠物成长!$C$2/宠物成长!$C$3*宠物成长!$E$30)*(1+VLOOKUP(宠物属性点预览!S$2,宠物成长!$F$4:$K$25,4,FALSE)+0)+(VLOOKUP(宠物属性点预览!$B67,宠物成长!$D$30:$E$129,2,FALSE)-宠物成长!$E$30)*宠物成长!$C$2/宠物成长!$C$3*(1+VLOOKUP(宠物属性点预览!S$2,宠物成长!$F$5:$K$25,3,FALSE)+0)</f>
        <v>3722.8294190373958</v>
      </c>
      <c r="T67" s="83">
        <f t="shared" si="13"/>
        <v>2633.8230473868766</v>
      </c>
      <c r="U67" s="9">
        <f>P67</f>
        <v>2905.1212930009119</v>
      </c>
      <c r="V67" s="9">
        <f>(宠物成长!$C$1+宠物成长!$C$2/宠物成长!$C$3*宠物成长!$E$30)*(1+宠物成长!$I$18+VLOOKUP(宠物属性点预览!V$2,宠物成长!$O$5:$R$10,3,FALSE))+(VLOOKUP(宠物属性点预览!$B67,宠物成长!$D$30:$E$129,2,FALSE)-宠物成长!$E$30)*宠物成长!$C$2/宠物成长!$C$3*(1+宠物成长!$H$18+VLOOKUP(宠物属性点预览!V$2,宠物成长!$O$5:$R$10,2,FALSE))</f>
        <v>2905.1212930009119</v>
      </c>
      <c r="W67" s="9">
        <f>(宠物成长!$C$1+宠物成长!$C$2/宠物成长!$C$3*宠物成长!$E$30)*(1+宠物成长!$I$18+VLOOKUP(宠物属性点预览!W$2,宠物成长!$O$5:$R$10,3,FALSE))+(VLOOKUP(宠物属性点预览!$B67,宠物成长!$D$30:$E$129,2,FALSE)-宠物成长!$E$30)*宠物成长!$C$2/宠物成长!$C$3*(1+宠物成长!$H$18+VLOOKUP(宠物属性点预览!W$2,宠物成长!$O$5:$R$10,2,FALSE))</f>
        <v>3279.1212930009119</v>
      </c>
      <c r="X67" s="9">
        <f>(宠物成长!$C$1+宠物成长!$C$2/宠物成长!$C$3*宠物成长!$E$30)*(1+宠物成长!$I$18+VLOOKUP(宠物属性点预览!X$2,宠物成长!$O$5:$R$10,3,FALSE))+(VLOOKUP(宠物属性点预览!$B67,宠物成长!$D$30:$E$129,2,FALSE)-宠物成长!$E$30)*宠物成长!$C$2/宠物成长!$C$3*(1+宠物成长!$H$18+VLOOKUP(宠物属性点预览!X$2,宠物成长!$O$5:$R$10,2,FALSE))</f>
        <v>3715.1212930009119</v>
      </c>
      <c r="Y67" s="9">
        <f>(宠物成长!$C$1+宠物成长!$C$2/宠物成长!$C$3*宠物成长!$E$30)*(1+宠物成长!$I$18+VLOOKUP(宠物属性点预览!Y$2,宠物成长!$O$5:$R$10,3,FALSE))+(VLOOKUP(宠物属性点预览!$B67,宠物成长!$D$30:$E$129,2,FALSE)-宠物成长!$E$30)*宠物成长!$C$2/宠物成长!$C$3*(1+宠物成长!$H$18+VLOOKUP(宠物属性点预览!Y$2,宠物成长!$O$5:$R$10,2,FALSE))</f>
        <v>4213.1212930009115</v>
      </c>
      <c r="Z67" s="9">
        <f>(宠物成长!$C$1+宠物成长!$C$2/宠物成长!$C$3*宠物成长!$E$30)*(1+宠物成长!$I$18+VLOOKUP(宠物属性点预览!Z$2,宠物成长!$O$5:$R$10,3,FALSE))+(VLOOKUP(宠物属性点预览!$B67,宠物成长!$D$30:$E$129,2,FALSE)-宠物成长!$E$30)*宠物成长!$C$2/宠物成长!$C$3*(1+宠物成长!$H$18+VLOOKUP(宠物属性点预览!Z$2,宠物成长!$O$5:$R$10,2,FALSE))</f>
        <v>4711.1212930009115</v>
      </c>
    </row>
    <row r="68" spans="2:27" x14ac:dyDescent="0.15">
      <c r="B68" s="1">
        <v>66</v>
      </c>
      <c r="C68" s="9">
        <f>(宠物成长!$C$1+宠物成长!$C$2/宠物成长!$C$3*宠物成长!$E$30)*(1+VLOOKUP(宠物属性点预览!C$2,宠物成长!$F$4:$K$25,4,FALSE)+0)+(VLOOKUP(宠物属性点预览!$B68,宠物成长!$D$30:$E$129,2,FALSE)-宠物成长!$E$30)*宠物成长!$C$2/宠物成长!$C$3*(1+VLOOKUP(宠物属性点预览!C$2,宠物成长!$F$5:$K$25,3,FALSE)+0)</f>
        <v>289.5</v>
      </c>
      <c r="D68" s="9">
        <f>(宠物成长!$C$1+宠物成长!$C$2/宠物成长!$C$3*宠物成长!$E$30)*(1+VLOOKUP(宠物属性点预览!D$2,宠物成长!$F$4:$K$25,4,FALSE)+0)+(VLOOKUP(宠物属性点预览!$B68,宠物成长!$D$30:$E$129,2,FALSE)-宠物成长!$E$30)*宠物成长!$C$2/宠物成长!$C$3*(1+VLOOKUP(宠物属性点预览!D$2,宠物成长!$F$5:$K$25,3,FALSE)+0)</f>
        <v>336</v>
      </c>
      <c r="E68" s="9">
        <f>(宠物成长!$C$1+宠物成长!$C$2/宠物成长!$C$3*宠物成长!$E$30)*(1+VLOOKUP(宠物属性点预览!E$2,宠物成长!$F$4:$K$25,4,FALSE)+0)+(VLOOKUP(宠物属性点预览!$B68,宠物成长!$D$30:$E$129,2,FALSE)-宠物成长!$E$30)*宠物成长!$C$2/宠物成长!$C$3*(1+VLOOKUP(宠物属性点预览!E$2,宠物成长!$F$5:$K$25,3,FALSE)+0)</f>
        <v>401.1</v>
      </c>
      <c r="F68" s="9">
        <f>(宠物成长!$C$1+宠物成长!$C$2/宠物成长!$C$3*宠物成长!$E$30)*(1+VLOOKUP(宠物属性点预览!F$2,宠物成长!$F$4:$K$25,4,FALSE)+0)+(VLOOKUP(宠物属性点预览!$B68,宠物成长!$D$30:$E$129,2,FALSE)-宠物成长!$E$30)*宠物成长!$C$2/宠物成长!$C$3*(1+VLOOKUP(宠物属性点预览!F$2,宠物成长!$F$5:$K$25,3,FALSE)+0)</f>
        <v>487.90000000000003</v>
      </c>
      <c r="G68" s="9">
        <f>(宠物成长!$C$1+宠物成长!$C$2/宠物成长!$C$3*宠物成长!$E$30)*(1+VLOOKUP(宠物属性点预览!G$2,宠物成长!$F$4:$K$25,4,FALSE)+0)+(VLOOKUP(宠物属性点预览!$B68,宠物成长!$D$30:$E$129,2,FALSE)-宠物成长!$E$30)*宠物成长!$C$2/宠物成长!$C$3*(1+VLOOKUP(宠物属性点预览!G$2,宠物成长!$F$5:$K$25,3,FALSE)+0)</f>
        <v>619.59999999999991</v>
      </c>
      <c r="H68" s="9">
        <f>(宠物成长!$C$1+宠物成长!$C$2/宠物成长!$C$3*宠物成长!$E$30)*(1+VLOOKUP(宠物属性点预览!H$2,宠物成长!$F$4:$K$25,4,FALSE)+0)+(VLOOKUP(宠物属性点预览!$B68,宠物成长!$D$30:$E$129,2,FALSE)-宠物成长!$E$30)*宠物成长!$C$2/宠物成长!$C$3*(1+VLOOKUP(宠物属性点预览!H$2,宠物成长!$F$5:$K$25,3,FALSE)+0)</f>
        <v>800.9</v>
      </c>
      <c r="I68" s="9">
        <f>(宠物成长!$C$1+宠物成长!$C$2/宠物成长!$C$3*宠物成长!$E$30)*(1+VLOOKUP(宠物属性点预览!I$2,宠物成长!$F$4:$K$25,4,FALSE)+0)+(VLOOKUP(宠物属性点预览!$B68,宠物成长!$D$30:$E$129,2,FALSE)-宠物成长!$E$30)*宠物成长!$C$2/宠物成长!$C$3*(1+VLOOKUP(宠物属性点预览!I$2,宠物成长!$F$5:$K$25,3,FALSE)+0)</f>
        <v>1038</v>
      </c>
      <c r="J68" s="9">
        <f>(宠物成长!$C$1+宠物成长!$C$2/宠物成长!$C$3*宠物成长!$E$30)*(1+VLOOKUP(宠物属性点预览!J$2,宠物成长!$F$4:$K$25,4,FALSE)+0)+(VLOOKUP(宠物属性点预览!$B68,宠物成长!$D$30:$E$129,2,FALSE)-宠物成长!$E$30)*宠物成长!$C$2/宠物成长!$C$3*(1+VLOOKUP(宠物属性点预览!J$2,宠物成长!$F$5:$K$25,3,FALSE)+0)</f>
        <v>1300.1296296296296</v>
      </c>
      <c r="K68" s="9">
        <f>(宠物成长!$C$1+宠物成长!$C$2/宠物成长!$C$3*宠物成长!$E$30)*(1+VLOOKUP(宠物属性点预览!K$2,宠物成长!$F$4:$K$25,4,FALSE)+0)+(VLOOKUP(宠物属性点预览!$B68,宠物成长!$D$30:$E$129,2,FALSE)-宠物成长!$E$30)*宠物成长!$C$2/宠物成长!$C$3*(1+VLOOKUP(宠物属性点预览!K$2,宠物成长!$F$5:$K$25,3,FALSE)+0)</f>
        <v>1565.1296296296296</v>
      </c>
      <c r="L68" s="9">
        <f>(宠物成长!$C$1+宠物成长!$C$2/宠物成长!$C$3*宠物成长!$E$30)*(1+VLOOKUP(宠物属性点预览!L$2,宠物成长!$F$4:$K$25,4,FALSE)+0)+(VLOOKUP(宠物属性点预览!$B68,宠物成长!$D$30:$E$129,2,FALSE)-宠物成长!$E$30)*宠物成长!$C$2/宠物成长!$C$3*(1+VLOOKUP(宠物属性点预览!L$2,宠物成长!$F$5:$K$25,3,FALSE)+0)</f>
        <v>1832.2242242242241</v>
      </c>
      <c r="M68" s="9">
        <f>(宠物成长!$C$1+宠物成长!$C$2/宠物成长!$C$3*宠物成长!$E$30)*(1+VLOOKUP(宠物属性点预览!M$2,宠物成长!$F$4:$K$25,4,FALSE)+0)+(VLOOKUP(宠物属性点预览!$B68,宠物成长!$D$30:$E$129,2,FALSE)-宠物成长!$E$30)*宠物成长!$C$2/宠物成长!$C$3*(1+VLOOKUP(宠物属性点预览!M$2,宠物成长!$F$5:$K$25,3,FALSE)+0)</f>
        <v>2100.9147004147003</v>
      </c>
      <c r="N68" s="9">
        <f>(宠物成长!$C$1+宠物成长!$C$2/宠物成长!$C$3*宠物成长!$E$30)*(1+VLOOKUP(宠物属性点预览!N$2,宠物成长!$F$4:$K$25,4,FALSE)+0)+(VLOOKUP(宠物属性点预览!$B68,宠物成长!$D$30:$E$129,2,FALSE)-宠物成长!$E$30)*宠物成长!$C$2/宠物成长!$C$3*(1+VLOOKUP(宠物属性点预览!N$2,宠物成长!$F$5:$K$25,3,FALSE)+0)</f>
        <v>2370.8615089253385</v>
      </c>
      <c r="O68" s="9">
        <f>(宠物成长!$C$1+宠物成长!$C$2/宠物成长!$C$3*宠物成长!$E$30)*(1+VLOOKUP(宠物属性点预览!O$2,宠物成长!$F$4:$K$25,4,FALSE)+0)+(VLOOKUP(宠物属性点预览!$B68,宠物成长!$D$30:$E$129,2,FALSE)-宠物成长!$E$30)*宠物成长!$C$2/宠物成长!$C$3*(1+VLOOKUP(宠物属性点预览!O$2,宠物成长!$F$5:$K$25,3,FALSE)+0)</f>
        <v>2641.8230473868766</v>
      </c>
      <c r="P68" s="9">
        <f>(宠物成长!$C$1+宠物成长!$C$2/宠物成长!$C$3*宠物成长!$E$30)*(1+VLOOKUP(宠物属性点预览!P$2,宠物成长!$F$4:$K$25,4,FALSE)+0)+(VLOOKUP(宠物属性点预览!$B68,宠物成长!$D$30:$E$129,2,FALSE)-宠物成长!$E$30)*宠物成长!$C$2/宠物成长!$C$3*(1+VLOOKUP(宠物属性点预览!P$2,宠物成长!$F$5:$K$25,3,FALSE)+0)</f>
        <v>2913.6212930009119</v>
      </c>
      <c r="Q68" s="9">
        <f>(宠物成长!$C$1+宠物成长!$C$2/宠物成长!$C$3*宠物成长!$E$30)*(1+VLOOKUP(宠物属性点预览!Q$2,宠物成长!$F$4:$K$25,4,FALSE)+0)+(VLOOKUP(宠物属性点预览!$B68,宠物成长!$D$30:$E$129,2,FALSE)-宠物成长!$E$30)*宠物成长!$C$2/宠物成长!$C$3*(1+VLOOKUP(宠物属性点预览!Q$2,宠物成长!$F$5:$K$25,3,FALSE)+0)</f>
        <v>3186.1212930009119</v>
      </c>
      <c r="R68" s="9">
        <f>(宠物成长!$C$1+宠物成长!$C$2/宠物成长!$C$3*宠物成长!$E$30)*(1+VLOOKUP(宠物属性点预览!R$2,宠物成长!$F$4:$K$25,4,FALSE)+0)+(VLOOKUP(宠物属性点预览!$B68,宠物成长!$D$30:$E$129,2,FALSE)-宠物成长!$E$30)*宠物成长!$C$2/宠物成长!$C$3*(1+VLOOKUP(宠物属性点预览!R$2,宠物成长!$F$5:$K$25,3,FALSE)+0)</f>
        <v>3459.218307926285</v>
      </c>
      <c r="S68" s="9">
        <f>(宠物成长!$C$1+宠物成长!$C$2/宠物成长!$C$3*宠物成长!$E$30)*(1+VLOOKUP(宠物属性点预览!S$2,宠物成长!$F$4:$K$25,4,FALSE)+0)+(VLOOKUP(宠物属性点预览!$B68,宠物成长!$D$30:$E$129,2,FALSE)-宠物成长!$E$30)*宠物成长!$C$2/宠物成长!$C$3*(1+VLOOKUP(宠物属性点预览!S$2,宠物成长!$F$5:$K$25,3,FALSE)+0)</f>
        <v>3732.8294190373958</v>
      </c>
      <c r="T68" s="83">
        <f>P68</f>
        <v>2913.6212930009119</v>
      </c>
      <c r="V68" s="9">
        <f>(宠物成长!$C$1+宠物成长!$C$2/宠物成长!$C$3*宠物成长!$E$30)*(1+宠物成长!$I$18+VLOOKUP(宠物属性点预览!V$2,宠物成长!$O$5:$R$10,3,FALSE))+(VLOOKUP(宠物属性点预览!$B68,宠物成长!$D$30:$E$129,2,FALSE)-宠物成长!$E$30)*宠物成长!$C$2/宠物成长!$C$3*(1+宠物成长!$H$18+VLOOKUP(宠物属性点预览!V$2,宠物成长!$O$5:$R$10,2,FALSE))</f>
        <v>2913.6212930009119</v>
      </c>
      <c r="W68" s="9">
        <f>(宠物成长!$C$1+宠物成长!$C$2/宠物成长!$C$3*宠物成长!$E$30)*(1+宠物成长!$I$18+VLOOKUP(宠物属性点预览!W$2,宠物成长!$O$5:$R$10,3,FALSE))+(VLOOKUP(宠物属性点预览!$B68,宠物成长!$D$30:$E$129,2,FALSE)-宠物成长!$E$30)*宠物成长!$C$2/宠物成长!$C$3*(1+宠物成长!$H$18+VLOOKUP(宠物属性点预览!W$2,宠物成长!$O$5:$R$10,2,FALSE))</f>
        <v>3288.6212930009119</v>
      </c>
      <c r="X68" s="9">
        <f>(宠物成长!$C$1+宠物成长!$C$2/宠物成长!$C$3*宠物成长!$E$30)*(1+宠物成长!$I$18+VLOOKUP(宠物属性点预览!X$2,宠物成长!$O$5:$R$10,3,FALSE))+(VLOOKUP(宠物属性点预览!$B68,宠物成长!$D$30:$E$129,2,FALSE)-宠物成长!$E$30)*宠物成长!$C$2/宠物成长!$C$3*(1+宠物成长!$H$18+VLOOKUP(宠物属性点预览!X$2,宠物成长!$O$5:$R$10,2,FALSE))</f>
        <v>3725.6212930009119</v>
      </c>
      <c r="Y68" s="9">
        <f>(宠物成长!$C$1+宠物成长!$C$2/宠物成长!$C$3*宠物成长!$E$30)*(1+宠物成长!$I$18+VLOOKUP(宠物属性点预览!Y$2,宠物成长!$O$5:$R$10,3,FALSE))+(VLOOKUP(宠物属性点预览!$B68,宠物成长!$D$30:$E$129,2,FALSE)-宠物成长!$E$30)*宠物成长!$C$2/宠物成长!$C$3*(1+宠物成长!$H$18+VLOOKUP(宠物属性点预览!Y$2,宠物成长!$O$5:$R$10,2,FALSE))</f>
        <v>4224.6212930009115</v>
      </c>
      <c r="Z68" s="9">
        <f>(宠物成长!$C$1+宠物成长!$C$2/宠物成长!$C$3*宠物成长!$E$30)*(1+宠物成长!$I$18+VLOOKUP(宠物属性点预览!Z$2,宠物成长!$O$5:$R$10,3,FALSE))+(VLOOKUP(宠物属性点预览!$B68,宠物成长!$D$30:$E$129,2,FALSE)-宠物成长!$E$30)*宠物成长!$C$2/宠物成长!$C$3*(1+宠物成长!$H$18+VLOOKUP(宠物属性点预览!Z$2,宠物成长!$O$5:$R$10,2,FALSE))</f>
        <v>4723.6212930009115</v>
      </c>
    </row>
    <row r="69" spans="2:27" x14ac:dyDescent="0.15">
      <c r="B69" s="1">
        <v>67</v>
      </c>
      <c r="C69" s="9">
        <f>(宠物成长!$C$1+宠物成长!$C$2/宠物成长!$C$3*宠物成长!$E$30)*(1+VLOOKUP(宠物属性点预览!C$2,宠物成长!$F$4:$K$25,4,FALSE)+0)+(VLOOKUP(宠物属性点预览!$B69,宠物成长!$D$30:$E$129,2,FALSE)-宠物成长!$E$30)*宠物成长!$C$2/宠物成长!$C$3*(1+VLOOKUP(宠物属性点预览!C$2,宠物成长!$F$5:$K$25,3,FALSE)+0)</f>
        <v>293</v>
      </c>
      <c r="D69" s="9">
        <f>(宠物成长!$C$1+宠物成长!$C$2/宠物成长!$C$3*宠物成长!$E$30)*(1+VLOOKUP(宠物属性点预览!D$2,宠物成长!$F$4:$K$25,4,FALSE)+0)+(VLOOKUP(宠物属性点预览!$B69,宠物成长!$D$30:$E$129,2,FALSE)-宠物成长!$E$30)*宠物成长!$C$2/宠物成长!$C$3*(1+VLOOKUP(宠物属性点预览!D$2,宠物成长!$F$5:$K$25,3,FALSE)+0)</f>
        <v>339.5</v>
      </c>
      <c r="E69" s="9">
        <f>(宠物成长!$C$1+宠物成长!$C$2/宠物成长!$C$3*宠物成长!$E$30)*(1+VLOOKUP(宠物属性点预览!E$2,宠物成长!$F$4:$K$25,4,FALSE)+0)+(VLOOKUP(宠物属性点预览!$B69,宠物成长!$D$30:$E$129,2,FALSE)-宠物成长!$E$30)*宠物成长!$C$2/宠物成长!$C$3*(1+VLOOKUP(宠物属性点预览!E$2,宠物成长!$F$5:$K$25,3,FALSE)+0)</f>
        <v>404.6</v>
      </c>
      <c r="F69" s="9">
        <f>(宠物成长!$C$1+宠物成长!$C$2/宠物成长!$C$3*宠物成长!$E$30)*(1+VLOOKUP(宠物属性点预览!F$2,宠物成长!$F$4:$K$25,4,FALSE)+0)+(VLOOKUP(宠物属性点预览!$B69,宠物成长!$D$30:$E$129,2,FALSE)-宠物成长!$E$30)*宠物成长!$C$2/宠物成长!$C$3*(1+VLOOKUP(宠物属性点预览!F$2,宠物成长!$F$5:$K$25,3,FALSE)+0)</f>
        <v>491.40000000000003</v>
      </c>
      <c r="G69" s="9">
        <f>(宠物成长!$C$1+宠物成长!$C$2/宠物成长!$C$3*宠物成长!$E$30)*(1+VLOOKUP(宠物属性点预览!G$2,宠物成长!$F$4:$K$25,4,FALSE)+0)+(VLOOKUP(宠物属性点预览!$B69,宠物成长!$D$30:$E$129,2,FALSE)-宠物成长!$E$30)*宠物成长!$C$2/宠物成长!$C$3*(1+VLOOKUP(宠物属性点预览!G$2,宠物成长!$F$5:$K$25,3,FALSE)+0)</f>
        <v>623.59999999999991</v>
      </c>
      <c r="H69" s="9">
        <f>(宠物成长!$C$1+宠物成长!$C$2/宠物成长!$C$3*宠物成长!$E$30)*(1+VLOOKUP(宠物属性点预览!H$2,宠物成长!$F$4:$K$25,4,FALSE)+0)+(VLOOKUP(宠物属性点预览!$B69,宠物成长!$D$30:$E$129,2,FALSE)-宠物成长!$E$30)*宠物成长!$C$2/宠物成长!$C$3*(1+VLOOKUP(宠物属性点预览!H$2,宠物成长!$F$5:$K$25,3,FALSE)+0)</f>
        <v>805.4</v>
      </c>
      <c r="I69" s="9">
        <f>(宠物成长!$C$1+宠物成长!$C$2/宠物成长!$C$3*宠物成长!$E$30)*(1+VLOOKUP(宠物属性点预览!I$2,宠物成长!$F$4:$K$25,4,FALSE)+0)+(VLOOKUP(宠物属性点预览!$B69,宠物成长!$D$30:$E$129,2,FALSE)-宠物成长!$E$30)*宠物成长!$C$2/宠物成长!$C$3*(1+VLOOKUP(宠物属性点预览!I$2,宠物成长!$F$5:$K$25,3,FALSE)+0)</f>
        <v>1043</v>
      </c>
      <c r="J69" s="9">
        <f>(宠物成长!$C$1+宠物成长!$C$2/宠物成长!$C$3*宠物成长!$E$30)*(1+VLOOKUP(宠物属性点预览!J$2,宠物成长!$F$4:$K$25,4,FALSE)+0)+(VLOOKUP(宠物属性点预览!$B69,宠物成长!$D$30:$E$129,2,FALSE)-宠物成长!$E$30)*宠物成长!$C$2/宠物成长!$C$3*(1+VLOOKUP(宠物属性点预览!J$2,宠物成长!$F$5:$K$25,3,FALSE)+0)</f>
        <v>1305.6296296296296</v>
      </c>
      <c r="K69" s="9">
        <f>(宠物成长!$C$1+宠物成长!$C$2/宠物成长!$C$3*宠物成长!$E$30)*(1+VLOOKUP(宠物属性点预览!K$2,宠物成长!$F$4:$K$25,4,FALSE)+0)+(VLOOKUP(宠物属性点预览!$B69,宠物成长!$D$30:$E$129,2,FALSE)-宠物成长!$E$30)*宠物成长!$C$2/宠物成长!$C$3*(1+VLOOKUP(宠物属性点预览!K$2,宠物成长!$F$5:$K$25,3,FALSE)+0)</f>
        <v>1571.1296296296296</v>
      </c>
      <c r="L69" s="9">
        <f>(宠物成长!$C$1+宠物成长!$C$2/宠物成长!$C$3*宠物成长!$E$30)*(1+VLOOKUP(宠物属性点预览!L$2,宠物成长!$F$4:$K$25,4,FALSE)+0)+(VLOOKUP(宠物属性点预览!$B69,宠物成长!$D$30:$E$129,2,FALSE)-宠物成长!$E$30)*宠物成长!$C$2/宠物成长!$C$3*(1+VLOOKUP(宠物属性点预览!L$2,宠物成长!$F$5:$K$25,3,FALSE)+0)</f>
        <v>1838.7242242242241</v>
      </c>
      <c r="M69" s="9">
        <f>(宠物成长!$C$1+宠物成长!$C$2/宠物成长!$C$3*宠物成长!$E$30)*(1+VLOOKUP(宠物属性点预览!M$2,宠物成长!$F$4:$K$25,4,FALSE)+0)+(VLOOKUP(宠物属性点预览!$B69,宠物成长!$D$30:$E$129,2,FALSE)-宠物成长!$E$30)*宠物成长!$C$2/宠物成长!$C$3*(1+VLOOKUP(宠物属性点预览!M$2,宠物成长!$F$5:$K$25,3,FALSE)+0)</f>
        <v>2107.9147004147003</v>
      </c>
      <c r="N69" s="9">
        <f>(宠物成长!$C$1+宠物成长!$C$2/宠物成长!$C$3*宠物成长!$E$30)*(1+VLOOKUP(宠物属性点预览!N$2,宠物成长!$F$4:$K$25,4,FALSE)+0)+(VLOOKUP(宠物属性点预览!$B69,宠物成长!$D$30:$E$129,2,FALSE)-宠物成长!$E$30)*宠物成长!$C$2/宠物成长!$C$3*(1+VLOOKUP(宠物属性点预览!N$2,宠物成长!$F$5:$K$25,3,FALSE)+0)</f>
        <v>2378.3615089253385</v>
      </c>
      <c r="O69" s="9">
        <f>(宠物成长!$C$1+宠物成长!$C$2/宠物成长!$C$3*宠物成长!$E$30)*(1+VLOOKUP(宠物属性点预览!O$2,宠物成长!$F$4:$K$25,4,FALSE)+0)+(VLOOKUP(宠物属性点预览!$B69,宠物成长!$D$30:$E$129,2,FALSE)-宠物成长!$E$30)*宠物成长!$C$2/宠物成长!$C$3*(1+VLOOKUP(宠物属性点预览!O$2,宠物成长!$F$5:$K$25,3,FALSE)+0)</f>
        <v>2649.8230473868766</v>
      </c>
      <c r="P69" s="9">
        <f>(宠物成长!$C$1+宠物成长!$C$2/宠物成长!$C$3*宠物成长!$E$30)*(1+VLOOKUP(宠物属性点预览!P$2,宠物成长!$F$4:$K$25,4,FALSE)+0)+(VLOOKUP(宠物属性点预览!$B69,宠物成长!$D$30:$E$129,2,FALSE)-宠物成长!$E$30)*宠物成长!$C$2/宠物成长!$C$3*(1+VLOOKUP(宠物属性点预览!P$2,宠物成长!$F$5:$K$25,3,FALSE)+0)</f>
        <v>2922.1212930009119</v>
      </c>
      <c r="Q69" s="9">
        <f>(宠物成长!$C$1+宠物成长!$C$2/宠物成长!$C$3*宠物成长!$E$30)*(1+VLOOKUP(宠物属性点预览!Q$2,宠物成长!$F$4:$K$25,4,FALSE)+0)+(VLOOKUP(宠物属性点预览!$B69,宠物成长!$D$30:$E$129,2,FALSE)-宠物成长!$E$30)*宠物成长!$C$2/宠物成长!$C$3*(1+VLOOKUP(宠物属性点预览!Q$2,宠物成长!$F$5:$K$25,3,FALSE)+0)</f>
        <v>3195.1212930009119</v>
      </c>
      <c r="R69" s="9">
        <f>(宠物成长!$C$1+宠物成长!$C$2/宠物成长!$C$3*宠物成长!$E$30)*(1+VLOOKUP(宠物属性点预览!R$2,宠物成长!$F$4:$K$25,4,FALSE)+0)+(VLOOKUP(宠物属性点预览!$B69,宠物成长!$D$30:$E$129,2,FALSE)-宠物成长!$E$30)*宠物成长!$C$2/宠物成长!$C$3*(1+VLOOKUP(宠物属性点预览!R$2,宠物成长!$F$5:$K$25,3,FALSE)+0)</f>
        <v>3468.718307926285</v>
      </c>
      <c r="S69" s="9">
        <f>(宠物成长!$C$1+宠物成长!$C$2/宠物成长!$C$3*宠物成长!$E$30)*(1+VLOOKUP(宠物属性点预览!S$2,宠物成长!$F$4:$K$25,4,FALSE)+0)+(VLOOKUP(宠物属性点预览!$B69,宠物成长!$D$30:$E$129,2,FALSE)-宠物成长!$E$30)*宠物成长!$C$2/宠物成长!$C$3*(1+VLOOKUP(宠物属性点预览!S$2,宠物成长!$F$5:$K$25,3,FALSE)+0)</f>
        <v>3742.8294190373958</v>
      </c>
      <c r="T69" s="83">
        <f t="shared" ref="T69:T72" si="14">P69</f>
        <v>2922.1212930009119</v>
      </c>
      <c r="V69" s="9">
        <f>(宠物成长!$C$1+宠物成长!$C$2/宠物成长!$C$3*宠物成长!$E$30)*(1+宠物成长!$I$18+VLOOKUP(宠物属性点预览!V$2,宠物成长!$O$5:$R$10,3,FALSE))+(VLOOKUP(宠物属性点预览!$B69,宠物成长!$D$30:$E$129,2,FALSE)-宠物成长!$E$30)*宠物成长!$C$2/宠物成长!$C$3*(1+宠物成长!$H$18+VLOOKUP(宠物属性点预览!V$2,宠物成长!$O$5:$R$10,2,FALSE))</f>
        <v>2922.1212930009119</v>
      </c>
      <c r="W69" s="9">
        <f>(宠物成长!$C$1+宠物成长!$C$2/宠物成长!$C$3*宠物成长!$E$30)*(1+宠物成长!$I$18+VLOOKUP(宠物属性点预览!W$2,宠物成长!$O$5:$R$10,3,FALSE))+(VLOOKUP(宠物属性点预览!$B69,宠物成长!$D$30:$E$129,2,FALSE)-宠物成长!$E$30)*宠物成长!$C$2/宠物成长!$C$3*(1+宠物成长!$H$18+VLOOKUP(宠物属性点预览!W$2,宠物成长!$O$5:$R$10,2,FALSE))</f>
        <v>3298.1212930009119</v>
      </c>
      <c r="X69" s="9">
        <f>(宠物成长!$C$1+宠物成长!$C$2/宠物成长!$C$3*宠物成长!$E$30)*(1+宠物成长!$I$18+VLOOKUP(宠物属性点预览!X$2,宠物成长!$O$5:$R$10,3,FALSE))+(VLOOKUP(宠物属性点预览!$B69,宠物成长!$D$30:$E$129,2,FALSE)-宠物成长!$E$30)*宠物成长!$C$2/宠物成长!$C$3*(1+宠物成长!$H$18+VLOOKUP(宠物属性点预览!X$2,宠物成长!$O$5:$R$10,2,FALSE))</f>
        <v>3736.1212930009119</v>
      </c>
      <c r="Y69" s="9">
        <f>(宠物成长!$C$1+宠物成长!$C$2/宠物成长!$C$3*宠物成长!$E$30)*(1+宠物成长!$I$18+VLOOKUP(宠物属性点预览!Y$2,宠物成长!$O$5:$R$10,3,FALSE))+(VLOOKUP(宠物属性点预览!$B69,宠物成长!$D$30:$E$129,2,FALSE)-宠物成长!$E$30)*宠物成长!$C$2/宠物成长!$C$3*(1+宠物成长!$H$18+VLOOKUP(宠物属性点预览!Y$2,宠物成长!$O$5:$R$10,2,FALSE))</f>
        <v>4236.1212930009115</v>
      </c>
      <c r="Z69" s="9">
        <f>(宠物成长!$C$1+宠物成长!$C$2/宠物成长!$C$3*宠物成长!$E$30)*(1+宠物成长!$I$18+VLOOKUP(宠物属性点预览!Z$2,宠物成长!$O$5:$R$10,3,FALSE))+(VLOOKUP(宠物属性点预览!$B69,宠物成长!$D$30:$E$129,2,FALSE)-宠物成长!$E$30)*宠物成长!$C$2/宠物成长!$C$3*(1+宠物成长!$H$18+VLOOKUP(宠物属性点预览!Z$2,宠物成长!$O$5:$R$10,2,FALSE))</f>
        <v>4736.1212930009115</v>
      </c>
    </row>
    <row r="70" spans="2:27" x14ac:dyDescent="0.15">
      <c r="B70" s="1">
        <v>68</v>
      </c>
      <c r="C70" s="9">
        <f>(宠物成长!$C$1+宠物成长!$C$2/宠物成长!$C$3*宠物成长!$E$30)*(1+VLOOKUP(宠物属性点预览!C$2,宠物成长!$F$4:$K$25,4,FALSE)+0)+(VLOOKUP(宠物属性点预览!$B70,宠物成长!$D$30:$E$129,2,FALSE)-宠物成长!$E$30)*宠物成长!$C$2/宠物成长!$C$3*(1+VLOOKUP(宠物属性点预览!C$2,宠物成长!$F$5:$K$25,3,FALSE)+0)</f>
        <v>296.5</v>
      </c>
      <c r="D70" s="9">
        <f>(宠物成长!$C$1+宠物成长!$C$2/宠物成长!$C$3*宠物成长!$E$30)*(1+VLOOKUP(宠物属性点预览!D$2,宠物成长!$F$4:$K$25,4,FALSE)+0)+(VLOOKUP(宠物属性点预览!$B70,宠物成长!$D$30:$E$129,2,FALSE)-宠物成长!$E$30)*宠物成长!$C$2/宠物成长!$C$3*(1+VLOOKUP(宠物属性点预览!D$2,宠物成长!$F$5:$K$25,3,FALSE)+0)</f>
        <v>343</v>
      </c>
      <c r="E70" s="9">
        <f>(宠物成长!$C$1+宠物成长!$C$2/宠物成长!$C$3*宠物成长!$E$30)*(1+VLOOKUP(宠物属性点预览!E$2,宠物成长!$F$4:$K$25,4,FALSE)+0)+(VLOOKUP(宠物属性点预览!$B70,宠物成长!$D$30:$E$129,2,FALSE)-宠物成长!$E$30)*宠物成长!$C$2/宠物成长!$C$3*(1+VLOOKUP(宠物属性点预览!E$2,宠物成长!$F$5:$K$25,3,FALSE)+0)</f>
        <v>408.1</v>
      </c>
      <c r="F70" s="9">
        <f>(宠物成长!$C$1+宠物成长!$C$2/宠物成长!$C$3*宠物成长!$E$30)*(1+VLOOKUP(宠物属性点预览!F$2,宠物成长!$F$4:$K$25,4,FALSE)+0)+(VLOOKUP(宠物属性点预览!$B70,宠物成长!$D$30:$E$129,2,FALSE)-宠物成长!$E$30)*宠物成长!$C$2/宠物成长!$C$3*(1+VLOOKUP(宠物属性点预览!F$2,宠物成长!$F$5:$K$25,3,FALSE)+0)</f>
        <v>494.90000000000003</v>
      </c>
      <c r="G70" s="9">
        <f>(宠物成长!$C$1+宠物成长!$C$2/宠物成长!$C$3*宠物成长!$E$30)*(1+VLOOKUP(宠物属性点预览!G$2,宠物成长!$F$4:$K$25,4,FALSE)+0)+(VLOOKUP(宠物属性点预览!$B70,宠物成长!$D$30:$E$129,2,FALSE)-宠物成长!$E$30)*宠物成长!$C$2/宠物成长!$C$3*(1+VLOOKUP(宠物属性点预览!G$2,宠物成长!$F$5:$K$25,3,FALSE)+0)</f>
        <v>627.59999999999991</v>
      </c>
      <c r="H70" s="9">
        <f>(宠物成长!$C$1+宠物成长!$C$2/宠物成长!$C$3*宠物成长!$E$30)*(1+VLOOKUP(宠物属性点预览!H$2,宠物成长!$F$4:$K$25,4,FALSE)+0)+(VLOOKUP(宠物属性点预览!$B70,宠物成长!$D$30:$E$129,2,FALSE)-宠物成长!$E$30)*宠物成长!$C$2/宠物成长!$C$3*(1+VLOOKUP(宠物属性点预览!H$2,宠物成长!$F$5:$K$25,3,FALSE)+0)</f>
        <v>809.9</v>
      </c>
      <c r="I70" s="9">
        <f>(宠物成长!$C$1+宠物成长!$C$2/宠物成长!$C$3*宠物成长!$E$30)*(1+VLOOKUP(宠物属性点预览!I$2,宠物成长!$F$4:$K$25,4,FALSE)+0)+(VLOOKUP(宠物属性点预览!$B70,宠物成长!$D$30:$E$129,2,FALSE)-宠物成长!$E$30)*宠物成长!$C$2/宠物成长!$C$3*(1+VLOOKUP(宠物属性点预览!I$2,宠物成长!$F$5:$K$25,3,FALSE)+0)</f>
        <v>1048</v>
      </c>
      <c r="J70" s="9">
        <f>(宠物成长!$C$1+宠物成长!$C$2/宠物成长!$C$3*宠物成长!$E$30)*(1+VLOOKUP(宠物属性点预览!J$2,宠物成长!$F$4:$K$25,4,FALSE)+0)+(VLOOKUP(宠物属性点预览!$B70,宠物成长!$D$30:$E$129,2,FALSE)-宠物成长!$E$30)*宠物成长!$C$2/宠物成长!$C$3*(1+VLOOKUP(宠物属性点预览!J$2,宠物成长!$F$5:$K$25,3,FALSE)+0)</f>
        <v>1311.1296296296296</v>
      </c>
      <c r="K70" s="9">
        <f>(宠物成长!$C$1+宠物成长!$C$2/宠物成长!$C$3*宠物成长!$E$30)*(1+VLOOKUP(宠物属性点预览!K$2,宠物成长!$F$4:$K$25,4,FALSE)+0)+(VLOOKUP(宠物属性点预览!$B70,宠物成长!$D$30:$E$129,2,FALSE)-宠物成长!$E$30)*宠物成长!$C$2/宠物成长!$C$3*(1+VLOOKUP(宠物属性点预览!K$2,宠物成长!$F$5:$K$25,3,FALSE)+0)</f>
        <v>1577.1296296296296</v>
      </c>
      <c r="L70" s="9">
        <f>(宠物成长!$C$1+宠物成长!$C$2/宠物成长!$C$3*宠物成长!$E$30)*(1+VLOOKUP(宠物属性点预览!L$2,宠物成长!$F$4:$K$25,4,FALSE)+0)+(VLOOKUP(宠物属性点预览!$B70,宠物成长!$D$30:$E$129,2,FALSE)-宠物成长!$E$30)*宠物成长!$C$2/宠物成长!$C$3*(1+VLOOKUP(宠物属性点预览!L$2,宠物成长!$F$5:$K$25,3,FALSE)+0)</f>
        <v>1845.2242242242241</v>
      </c>
      <c r="M70" s="9">
        <f>(宠物成长!$C$1+宠物成长!$C$2/宠物成长!$C$3*宠物成长!$E$30)*(1+VLOOKUP(宠物属性点预览!M$2,宠物成长!$F$4:$K$25,4,FALSE)+0)+(VLOOKUP(宠物属性点预览!$B70,宠物成长!$D$30:$E$129,2,FALSE)-宠物成长!$E$30)*宠物成长!$C$2/宠物成长!$C$3*(1+VLOOKUP(宠物属性点预览!M$2,宠物成长!$F$5:$K$25,3,FALSE)+0)</f>
        <v>2114.9147004147003</v>
      </c>
      <c r="N70" s="9">
        <f>(宠物成长!$C$1+宠物成长!$C$2/宠物成长!$C$3*宠物成长!$E$30)*(1+VLOOKUP(宠物属性点预览!N$2,宠物成长!$F$4:$K$25,4,FALSE)+0)+(VLOOKUP(宠物属性点预览!$B70,宠物成长!$D$30:$E$129,2,FALSE)-宠物成长!$E$30)*宠物成长!$C$2/宠物成长!$C$3*(1+VLOOKUP(宠物属性点预览!N$2,宠物成长!$F$5:$K$25,3,FALSE)+0)</f>
        <v>2385.8615089253385</v>
      </c>
      <c r="O70" s="9">
        <f>(宠物成长!$C$1+宠物成长!$C$2/宠物成长!$C$3*宠物成长!$E$30)*(1+VLOOKUP(宠物属性点预览!O$2,宠物成长!$F$4:$K$25,4,FALSE)+0)+(VLOOKUP(宠物属性点预览!$B70,宠物成长!$D$30:$E$129,2,FALSE)-宠物成长!$E$30)*宠物成长!$C$2/宠物成长!$C$3*(1+VLOOKUP(宠物属性点预览!O$2,宠物成长!$F$5:$K$25,3,FALSE)+0)</f>
        <v>2657.8230473868766</v>
      </c>
      <c r="P70" s="9">
        <f>(宠物成长!$C$1+宠物成长!$C$2/宠物成长!$C$3*宠物成长!$E$30)*(1+VLOOKUP(宠物属性点预览!P$2,宠物成长!$F$4:$K$25,4,FALSE)+0)+(VLOOKUP(宠物属性点预览!$B70,宠物成长!$D$30:$E$129,2,FALSE)-宠物成长!$E$30)*宠物成长!$C$2/宠物成长!$C$3*(1+VLOOKUP(宠物属性点预览!P$2,宠物成长!$F$5:$K$25,3,FALSE)+0)</f>
        <v>2930.6212930009119</v>
      </c>
      <c r="Q70" s="9">
        <f>(宠物成长!$C$1+宠物成长!$C$2/宠物成长!$C$3*宠物成长!$E$30)*(1+VLOOKUP(宠物属性点预览!Q$2,宠物成长!$F$4:$K$25,4,FALSE)+0)+(VLOOKUP(宠物属性点预览!$B70,宠物成长!$D$30:$E$129,2,FALSE)-宠物成长!$E$30)*宠物成长!$C$2/宠物成长!$C$3*(1+VLOOKUP(宠物属性点预览!Q$2,宠物成长!$F$5:$K$25,3,FALSE)+0)</f>
        <v>3204.1212930009119</v>
      </c>
      <c r="R70" s="9">
        <f>(宠物成长!$C$1+宠物成长!$C$2/宠物成长!$C$3*宠物成长!$E$30)*(1+VLOOKUP(宠物属性点预览!R$2,宠物成长!$F$4:$K$25,4,FALSE)+0)+(VLOOKUP(宠物属性点预览!$B70,宠物成长!$D$30:$E$129,2,FALSE)-宠物成长!$E$30)*宠物成长!$C$2/宠物成长!$C$3*(1+VLOOKUP(宠物属性点预览!R$2,宠物成长!$F$5:$K$25,3,FALSE)+0)</f>
        <v>3478.218307926285</v>
      </c>
      <c r="S70" s="9">
        <f>(宠物成长!$C$1+宠物成长!$C$2/宠物成长!$C$3*宠物成长!$E$30)*(1+VLOOKUP(宠物属性点预览!S$2,宠物成长!$F$4:$K$25,4,FALSE)+0)+(VLOOKUP(宠物属性点预览!$B70,宠物成长!$D$30:$E$129,2,FALSE)-宠物成长!$E$30)*宠物成长!$C$2/宠物成长!$C$3*(1+VLOOKUP(宠物属性点预览!S$2,宠物成长!$F$5:$K$25,3,FALSE)+0)</f>
        <v>3752.8294190373958</v>
      </c>
      <c r="T70" s="83">
        <f t="shared" si="14"/>
        <v>2930.6212930009119</v>
      </c>
      <c r="V70" s="9">
        <f>(宠物成长!$C$1+宠物成长!$C$2/宠物成长!$C$3*宠物成长!$E$30)*(1+宠物成长!$I$18+VLOOKUP(宠物属性点预览!V$2,宠物成长!$O$5:$R$10,3,FALSE))+(VLOOKUP(宠物属性点预览!$B70,宠物成长!$D$30:$E$129,2,FALSE)-宠物成长!$E$30)*宠物成长!$C$2/宠物成长!$C$3*(1+宠物成长!$H$18+VLOOKUP(宠物属性点预览!V$2,宠物成长!$O$5:$R$10,2,FALSE))</f>
        <v>2930.6212930009119</v>
      </c>
      <c r="W70" s="9">
        <f>(宠物成长!$C$1+宠物成长!$C$2/宠物成长!$C$3*宠物成长!$E$30)*(1+宠物成长!$I$18+VLOOKUP(宠物属性点预览!W$2,宠物成长!$O$5:$R$10,3,FALSE))+(VLOOKUP(宠物属性点预览!$B70,宠物成长!$D$30:$E$129,2,FALSE)-宠物成长!$E$30)*宠物成长!$C$2/宠物成长!$C$3*(1+宠物成长!$H$18+VLOOKUP(宠物属性点预览!W$2,宠物成长!$O$5:$R$10,2,FALSE))</f>
        <v>3307.6212930009119</v>
      </c>
      <c r="X70" s="9">
        <f>(宠物成长!$C$1+宠物成长!$C$2/宠物成长!$C$3*宠物成长!$E$30)*(1+宠物成长!$I$18+VLOOKUP(宠物属性点预览!X$2,宠物成长!$O$5:$R$10,3,FALSE))+(VLOOKUP(宠物属性点预览!$B70,宠物成长!$D$30:$E$129,2,FALSE)-宠物成长!$E$30)*宠物成长!$C$2/宠物成长!$C$3*(1+宠物成长!$H$18+VLOOKUP(宠物属性点预览!X$2,宠物成长!$O$5:$R$10,2,FALSE))</f>
        <v>3746.6212930009119</v>
      </c>
      <c r="Y70" s="9">
        <f>(宠物成长!$C$1+宠物成长!$C$2/宠物成长!$C$3*宠物成长!$E$30)*(1+宠物成长!$I$18+VLOOKUP(宠物属性点预览!Y$2,宠物成长!$O$5:$R$10,3,FALSE))+(VLOOKUP(宠物属性点预览!$B70,宠物成长!$D$30:$E$129,2,FALSE)-宠物成长!$E$30)*宠物成长!$C$2/宠物成长!$C$3*(1+宠物成长!$H$18+VLOOKUP(宠物属性点预览!Y$2,宠物成长!$O$5:$R$10,2,FALSE))</f>
        <v>4247.6212930009115</v>
      </c>
      <c r="Z70" s="9">
        <f>(宠物成长!$C$1+宠物成长!$C$2/宠物成长!$C$3*宠物成长!$E$30)*(1+宠物成长!$I$18+VLOOKUP(宠物属性点预览!Z$2,宠物成长!$O$5:$R$10,3,FALSE))+(VLOOKUP(宠物属性点预览!$B70,宠物成长!$D$30:$E$129,2,FALSE)-宠物成长!$E$30)*宠物成长!$C$2/宠物成长!$C$3*(1+宠物成长!$H$18+VLOOKUP(宠物属性点预览!Z$2,宠物成长!$O$5:$R$10,2,FALSE))</f>
        <v>4748.6212930009115</v>
      </c>
    </row>
    <row r="71" spans="2:27" x14ac:dyDescent="0.15">
      <c r="B71" s="1">
        <v>69</v>
      </c>
      <c r="C71" s="9">
        <f>(宠物成长!$C$1+宠物成长!$C$2/宠物成长!$C$3*宠物成长!$E$30)*(1+VLOOKUP(宠物属性点预览!C$2,宠物成长!$F$4:$K$25,4,FALSE)+0)+(VLOOKUP(宠物属性点预览!$B71,宠物成长!$D$30:$E$129,2,FALSE)-宠物成长!$E$30)*宠物成长!$C$2/宠物成长!$C$3*(1+VLOOKUP(宠物属性点预览!C$2,宠物成长!$F$5:$K$25,3,FALSE)+0)</f>
        <v>300</v>
      </c>
      <c r="D71" s="9">
        <f>(宠物成长!$C$1+宠物成长!$C$2/宠物成长!$C$3*宠物成长!$E$30)*(1+VLOOKUP(宠物属性点预览!D$2,宠物成长!$F$4:$K$25,4,FALSE)+0)+(VLOOKUP(宠物属性点预览!$B71,宠物成长!$D$30:$E$129,2,FALSE)-宠物成长!$E$30)*宠物成长!$C$2/宠物成长!$C$3*(1+VLOOKUP(宠物属性点预览!D$2,宠物成长!$F$5:$K$25,3,FALSE)+0)</f>
        <v>346.5</v>
      </c>
      <c r="E71" s="9">
        <f>(宠物成长!$C$1+宠物成长!$C$2/宠物成长!$C$3*宠物成长!$E$30)*(1+VLOOKUP(宠物属性点预览!E$2,宠物成长!$F$4:$K$25,4,FALSE)+0)+(VLOOKUP(宠物属性点预览!$B71,宠物成长!$D$30:$E$129,2,FALSE)-宠物成长!$E$30)*宠物成长!$C$2/宠物成长!$C$3*(1+VLOOKUP(宠物属性点预览!E$2,宠物成长!$F$5:$K$25,3,FALSE)+0)</f>
        <v>411.6</v>
      </c>
      <c r="F71" s="9">
        <f>(宠物成长!$C$1+宠物成长!$C$2/宠物成长!$C$3*宠物成长!$E$30)*(1+VLOOKUP(宠物属性点预览!F$2,宠物成长!$F$4:$K$25,4,FALSE)+0)+(VLOOKUP(宠物属性点预览!$B71,宠物成长!$D$30:$E$129,2,FALSE)-宠物成长!$E$30)*宠物成长!$C$2/宠物成长!$C$3*(1+VLOOKUP(宠物属性点预览!F$2,宠物成长!$F$5:$K$25,3,FALSE)+0)</f>
        <v>498.40000000000003</v>
      </c>
      <c r="G71" s="9">
        <f>(宠物成长!$C$1+宠物成长!$C$2/宠物成长!$C$3*宠物成长!$E$30)*(1+VLOOKUP(宠物属性点预览!G$2,宠物成长!$F$4:$K$25,4,FALSE)+0)+(VLOOKUP(宠物属性点预览!$B71,宠物成长!$D$30:$E$129,2,FALSE)-宠物成长!$E$30)*宠物成长!$C$2/宠物成长!$C$3*(1+VLOOKUP(宠物属性点预览!G$2,宠物成长!$F$5:$K$25,3,FALSE)+0)</f>
        <v>631.59999999999991</v>
      </c>
      <c r="H71" s="9">
        <f>(宠物成长!$C$1+宠物成长!$C$2/宠物成长!$C$3*宠物成长!$E$30)*(1+VLOOKUP(宠物属性点预览!H$2,宠物成长!$F$4:$K$25,4,FALSE)+0)+(VLOOKUP(宠物属性点预览!$B71,宠物成长!$D$30:$E$129,2,FALSE)-宠物成长!$E$30)*宠物成长!$C$2/宠物成长!$C$3*(1+VLOOKUP(宠物属性点预览!H$2,宠物成长!$F$5:$K$25,3,FALSE)+0)</f>
        <v>814.4</v>
      </c>
      <c r="I71" s="9">
        <f>(宠物成长!$C$1+宠物成长!$C$2/宠物成长!$C$3*宠物成长!$E$30)*(1+VLOOKUP(宠物属性点预览!I$2,宠物成长!$F$4:$K$25,4,FALSE)+0)+(VLOOKUP(宠物属性点预览!$B71,宠物成长!$D$30:$E$129,2,FALSE)-宠物成长!$E$30)*宠物成长!$C$2/宠物成长!$C$3*(1+VLOOKUP(宠物属性点预览!I$2,宠物成长!$F$5:$K$25,3,FALSE)+0)</f>
        <v>1053</v>
      </c>
      <c r="J71" s="9">
        <f>(宠物成长!$C$1+宠物成长!$C$2/宠物成长!$C$3*宠物成长!$E$30)*(1+VLOOKUP(宠物属性点预览!J$2,宠物成长!$F$4:$K$25,4,FALSE)+0)+(VLOOKUP(宠物属性点预览!$B71,宠物成长!$D$30:$E$129,2,FALSE)-宠物成长!$E$30)*宠物成长!$C$2/宠物成长!$C$3*(1+VLOOKUP(宠物属性点预览!J$2,宠物成长!$F$5:$K$25,3,FALSE)+0)</f>
        <v>1316.6296296296296</v>
      </c>
      <c r="K71" s="9">
        <f>(宠物成长!$C$1+宠物成长!$C$2/宠物成长!$C$3*宠物成长!$E$30)*(1+VLOOKUP(宠物属性点预览!K$2,宠物成长!$F$4:$K$25,4,FALSE)+0)+(VLOOKUP(宠物属性点预览!$B71,宠物成长!$D$30:$E$129,2,FALSE)-宠物成长!$E$30)*宠物成长!$C$2/宠物成长!$C$3*(1+VLOOKUP(宠物属性点预览!K$2,宠物成长!$F$5:$K$25,3,FALSE)+0)</f>
        <v>1583.1296296296296</v>
      </c>
      <c r="L71" s="9">
        <f>(宠物成长!$C$1+宠物成长!$C$2/宠物成长!$C$3*宠物成长!$E$30)*(1+VLOOKUP(宠物属性点预览!L$2,宠物成长!$F$4:$K$25,4,FALSE)+0)+(VLOOKUP(宠物属性点预览!$B71,宠物成长!$D$30:$E$129,2,FALSE)-宠物成长!$E$30)*宠物成长!$C$2/宠物成长!$C$3*(1+VLOOKUP(宠物属性点预览!L$2,宠物成长!$F$5:$K$25,3,FALSE)+0)</f>
        <v>1851.7242242242241</v>
      </c>
      <c r="M71" s="9">
        <f>(宠物成长!$C$1+宠物成长!$C$2/宠物成长!$C$3*宠物成长!$E$30)*(1+VLOOKUP(宠物属性点预览!M$2,宠物成长!$F$4:$K$25,4,FALSE)+0)+(VLOOKUP(宠物属性点预览!$B71,宠物成长!$D$30:$E$129,2,FALSE)-宠物成长!$E$30)*宠物成长!$C$2/宠物成长!$C$3*(1+VLOOKUP(宠物属性点预览!M$2,宠物成长!$F$5:$K$25,3,FALSE)+0)</f>
        <v>2121.9147004147003</v>
      </c>
      <c r="N71" s="9">
        <f>(宠物成长!$C$1+宠物成长!$C$2/宠物成长!$C$3*宠物成长!$E$30)*(1+VLOOKUP(宠物属性点预览!N$2,宠物成长!$F$4:$K$25,4,FALSE)+0)+(VLOOKUP(宠物属性点预览!$B71,宠物成长!$D$30:$E$129,2,FALSE)-宠物成长!$E$30)*宠物成长!$C$2/宠物成长!$C$3*(1+VLOOKUP(宠物属性点预览!N$2,宠物成长!$F$5:$K$25,3,FALSE)+0)</f>
        <v>2393.3615089253385</v>
      </c>
      <c r="O71" s="9">
        <f>(宠物成长!$C$1+宠物成长!$C$2/宠物成长!$C$3*宠物成长!$E$30)*(1+VLOOKUP(宠物属性点预览!O$2,宠物成长!$F$4:$K$25,4,FALSE)+0)+(VLOOKUP(宠物属性点预览!$B71,宠物成长!$D$30:$E$129,2,FALSE)-宠物成长!$E$30)*宠物成长!$C$2/宠物成长!$C$3*(1+VLOOKUP(宠物属性点预览!O$2,宠物成长!$F$5:$K$25,3,FALSE)+0)</f>
        <v>2665.8230473868766</v>
      </c>
      <c r="P71" s="9">
        <f>(宠物成长!$C$1+宠物成长!$C$2/宠物成长!$C$3*宠物成长!$E$30)*(1+VLOOKUP(宠物属性点预览!P$2,宠物成长!$F$4:$K$25,4,FALSE)+0)+(VLOOKUP(宠物属性点预览!$B71,宠物成长!$D$30:$E$129,2,FALSE)-宠物成长!$E$30)*宠物成长!$C$2/宠物成长!$C$3*(1+VLOOKUP(宠物属性点预览!P$2,宠物成长!$F$5:$K$25,3,FALSE)+0)</f>
        <v>2939.1212930009119</v>
      </c>
      <c r="Q71" s="9">
        <f>(宠物成长!$C$1+宠物成长!$C$2/宠物成长!$C$3*宠物成长!$E$30)*(1+VLOOKUP(宠物属性点预览!Q$2,宠物成长!$F$4:$K$25,4,FALSE)+0)+(VLOOKUP(宠物属性点预览!$B71,宠物成长!$D$30:$E$129,2,FALSE)-宠物成长!$E$30)*宠物成长!$C$2/宠物成长!$C$3*(1+VLOOKUP(宠物属性点预览!Q$2,宠物成长!$F$5:$K$25,3,FALSE)+0)</f>
        <v>3213.1212930009119</v>
      </c>
      <c r="R71" s="9">
        <f>(宠物成长!$C$1+宠物成长!$C$2/宠物成长!$C$3*宠物成长!$E$30)*(1+VLOOKUP(宠物属性点预览!R$2,宠物成长!$F$4:$K$25,4,FALSE)+0)+(VLOOKUP(宠物属性点预览!$B71,宠物成长!$D$30:$E$129,2,FALSE)-宠物成长!$E$30)*宠物成长!$C$2/宠物成长!$C$3*(1+VLOOKUP(宠物属性点预览!R$2,宠物成长!$F$5:$K$25,3,FALSE)+0)</f>
        <v>3487.718307926285</v>
      </c>
      <c r="S71" s="9">
        <f>(宠物成长!$C$1+宠物成长!$C$2/宠物成长!$C$3*宠物成长!$E$30)*(1+VLOOKUP(宠物属性点预览!S$2,宠物成长!$F$4:$K$25,4,FALSE)+0)+(VLOOKUP(宠物属性点预览!$B71,宠物成长!$D$30:$E$129,2,FALSE)-宠物成长!$E$30)*宠物成长!$C$2/宠物成长!$C$3*(1+VLOOKUP(宠物属性点预览!S$2,宠物成长!$F$5:$K$25,3,FALSE)+0)</f>
        <v>3762.8294190373958</v>
      </c>
      <c r="T71" s="83">
        <f t="shared" si="14"/>
        <v>2939.1212930009119</v>
      </c>
      <c r="V71" s="9">
        <f>(宠物成长!$C$1+宠物成长!$C$2/宠物成长!$C$3*宠物成长!$E$30)*(1+宠物成长!$I$18+VLOOKUP(宠物属性点预览!V$2,宠物成长!$O$5:$R$10,3,FALSE))+(VLOOKUP(宠物属性点预览!$B71,宠物成长!$D$30:$E$129,2,FALSE)-宠物成长!$E$30)*宠物成长!$C$2/宠物成长!$C$3*(1+宠物成长!$H$18+VLOOKUP(宠物属性点预览!V$2,宠物成长!$O$5:$R$10,2,FALSE))</f>
        <v>2939.1212930009119</v>
      </c>
      <c r="W71" s="9">
        <f>(宠物成长!$C$1+宠物成长!$C$2/宠物成长!$C$3*宠物成长!$E$30)*(1+宠物成长!$I$18+VLOOKUP(宠物属性点预览!W$2,宠物成长!$O$5:$R$10,3,FALSE))+(VLOOKUP(宠物属性点预览!$B71,宠物成长!$D$30:$E$129,2,FALSE)-宠物成长!$E$30)*宠物成长!$C$2/宠物成长!$C$3*(1+宠物成长!$H$18+VLOOKUP(宠物属性点预览!W$2,宠物成长!$O$5:$R$10,2,FALSE))</f>
        <v>3317.1212930009119</v>
      </c>
      <c r="X71" s="9">
        <f>(宠物成长!$C$1+宠物成长!$C$2/宠物成长!$C$3*宠物成长!$E$30)*(1+宠物成长!$I$18+VLOOKUP(宠物属性点预览!X$2,宠物成长!$O$5:$R$10,3,FALSE))+(VLOOKUP(宠物属性点预览!$B71,宠物成长!$D$30:$E$129,2,FALSE)-宠物成长!$E$30)*宠物成长!$C$2/宠物成长!$C$3*(1+宠物成长!$H$18+VLOOKUP(宠物属性点预览!X$2,宠物成长!$O$5:$R$10,2,FALSE))</f>
        <v>3757.1212930009119</v>
      </c>
      <c r="Y71" s="9">
        <f>(宠物成长!$C$1+宠物成长!$C$2/宠物成长!$C$3*宠物成长!$E$30)*(1+宠物成长!$I$18+VLOOKUP(宠物属性点预览!Y$2,宠物成长!$O$5:$R$10,3,FALSE))+(VLOOKUP(宠物属性点预览!$B71,宠物成长!$D$30:$E$129,2,FALSE)-宠物成长!$E$30)*宠物成长!$C$2/宠物成长!$C$3*(1+宠物成长!$H$18+VLOOKUP(宠物属性点预览!Y$2,宠物成长!$O$5:$R$10,2,FALSE))</f>
        <v>4259.1212930009115</v>
      </c>
      <c r="Z71" s="9">
        <f>(宠物成长!$C$1+宠物成长!$C$2/宠物成长!$C$3*宠物成长!$E$30)*(1+宠物成长!$I$18+VLOOKUP(宠物属性点预览!Z$2,宠物成长!$O$5:$R$10,3,FALSE))+(VLOOKUP(宠物属性点预览!$B71,宠物成长!$D$30:$E$129,2,FALSE)-宠物成长!$E$30)*宠物成长!$C$2/宠物成长!$C$3*(1+宠物成长!$H$18+VLOOKUP(宠物属性点预览!Z$2,宠物成长!$O$5:$R$10,2,FALSE))</f>
        <v>4761.1212930009115</v>
      </c>
    </row>
    <row r="72" spans="2:27" x14ac:dyDescent="0.15">
      <c r="B72" s="1">
        <v>70</v>
      </c>
      <c r="C72" s="9">
        <f>(宠物成长!$C$1+宠物成长!$C$2/宠物成长!$C$3*宠物成长!$E$30)*(1+VLOOKUP(宠物属性点预览!C$2,宠物成长!$F$4:$K$25,4,FALSE)+0)+(VLOOKUP(宠物属性点预览!$B72,宠物成长!$D$30:$E$129,2,FALSE)-宠物成长!$E$30)*宠物成长!$C$2/宠物成长!$C$3*(1+VLOOKUP(宠物属性点预览!C$2,宠物成长!$F$5:$K$25,3,FALSE)+0)</f>
        <v>303.5</v>
      </c>
      <c r="D72" s="9">
        <f>(宠物成长!$C$1+宠物成长!$C$2/宠物成长!$C$3*宠物成长!$E$30)*(1+VLOOKUP(宠物属性点预览!D$2,宠物成长!$F$4:$K$25,4,FALSE)+0)+(VLOOKUP(宠物属性点预览!$B72,宠物成长!$D$30:$E$129,2,FALSE)-宠物成长!$E$30)*宠物成长!$C$2/宠物成长!$C$3*(1+VLOOKUP(宠物属性点预览!D$2,宠物成长!$F$5:$K$25,3,FALSE)+0)</f>
        <v>350</v>
      </c>
      <c r="E72" s="9">
        <f>(宠物成长!$C$1+宠物成长!$C$2/宠物成长!$C$3*宠物成长!$E$30)*(1+VLOOKUP(宠物属性点预览!E$2,宠物成长!$F$4:$K$25,4,FALSE)+0)+(VLOOKUP(宠物属性点预览!$B72,宠物成长!$D$30:$E$129,2,FALSE)-宠物成长!$E$30)*宠物成长!$C$2/宠物成长!$C$3*(1+VLOOKUP(宠物属性点预览!E$2,宠物成长!$F$5:$K$25,3,FALSE)+0)</f>
        <v>415.1</v>
      </c>
      <c r="F72" s="9">
        <f>(宠物成长!$C$1+宠物成长!$C$2/宠物成长!$C$3*宠物成长!$E$30)*(1+VLOOKUP(宠物属性点预览!F$2,宠物成长!$F$4:$K$25,4,FALSE)+0)+(VLOOKUP(宠物属性点预览!$B72,宠物成长!$D$30:$E$129,2,FALSE)-宠物成长!$E$30)*宠物成长!$C$2/宠物成长!$C$3*(1+VLOOKUP(宠物属性点预览!F$2,宠物成长!$F$5:$K$25,3,FALSE)+0)</f>
        <v>501.90000000000003</v>
      </c>
      <c r="G72" s="9">
        <f>(宠物成长!$C$1+宠物成长!$C$2/宠物成长!$C$3*宠物成长!$E$30)*(1+VLOOKUP(宠物属性点预览!G$2,宠物成长!$F$4:$K$25,4,FALSE)+0)+(VLOOKUP(宠物属性点预览!$B72,宠物成长!$D$30:$E$129,2,FALSE)-宠物成长!$E$30)*宠物成长!$C$2/宠物成长!$C$3*(1+VLOOKUP(宠物属性点预览!G$2,宠物成长!$F$5:$K$25,3,FALSE)+0)</f>
        <v>635.59999999999991</v>
      </c>
      <c r="H72" s="9">
        <f>(宠物成长!$C$1+宠物成长!$C$2/宠物成长!$C$3*宠物成长!$E$30)*(1+VLOOKUP(宠物属性点预览!H$2,宠物成长!$F$4:$K$25,4,FALSE)+0)+(VLOOKUP(宠物属性点预览!$B72,宠物成长!$D$30:$E$129,2,FALSE)-宠物成长!$E$30)*宠物成长!$C$2/宠物成长!$C$3*(1+VLOOKUP(宠物属性点预览!H$2,宠物成长!$F$5:$K$25,3,FALSE)+0)</f>
        <v>818.9</v>
      </c>
      <c r="I72" s="9">
        <f>(宠物成长!$C$1+宠物成长!$C$2/宠物成长!$C$3*宠物成长!$E$30)*(1+VLOOKUP(宠物属性点预览!I$2,宠物成长!$F$4:$K$25,4,FALSE)+0)+(VLOOKUP(宠物属性点预览!$B72,宠物成长!$D$30:$E$129,2,FALSE)-宠物成长!$E$30)*宠物成长!$C$2/宠物成长!$C$3*(1+VLOOKUP(宠物属性点预览!I$2,宠物成长!$F$5:$K$25,3,FALSE)+0)</f>
        <v>1058</v>
      </c>
      <c r="J72" s="9">
        <f>(宠物成长!$C$1+宠物成长!$C$2/宠物成长!$C$3*宠物成长!$E$30)*(1+VLOOKUP(宠物属性点预览!J$2,宠物成长!$F$4:$K$25,4,FALSE)+0)+(VLOOKUP(宠物属性点预览!$B72,宠物成长!$D$30:$E$129,2,FALSE)-宠物成长!$E$30)*宠物成长!$C$2/宠物成长!$C$3*(1+VLOOKUP(宠物属性点预览!J$2,宠物成长!$F$5:$K$25,3,FALSE)+0)</f>
        <v>1322.1296296296296</v>
      </c>
      <c r="K72" s="9">
        <f>(宠物成长!$C$1+宠物成长!$C$2/宠物成长!$C$3*宠物成长!$E$30)*(1+VLOOKUP(宠物属性点预览!K$2,宠物成长!$F$4:$K$25,4,FALSE)+0)+(VLOOKUP(宠物属性点预览!$B72,宠物成长!$D$30:$E$129,2,FALSE)-宠物成长!$E$30)*宠物成长!$C$2/宠物成长!$C$3*(1+VLOOKUP(宠物属性点预览!K$2,宠物成长!$F$5:$K$25,3,FALSE)+0)</f>
        <v>1589.1296296296296</v>
      </c>
      <c r="L72" s="9">
        <f>(宠物成长!$C$1+宠物成长!$C$2/宠物成长!$C$3*宠物成长!$E$30)*(1+VLOOKUP(宠物属性点预览!L$2,宠物成长!$F$4:$K$25,4,FALSE)+0)+(VLOOKUP(宠物属性点预览!$B72,宠物成长!$D$30:$E$129,2,FALSE)-宠物成长!$E$30)*宠物成长!$C$2/宠物成长!$C$3*(1+VLOOKUP(宠物属性点预览!L$2,宠物成长!$F$5:$K$25,3,FALSE)+0)</f>
        <v>1858.2242242242241</v>
      </c>
      <c r="M72" s="9">
        <f>(宠物成长!$C$1+宠物成长!$C$2/宠物成长!$C$3*宠物成长!$E$30)*(1+VLOOKUP(宠物属性点预览!M$2,宠物成长!$F$4:$K$25,4,FALSE)+0)+(VLOOKUP(宠物属性点预览!$B72,宠物成长!$D$30:$E$129,2,FALSE)-宠物成长!$E$30)*宠物成长!$C$2/宠物成长!$C$3*(1+VLOOKUP(宠物属性点预览!M$2,宠物成长!$F$5:$K$25,3,FALSE)+0)</f>
        <v>2128.9147004147003</v>
      </c>
      <c r="N72" s="9">
        <f>(宠物成长!$C$1+宠物成长!$C$2/宠物成长!$C$3*宠物成长!$E$30)*(1+VLOOKUP(宠物属性点预览!N$2,宠物成长!$F$4:$K$25,4,FALSE)+0)+(VLOOKUP(宠物属性点预览!$B72,宠物成长!$D$30:$E$129,2,FALSE)-宠物成长!$E$30)*宠物成长!$C$2/宠物成长!$C$3*(1+VLOOKUP(宠物属性点预览!N$2,宠物成长!$F$5:$K$25,3,FALSE)+0)</f>
        <v>2400.8615089253385</v>
      </c>
      <c r="O72" s="9">
        <f>(宠物成长!$C$1+宠物成长!$C$2/宠物成长!$C$3*宠物成长!$E$30)*(1+VLOOKUP(宠物属性点预览!O$2,宠物成长!$F$4:$K$25,4,FALSE)+0)+(VLOOKUP(宠物属性点预览!$B72,宠物成长!$D$30:$E$129,2,FALSE)-宠物成长!$E$30)*宠物成长!$C$2/宠物成长!$C$3*(1+VLOOKUP(宠物属性点预览!O$2,宠物成长!$F$5:$K$25,3,FALSE)+0)</f>
        <v>2673.8230473868766</v>
      </c>
      <c r="P72" s="9">
        <f>(宠物成长!$C$1+宠物成长!$C$2/宠物成长!$C$3*宠物成长!$E$30)*(1+VLOOKUP(宠物属性点预览!P$2,宠物成长!$F$4:$K$25,4,FALSE)+0)+(VLOOKUP(宠物属性点预览!$B72,宠物成长!$D$30:$E$129,2,FALSE)-宠物成长!$E$30)*宠物成长!$C$2/宠物成长!$C$3*(1+VLOOKUP(宠物属性点预览!P$2,宠物成长!$F$5:$K$25,3,FALSE)+0)</f>
        <v>2947.6212930009119</v>
      </c>
      <c r="Q72" s="83">
        <f>(宠物成长!$C$1+宠物成长!$C$2/宠物成长!$C$3*宠物成长!$E$30)*(1+VLOOKUP(宠物属性点预览!Q$2,宠物成长!$F$4:$K$25,4,FALSE)+0)+(VLOOKUP(宠物属性点预览!$B72,宠物成长!$D$30:$E$129,2,FALSE)-宠物成长!$E$30)*宠物成长!$C$2/宠物成长!$C$3*(1+VLOOKUP(宠物属性点预览!Q$2,宠物成长!$F$5:$K$25,3,FALSE)+0)</f>
        <v>3222.1212930009119</v>
      </c>
      <c r="R72" s="9">
        <f>(宠物成长!$C$1+宠物成长!$C$2/宠物成长!$C$3*宠物成长!$E$30)*(1+VLOOKUP(宠物属性点预览!R$2,宠物成长!$F$4:$K$25,4,FALSE)+0)+(VLOOKUP(宠物属性点预览!$B72,宠物成长!$D$30:$E$129,2,FALSE)-宠物成长!$E$30)*宠物成长!$C$2/宠物成长!$C$3*(1+VLOOKUP(宠物属性点预览!R$2,宠物成长!$F$5:$K$25,3,FALSE)+0)</f>
        <v>3497.218307926285</v>
      </c>
      <c r="S72" s="9">
        <f>(宠物成长!$C$1+宠物成长!$C$2/宠物成长!$C$3*宠物成长!$E$30)*(1+VLOOKUP(宠物属性点预览!S$2,宠物成长!$F$4:$K$25,4,FALSE)+0)+(VLOOKUP(宠物属性点预览!$B72,宠物成长!$D$30:$E$129,2,FALSE)-宠物成长!$E$30)*宠物成长!$C$2/宠物成长!$C$3*(1+VLOOKUP(宠物属性点预览!S$2,宠物成长!$F$5:$K$25,3,FALSE)+0)</f>
        <v>3772.8294190373958</v>
      </c>
      <c r="T72" s="83">
        <f t="shared" si="14"/>
        <v>2947.6212930009119</v>
      </c>
      <c r="U72" s="9">
        <f>Q72</f>
        <v>3222.1212930009119</v>
      </c>
      <c r="V72" s="9">
        <f>(宠物成长!$C$1+宠物成长!$C$2/宠物成长!$C$3*宠物成长!$E$30)*(1+宠物成长!$I$19+VLOOKUP(宠物属性点预览!V$2,宠物成长!$O$5:$R$10,3,FALSE))+(VLOOKUP(宠物属性点预览!$B72,宠物成长!$D$30:$E$129,2,FALSE)-宠物成长!$E$30)*宠物成长!$C$2/宠物成长!$C$3*(1+宠物成长!$H$19+VLOOKUP(宠物属性点预览!V$2,宠物成长!$O$5:$R$10,2,FALSE))</f>
        <v>3222.1212930009119</v>
      </c>
      <c r="W72" s="9">
        <f>(宠物成长!$C$1+宠物成长!$C$2/宠物成长!$C$3*宠物成长!$E$30)*(1+宠物成长!$I$19+VLOOKUP(宠物属性点预览!W$2,宠物成长!$O$5:$R$10,3,FALSE))+(VLOOKUP(宠物属性点预览!$B72,宠物成长!$D$30:$E$129,2,FALSE)-宠物成长!$E$30)*宠物成长!$C$2/宠物成长!$C$3*(1+宠物成长!$H$19+VLOOKUP(宠物属性点预览!W$2,宠物成长!$O$5:$R$10,2,FALSE))</f>
        <v>3601.1212930009119</v>
      </c>
      <c r="X72" s="9">
        <f>(宠物成长!$C$1+宠物成长!$C$2/宠物成长!$C$3*宠物成长!$E$30)*(1+宠物成长!$I$19+VLOOKUP(宠物属性点预览!X$2,宠物成长!$O$5:$R$10,3,FALSE))+(VLOOKUP(宠物属性点预览!$B72,宠物成长!$D$30:$E$129,2,FALSE)-宠物成长!$E$30)*宠物成长!$C$2/宠物成长!$C$3*(1+宠物成长!$H$19+VLOOKUP(宠物属性点预览!X$2,宠物成长!$O$5:$R$10,2,FALSE))</f>
        <v>4042.1212930009119</v>
      </c>
      <c r="Y72" s="9">
        <f>(宠物成长!$C$1+宠物成长!$C$2/宠物成长!$C$3*宠物成长!$E$30)*(1+宠物成长!$I$19+VLOOKUP(宠物属性点预览!Y$2,宠物成长!$O$5:$R$10,3,FALSE))+(VLOOKUP(宠物属性点预览!$B72,宠物成长!$D$30:$E$129,2,FALSE)-宠物成长!$E$30)*宠物成长!$C$2/宠物成长!$C$3*(1+宠物成长!$H$19+VLOOKUP(宠物属性点预览!Y$2,宠物成长!$O$5:$R$10,2,FALSE))</f>
        <v>4545.1212930009115</v>
      </c>
      <c r="Z72" s="9">
        <f>(宠物成长!$C$1+宠物成长!$C$2/宠物成长!$C$3*宠物成长!$E$30)*(1+宠物成长!$I$19+VLOOKUP(宠物属性点预览!Z$2,宠物成长!$O$5:$R$10,3,FALSE))+(VLOOKUP(宠物属性点预览!$B72,宠物成长!$D$30:$E$129,2,FALSE)-宠物成长!$E$30)*宠物成长!$C$2/宠物成长!$C$3*(1+宠物成长!$H$19+VLOOKUP(宠物属性点预览!Z$2,宠物成长!$O$5:$R$10,2,FALSE))</f>
        <v>5048.1212930009115</v>
      </c>
    </row>
    <row r="73" spans="2:27" x14ac:dyDescent="0.15">
      <c r="B73" s="1">
        <v>71</v>
      </c>
      <c r="C73" s="9">
        <f>(宠物成长!$C$1+宠物成长!$C$2/宠物成长!$C$3*宠物成长!$E$30)*(1+VLOOKUP(宠物属性点预览!C$2,宠物成长!$F$4:$K$25,4,FALSE)+0)+(VLOOKUP(宠物属性点预览!$B73,宠物成长!$D$30:$E$129,2,FALSE)-宠物成长!$E$30)*宠物成长!$C$2/宠物成长!$C$3*(1+VLOOKUP(宠物属性点预览!C$2,宠物成长!$F$5:$K$25,3,FALSE)+0)</f>
        <v>307</v>
      </c>
      <c r="D73" s="9">
        <f>(宠物成长!$C$1+宠物成长!$C$2/宠物成长!$C$3*宠物成长!$E$30)*(1+VLOOKUP(宠物属性点预览!D$2,宠物成长!$F$4:$K$25,4,FALSE)+0)+(VLOOKUP(宠物属性点预览!$B73,宠物成长!$D$30:$E$129,2,FALSE)-宠物成长!$E$30)*宠物成长!$C$2/宠物成长!$C$3*(1+VLOOKUP(宠物属性点预览!D$2,宠物成长!$F$5:$K$25,3,FALSE)+0)</f>
        <v>353.5</v>
      </c>
      <c r="E73" s="9">
        <f>(宠物成长!$C$1+宠物成长!$C$2/宠物成长!$C$3*宠物成长!$E$30)*(1+VLOOKUP(宠物属性点预览!E$2,宠物成长!$F$4:$K$25,4,FALSE)+0)+(VLOOKUP(宠物属性点预览!$B73,宠物成长!$D$30:$E$129,2,FALSE)-宠物成长!$E$30)*宠物成长!$C$2/宠物成长!$C$3*(1+VLOOKUP(宠物属性点预览!E$2,宠物成长!$F$5:$K$25,3,FALSE)+0)</f>
        <v>418.6</v>
      </c>
      <c r="F73" s="9">
        <f>(宠物成长!$C$1+宠物成长!$C$2/宠物成长!$C$3*宠物成长!$E$30)*(1+VLOOKUP(宠物属性点预览!F$2,宠物成长!$F$4:$K$25,4,FALSE)+0)+(VLOOKUP(宠物属性点预览!$B73,宠物成长!$D$30:$E$129,2,FALSE)-宠物成长!$E$30)*宠物成长!$C$2/宠物成长!$C$3*(1+VLOOKUP(宠物属性点预览!F$2,宠物成长!$F$5:$K$25,3,FALSE)+0)</f>
        <v>505.40000000000003</v>
      </c>
      <c r="G73" s="9">
        <f>(宠物成长!$C$1+宠物成长!$C$2/宠物成长!$C$3*宠物成长!$E$30)*(1+VLOOKUP(宠物属性点预览!G$2,宠物成长!$F$4:$K$25,4,FALSE)+0)+(VLOOKUP(宠物属性点预览!$B73,宠物成长!$D$30:$E$129,2,FALSE)-宠物成长!$E$30)*宠物成长!$C$2/宠物成长!$C$3*(1+VLOOKUP(宠物属性点预览!G$2,宠物成长!$F$5:$K$25,3,FALSE)+0)</f>
        <v>639.59999999999991</v>
      </c>
      <c r="H73" s="9">
        <f>(宠物成长!$C$1+宠物成长!$C$2/宠物成长!$C$3*宠物成长!$E$30)*(1+VLOOKUP(宠物属性点预览!H$2,宠物成长!$F$4:$K$25,4,FALSE)+0)+(VLOOKUP(宠物属性点预览!$B73,宠物成长!$D$30:$E$129,2,FALSE)-宠物成长!$E$30)*宠物成长!$C$2/宠物成长!$C$3*(1+VLOOKUP(宠物属性点预览!H$2,宠物成长!$F$5:$K$25,3,FALSE)+0)</f>
        <v>823.4</v>
      </c>
      <c r="I73" s="9">
        <f>(宠物成长!$C$1+宠物成长!$C$2/宠物成长!$C$3*宠物成长!$E$30)*(1+VLOOKUP(宠物属性点预览!I$2,宠物成长!$F$4:$K$25,4,FALSE)+0)+(VLOOKUP(宠物属性点预览!$B73,宠物成长!$D$30:$E$129,2,FALSE)-宠物成长!$E$30)*宠物成长!$C$2/宠物成长!$C$3*(1+VLOOKUP(宠物属性点预览!I$2,宠物成长!$F$5:$K$25,3,FALSE)+0)</f>
        <v>1063</v>
      </c>
      <c r="J73" s="9">
        <f>(宠物成长!$C$1+宠物成长!$C$2/宠物成长!$C$3*宠物成长!$E$30)*(1+VLOOKUP(宠物属性点预览!J$2,宠物成长!$F$4:$K$25,4,FALSE)+0)+(VLOOKUP(宠物属性点预览!$B73,宠物成长!$D$30:$E$129,2,FALSE)-宠物成长!$E$30)*宠物成长!$C$2/宠物成长!$C$3*(1+VLOOKUP(宠物属性点预览!J$2,宠物成长!$F$5:$K$25,3,FALSE)+0)</f>
        <v>1327.6296296296296</v>
      </c>
      <c r="K73" s="9">
        <f>(宠物成长!$C$1+宠物成长!$C$2/宠物成长!$C$3*宠物成长!$E$30)*(1+VLOOKUP(宠物属性点预览!K$2,宠物成长!$F$4:$K$25,4,FALSE)+0)+(VLOOKUP(宠物属性点预览!$B73,宠物成长!$D$30:$E$129,2,FALSE)-宠物成长!$E$30)*宠物成长!$C$2/宠物成长!$C$3*(1+VLOOKUP(宠物属性点预览!K$2,宠物成长!$F$5:$K$25,3,FALSE)+0)</f>
        <v>1595.1296296296296</v>
      </c>
      <c r="L73" s="9">
        <f>(宠物成长!$C$1+宠物成长!$C$2/宠物成长!$C$3*宠物成长!$E$30)*(1+VLOOKUP(宠物属性点预览!L$2,宠物成长!$F$4:$K$25,4,FALSE)+0)+(VLOOKUP(宠物属性点预览!$B73,宠物成长!$D$30:$E$129,2,FALSE)-宠物成长!$E$30)*宠物成长!$C$2/宠物成长!$C$3*(1+VLOOKUP(宠物属性点预览!L$2,宠物成长!$F$5:$K$25,3,FALSE)+0)</f>
        <v>1864.7242242242241</v>
      </c>
      <c r="M73" s="9">
        <f>(宠物成长!$C$1+宠物成长!$C$2/宠物成长!$C$3*宠物成长!$E$30)*(1+VLOOKUP(宠物属性点预览!M$2,宠物成长!$F$4:$K$25,4,FALSE)+0)+(VLOOKUP(宠物属性点预览!$B73,宠物成长!$D$30:$E$129,2,FALSE)-宠物成长!$E$30)*宠物成长!$C$2/宠物成长!$C$3*(1+VLOOKUP(宠物属性点预览!M$2,宠物成长!$F$5:$K$25,3,FALSE)+0)</f>
        <v>2135.9147004147003</v>
      </c>
      <c r="N73" s="9">
        <f>(宠物成长!$C$1+宠物成长!$C$2/宠物成长!$C$3*宠物成长!$E$30)*(1+VLOOKUP(宠物属性点预览!N$2,宠物成长!$F$4:$K$25,4,FALSE)+0)+(VLOOKUP(宠物属性点预览!$B73,宠物成长!$D$30:$E$129,2,FALSE)-宠物成长!$E$30)*宠物成长!$C$2/宠物成长!$C$3*(1+VLOOKUP(宠物属性点预览!N$2,宠物成长!$F$5:$K$25,3,FALSE)+0)</f>
        <v>2408.3615089253385</v>
      </c>
      <c r="O73" s="9">
        <f>(宠物成长!$C$1+宠物成长!$C$2/宠物成长!$C$3*宠物成长!$E$30)*(1+VLOOKUP(宠物属性点预览!O$2,宠物成长!$F$4:$K$25,4,FALSE)+0)+(VLOOKUP(宠物属性点预览!$B73,宠物成长!$D$30:$E$129,2,FALSE)-宠物成长!$E$30)*宠物成长!$C$2/宠物成长!$C$3*(1+VLOOKUP(宠物属性点预览!O$2,宠物成长!$F$5:$K$25,3,FALSE)+0)</f>
        <v>2681.8230473868766</v>
      </c>
      <c r="P73" s="9">
        <f>(宠物成长!$C$1+宠物成长!$C$2/宠物成长!$C$3*宠物成长!$E$30)*(1+VLOOKUP(宠物属性点预览!P$2,宠物成长!$F$4:$K$25,4,FALSE)+0)+(VLOOKUP(宠物属性点预览!$B73,宠物成长!$D$30:$E$129,2,FALSE)-宠物成长!$E$30)*宠物成长!$C$2/宠物成长!$C$3*(1+VLOOKUP(宠物属性点预览!P$2,宠物成长!$F$5:$K$25,3,FALSE)+0)</f>
        <v>2956.1212930009119</v>
      </c>
      <c r="Q73" s="9">
        <f>(宠物成长!$C$1+宠物成长!$C$2/宠物成长!$C$3*宠物成长!$E$30)*(1+VLOOKUP(宠物属性点预览!Q$2,宠物成长!$F$4:$K$25,4,FALSE)+0)+(VLOOKUP(宠物属性点预览!$B73,宠物成长!$D$30:$E$129,2,FALSE)-宠物成长!$E$30)*宠物成长!$C$2/宠物成长!$C$3*(1+VLOOKUP(宠物属性点预览!Q$2,宠物成长!$F$5:$K$25,3,FALSE)+0)</f>
        <v>3231.1212930009119</v>
      </c>
      <c r="R73" s="9">
        <f>(宠物成长!$C$1+宠物成长!$C$2/宠物成长!$C$3*宠物成长!$E$30)*(1+VLOOKUP(宠物属性点预览!R$2,宠物成长!$F$4:$K$25,4,FALSE)+0)+(VLOOKUP(宠物属性点预览!$B73,宠物成长!$D$30:$E$129,2,FALSE)-宠物成长!$E$30)*宠物成长!$C$2/宠物成长!$C$3*(1+VLOOKUP(宠物属性点预览!R$2,宠物成长!$F$5:$K$25,3,FALSE)+0)</f>
        <v>3506.718307926285</v>
      </c>
      <c r="S73" s="9">
        <f>(宠物成长!$C$1+宠物成长!$C$2/宠物成长!$C$3*宠物成长!$E$30)*(1+VLOOKUP(宠物属性点预览!S$2,宠物成长!$F$4:$K$25,4,FALSE)+0)+(VLOOKUP(宠物属性点预览!$B73,宠物成长!$D$30:$E$129,2,FALSE)-宠物成长!$E$30)*宠物成长!$C$2/宠物成长!$C$3*(1+VLOOKUP(宠物属性点预览!S$2,宠物成长!$F$5:$K$25,3,FALSE)+0)</f>
        <v>3782.8294190373958</v>
      </c>
      <c r="T73" s="83">
        <f>Q73</f>
        <v>3231.1212930009119</v>
      </c>
      <c r="V73" s="9">
        <f>(宠物成长!$C$1+宠物成长!$C$2/宠物成长!$C$3*宠物成长!$E$30)*(1+宠物成长!$I$19+VLOOKUP(宠物属性点预览!V$2,宠物成长!$O$5:$R$10,3,FALSE))+(VLOOKUP(宠物属性点预览!$B73,宠物成长!$D$30:$E$129,2,FALSE)-宠物成长!$E$30)*宠物成长!$C$2/宠物成长!$C$3*(1+宠物成长!$H$19+VLOOKUP(宠物属性点预览!V$2,宠物成长!$O$5:$R$10,2,FALSE))</f>
        <v>3231.1212930009119</v>
      </c>
      <c r="W73" s="9">
        <f>(宠物成长!$C$1+宠物成长!$C$2/宠物成长!$C$3*宠物成长!$E$30)*(1+宠物成长!$I$19+VLOOKUP(宠物属性点预览!W$2,宠物成长!$O$5:$R$10,3,FALSE))+(VLOOKUP(宠物属性点预览!$B73,宠物成长!$D$30:$E$129,2,FALSE)-宠物成长!$E$30)*宠物成长!$C$2/宠物成长!$C$3*(1+宠物成长!$H$19+VLOOKUP(宠物属性点预览!W$2,宠物成长!$O$5:$R$10,2,FALSE))</f>
        <v>3611.1212930009119</v>
      </c>
      <c r="X73" s="9">
        <f>(宠物成长!$C$1+宠物成长!$C$2/宠物成长!$C$3*宠物成长!$E$30)*(1+宠物成长!$I$19+VLOOKUP(宠物属性点预览!X$2,宠物成长!$O$5:$R$10,3,FALSE))+(VLOOKUP(宠物属性点预览!$B73,宠物成长!$D$30:$E$129,2,FALSE)-宠物成长!$E$30)*宠物成长!$C$2/宠物成长!$C$3*(1+宠物成长!$H$19+VLOOKUP(宠物属性点预览!X$2,宠物成长!$O$5:$R$10,2,FALSE))</f>
        <v>4053.1212930009119</v>
      </c>
      <c r="Y73" s="9">
        <f>(宠物成长!$C$1+宠物成长!$C$2/宠物成长!$C$3*宠物成长!$E$30)*(1+宠物成长!$I$19+VLOOKUP(宠物属性点预览!Y$2,宠物成长!$O$5:$R$10,3,FALSE))+(VLOOKUP(宠物属性点预览!$B73,宠物成长!$D$30:$E$129,2,FALSE)-宠物成长!$E$30)*宠物成长!$C$2/宠物成长!$C$3*(1+宠物成长!$H$19+VLOOKUP(宠物属性点预览!Y$2,宠物成长!$O$5:$R$10,2,FALSE))</f>
        <v>4557.1212930009115</v>
      </c>
      <c r="Z73" s="9">
        <f>(宠物成长!$C$1+宠物成长!$C$2/宠物成长!$C$3*宠物成长!$E$30)*(1+宠物成长!$I$19+VLOOKUP(宠物属性点预览!Z$2,宠物成长!$O$5:$R$10,3,FALSE))+(VLOOKUP(宠物属性点预览!$B73,宠物成长!$D$30:$E$129,2,FALSE)-宠物成长!$E$30)*宠物成长!$C$2/宠物成长!$C$3*(1+宠物成长!$H$19+VLOOKUP(宠物属性点预览!Z$2,宠物成长!$O$5:$R$10,2,FALSE))</f>
        <v>5061.1212930009115</v>
      </c>
    </row>
    <row r="74" spans="2:27" x14ac:dyDescent="0.15">
      <c r="B74" s="1">
        <v>72</v>
      </c>
      <c r="C74" s="9">
        <f>(宠物成长!$C$1+宠物成长!$C$2/宠物成长!$C$3*宠物成长!$E$30)*(1+VLOOKUP(宠物属性点预览!C$2,宠物成长!$F$4:$K$25,4,FALSE)+0)+(VLOOKUP(宠物属性点预览!$B74,宠物成长!$D$30:$E$129,2,FALSE)-宠物成长!$E$30)*宠物成长!$C$2/宠物成长!$C$3*(1+VLOOKUP(宠物属性点预览!C$2,宠物成长!$F$5:$K$25,3,FALSE)+0)</f>
        <v>310.5</v>
      </c>
      <c r="D74" s="9">
        <f>(宠物成长!$C$1+宠物成长!$C$2/宠物成长!$C$3*宠物成长!$E$30)*(1+VLOOKUP(宠物属性点预览!D$2,宠物成长!$F$4:$K$25,4,FALSE)+0)+(VLOOKUP(宠物属性点预览!$B74,宠物成长!$D$30:$E$129,2,FALSE)-宠物成长!$E$30)*宠物成长!$C$2/宠物成长!$C$3*(1+VLOOKUP(宠物属性点预览!D$2,宠物成长!$F$5:$K$25,3,FALSE)+0)</f>
        <v>357</v>
      </c>
      <c r="E74" s="9">
        <f>(宠物成长!$C$1+宠物成长!$C$2/宠物成长!$C$3*宠物成长!$E$30)*(1+VLOOKUP(宠物属性点预览!E$2,宠物成长!$F$4:$K$25,4,FALSE)+0)+(VLOOKUP(宠物属性点预览!$B74,宠物成长!$D$30:$E$129,2,FALSE)-宠物成长!$E$30)*宠物成长!$C$2/宠物成长!$C$3*(1+VLOOKUP(宠物属性点预览!E$2,宠物成长!$F$5:$K$25,3,FALSE)+0)</f>
        <v>422.1</v>
      </c>
      <c r="F74" s="9">
        <f>(宠物成长!$C$1+宠物成长!$C$2/宠物成长!$C$3*宠物成长!$E$30)*(1+VLOOKUP(宠物属性点预览!F$2,宠物成长!$F$4:$K$25,4,FALSE)+0)+(VLOOKUP(宠物属性点预览!$B74,宠物成长!$D$30:$E$129,2,FALSE)-宠物成长!$E$30)*宠物成长!$C$2/宠物成长!$C$3*(1+VLOOKUP(宠物属性点预览!F$2,宠物成长!$F$5:$K$25,3,FALSE)+0)</f>
        <v>508.90000000000003</v>
      </c>
      <c r="G74" s="9">
        <f>(宠物成长!$C$1+宠物成长!$C$2/宠物成长!$C$3*宠物成长!$E$30)*(1+VLOOKUP(宠物属性点预览!G$2,宠物成长!$F$4:$K$25,4,FALSE)+0)+(VLOOKUP(宠物属性点预览!$B74,宠物成长!$D$30:$E$129,2,FALSE)-宠物成长!$E$30)*宠物成长!$C$2/宠物成长!$C$3*(1+VLOOKUP(宠物属性点预览!G$2,宠物成长!$F$5:$K$25,3,FALSE)+0)</f>
        <v>643.59999999999991</v>
      </c>
      <c r="H74" s="9">
        <f>(宠物成长!$C$1+宠物成长!$C$2/宠物成长!$C$3*宠物成长!$E$30)*(1+VLOOKUP(宠物属性点预览!H$2,宠物成长!$F$4:$K$25,4,FALSE)+0)+(VLOOKUP(宠物属性点预览!$B74,宠物成长!$D$30:$E$129,2,FALSE)-宠物成长!$E$30)*宠物成长!$C$2/宠物成长!$C$3*(1+VLOOKUP(宠物属性点预览!H$2,宠物成长!$F$5:$K$25,3,FALSE)+0)</f>
        <v>827.9</v>
      </c>
      <c r="I74" s="9">
        <f>(宠物成长!$C$1+宠物成长!$C$2/宠物成长!$C$3*宠物成长!$E$30)*(1+VLOOKUP(宠物属性点预览!I$2,宠物成长!$F$4:$K$25,4,FALSE)+0)+(VLOOKUP(宠物属性点预览!$B74,宠物成长!$D$30:$E$129,2,FALSE)-宠物成长!$E$30)*宠物成长!$C$2/宠物成长!$C$3*(1+VLOOKUP(宠物属性点预览!I$2,宠物成长!$F$5:$K$25,3,FALSE)+0)</f>
        <v>1068</v>
      </c>
      <c r="J74" s="9">
        <f>(宠物成长!$C$1+宠物成长!$C$2/宠物成长!$C$3*宠物成长!$E$30)*(1+VLOOKUP(宠物属性点预览!J$2,宠物成长!$F$4:$K$25,4,FALSE)+0)+(VLOOKUP(宠物属性点预览!$B74,宠物成长!$D$30:$E$129,2,FALSE)-宠物成长!$E$30)*宠物成长!$C$2/宠物成长!$C$3*(1+VLOOKUP(宠物属性点预览!J$2,宠物成长!$F$5:$K$25,3,FALSE)+0)</f>
        <v>1333.1296296296296</v>
      </c>
      <c r="K74" s="9">
        <f>(宠物成长!$C$1+宠物成长!$C$2/宠物成长!$C$3*宠物成长!$E$30)*(1+VLOOKUP(宠物属性点预览!K$2,宠物成长!$F$4:$K$25,4,FALSE)+0)+(VLOOKUP(宠物属性点预览!$B74,宠物成长!$D$30:$E$129,2,FALSE)-宠物成长!$E$30)*宠物成长!$C$2/宠物成长!$C$3*(1+VLOOKUP(宠物属性点预览!K$2,宠物成长!$F$5:$K$25,3,FALSE)+0)</f>
        <v>1601.1296296296296</v>
      </c>
      <c r="L74" s="9">
        <f>(宠物成长!$C$1+宠物成长!$C$2/宠物成长!$C$3*宠物成长!$E$30)*(1+VLOOKUP(宠物属性点预览!L$2,宠物成长!$F$4:$K$25,4,FALSE)+0)+(VLOOKUP(宠物属性点预览!$B74,宠物成长!$D$30:$E$129,2,FALSE)-宠物成长!$E$30)*宠物成长!$C$2/宠物成长!$C$3*(1+VLOOKUP(宠物属性点预览!L$2,宠物成长!$F$5:$K$25,3,FALSE)+0)</f>
        <v>1871.2242242242241</v>
      </c>
      <c r="M74" s="9">
        <f>(宠物成长!$C$1+宠物成长!$C$2/宠物成长!$C$3*宠物成长!$E$30)*(1+VLOOKUP(宠物属性点预览!M$2,宠物成长!$F$4:$K$25,4,FALSE)+0)+(VLOOKUP(宠物属性点预览!$B74,宠物成长!$D$30:$E$129,2,FALSE)-宠物成长!$E$30)*宠物成长!$C$2/宠物成长!$C$3*(1+VLOOKUP(宠物属性点预览!M$2,宠物成长!$F$5:$K$25,3,FALSE)+0)</f>
        <v>2142.9147004147003</v>
      </c>
      <c r="N74" s="9">
        <f>(宠物成长!$C$1+宠物成长!$C$2/宠物成长!$C$3*宠物成长!$E$30)*(1+VLOOKUP(宠物属性点预览!N$2,宠物成长!$F$4:$K$25,4,FALSE)+0)+(VLOOKUP(宠物属性点预览!$B74,宠物成长!$D$30:$E$129,2,FALSE)-宠物成长!$E$30)*宠物成长!$C$2/宠物成长!$C$3*(1+VLOOKUP(宠物属性点预览!N$2,宠物成长!$F$5:$K$25,3,FALSE)+0)</f>
        <v>2415.8615089253385</v>
      </c>
      <c r="O74" s="9">
        <f>(宠物成长!$C$1+宠物成长!$C$2/宠物成长!$C$3*宠物成长!$E$30)*(1+VLOOKUP(宠物属性点预览!O$2,宠物成长!$F$4:$K$25,4,FALSE)+0)+(VLOOKUP(宠物属性点预览!$B74,宠物成长!$D$30:$E$129,2,FALSE)-宠物成长!$E$30)*宠物成长!$C$2/宠物成长!$C$3*(1+VLOOKUP(宠物属性点预览!O$2,宠物成长!$F$5:$K$25,3,FALSE)+0)</f>
        <v>2689.8230473868766</v>
      </c>
      <c r="P74" s="9">
        <f>(宠物成长!$C$1+宠物成长!$C$2/宠物成长!$C$3*宠物成长!$E$30)*(1+VLOOKUP(宠物属性点预览!P$2,宠物成长!$F$4:$K$25,4,FALSE)+0)+(VLOOKUP(宠物属性点预览!$B74,宠物成长!$D$30:$E$129,2,FALSE)-宠物成长!$E$30)*宠物成长!$C$2/宠物成长!$C$3*(1+VLOOKUP(宠物属性点预览!P$2,宠物成长!$F$5:$K$25,3,FALSE)+0)</f>
        <v>2964.6212930009119</v>
      </c>
      <c r="Q74" s="9">
        <f>(宠物成长!$C$1+宠物成长!$C$2/宠物成长!$C$3*宠物成长!$E$30)*(1+VLOOKUP(宠物属性点预览!Q$2,宠物成长!$F$4:$K$25,4,FALSE)+0)+(VLOOKUP(宠物属性点预览!$B74,宠物成长!$D$30:$E$129,2,FALSE)-宠物成长!$E$30)*宠物成长!$C$2/宠物成长!$C$3*(1+VLOOKUP(宠物属性点预览!Q$2,宠物成长!$F$5:$K$25,3,FALSE)+0)</f>
        <v>3240.1212930009119</v>
      </c>
      <c r="R74" s="9">
        <f>(宠物成长!$C$1+宠物成长!$C$2/宠物成长!$C$3*宠物成长!$E$30)*(1+VLOOKUP(宠物属性点预览!R$2,宠物成长!$F$4:$K$25,4,FALSE)+0)+(VLOOKUP(宠物属性点预览!$B74,宠物成长!$D$30:$E$129,2,FALSE)-宠物成长!$E$30)*宠物成长!$C$2/宠物成长!$C$3*(1+VLOOKUP(宠物属性点预览!R$2,宠物成长!$F$5:$K$25,3,FALSE)+0)</f>
        <v>3516.218307926285</v>
      </c>
      <c r="S74" s="9">
        <f>(宠物成长!$C$1+宠物成长!$C$2/宠物成长!$C$3*宠物成长!$E$30)*(1+VLOOKUP(宠物属性点预览!S$2,宠物成长!$F$4:$K$25,4,FALSE)+0)+(VLOOKUP(宠物属性点预览!$B74,宠物成长!$D$30:$E$129,2,FALSE)-宠物成长!$E$30)*宠物成长!$C$2/宠物成长!$C$3*(1+VLOOKUP(宠物属性点预览!S$2,宠物成长!$F$5:$K$25,3,FALSE)+0)</f>
        <v>3792.8294190373958</v>
      </c>
      <c r="T74" s="83">
        <f t="shared" ref="T74:T77" si="15">Q74</f>
        <v>3240.1212930009119</v>
      </c>
      <c r="V74" s="9">
        <f>(宠物成长!$C$1+宠物成长!$C$2/宠物成长!$C$3*宠物成长!$E$30)*(1+宠物成长!$I$19+VLOOKUP(宠物属性点预览!V$2,宠物成长!$O$5:$R$10,3,FALSE))+(VLOOKUP(宠物属性点预览!$B74,宠物成长!$D$30:$E$129,2,FALSE)-宠物成长!$E$30)*宠物成长!$C$2/宠物成长!$C$3*(1+宠物成长!$H$19+VLOOKUP(宠物属性点预览!V$2,宠物成长!$O$5:$R$10,2,FALSE))</f>
        <v>3240.1212930009119</v>
      </c>
      <c r="W74" s="9">
        <f>(宠物成长!$C$1+宠物成长!$C$2/宠物成长!$C$3*宠物成长!$E$30)*(1+宠物成长!$I$19+VLOOKUP(宠物属性点预览!W$2,宠物成长!$O$5:$R$10,3,FALSE))+(VLOOKUP(宠物属性点预览!$B74,宠物成长!$D$30:$E$129,2,FALSE)-宠物成长!$E$30)*宠物成长!$C$2/宠物成长!$C$3*(1+宠物成长!$H$19+VLOOKUP(宠物属性点预览!W$2,宠物成长!$O$5:$R$10,2,FALSE))</f>
        <v>3621.1212930009119</v>
      </c>
      <c r="X74" s="9">
        <f>(宠物成长!$C$1+宠物成长!$C$2/宠物成长!$C$3*宠物成长!$E$30)*(1+宠物成长!$I$19+VLOOKUP(宠物属性点预览!X$2,宠物成长!$O$5:$R$10,3,FALSE))+(VLOOKUP(宠物属性点预览!$B74,宠物成长!$D$30:$E$129,2,FALSE)-宠物成长!$E$30)*宠物成长!$C$2/宠物成长!$C$3*(1+宠物成长!$H$19+VLOOKUP(宠物属性点预览!X$2,宠物成长!$O$5:$R$10,2,FALSE))</f>
        <v>4064.1212930009119</v>
      </c>
      <c r="Y74" s="9">
        <f>(宠物成长!$C$1+宠物成长!$C$2/宠物成长!$C$3*宠物成长!$E$30)*(1+宠物成长!$I$19+VLOOKUP(宠物属性点预览!Y$2,宠物成长!$O$5:$R$10,3,FALSE))+(VLOOKUP(宠物属性点预览!$B74,宠物成长!$D$30:$E$129,2,FALSE)-宠物成长!$E$30)*宠物成长!$C$2/宠物成长!$C$3*(1+宠物成长!$H$19+VLOOKUP(宠物属性点预览!Y$2,宠物成长!$O$5:$R$10,2,FALSE))</f>
        <v>4569.1212930009115</v>
      </c>
      <c r="Z74" s="9">
        <f>(宠物成长!$C$1+宠物成长!$C$2/宠物成长!$C$3*宠物成长!$E$30)*(1+宠物成长!$I$19+VLOOKUP(宠物属性点预览!Z$2,宠物成长!$O$5:$R$10,3,FALSE))+(VLOOKUP(宠物属性点预览!$B74,宠物成长!$D$30:$E$129,2,FALSE)-宠物成长!$E$30)*宠物成长!$C$2/宠物成长!$C$3*(1+宠物成长!$H$19+VLOOKUP(宠物属性点预览!Z$2,宠物成长!$O$5:$R$10,2,FALSE))</f>
        <v>5074.1212930009115</v>
      </c>
      <c r="AA74" s="1">
        <f>(Z74-Z73)/Z73</f>
        <v>2.5686007600683003E-3</v>
      </c>
    </row>
    <row r="75" spans="2:27" x14ac:dyDescent="0.15">
      <c r="B75" s="1">
        <v>73</v>
      </c>
      <c r="C75" s="9">
        <f>(宠物成长!$C$1+宠物成长!$C$2/宠物成长!$C$3*宠物成长!$E$30)*(1+VLOOKUP(宠物属性点预览!C$2,宠物成长!$F$4:$K$25,4,FALSE)+0)+(VLOOKUP(宠物属性点预览!$B75,宠物成长!$D$30:$E$129,2,FALSE)-宠物成长!$E$30)*宠物成长!$C$2/宠物成长!$C$3*(1+VLOOKUP(宠物属性点预览!C$2,宠物成长!$F$5:$K$25,3,FALSE)+0)</f>
        <v>314</v>
      </c>
      <c r="D75" s="9">
        <f>(宠物成长!$C$1+宠物成长!$C$2/宠物成长!$C$3*宠物成长!$E$30)*(1+VLOOKUP(宠物属性点预览!D$2,宠物成长!$F$4:$K$25,4,FALSE)+0)+(VLOOKUP(宠物属性点预览!$B75,宠物成长!$D$30:$E$129,2,FALSE)-宠物成长!$E$30)*宠物成长!$C$2/宠物成长!$C$3*(1+VLOOKUP(宠物属性点预览!D$2,宠物成长!$F$5:$K$25,3,FALSE)+0)</f>
        <v>360.5</v>
      </c>
      <c r="E75" s="9">
        <f>(宠物成长!$C$1+宠物成长!$C$2/宠物成长!$C$3*宠物成长!$E$30)*(1+VLOOKUP(宠物属性点预览!E$2,宠物成长!$F$4:$K$25,4,FALSE)+0)+(VLOOKUP(宠物属性点预览!$B75,宠物成长!$D$30:$E$129,2,FALSE)-宠物成长!$E$30)*宠物成长!$C$2/宠物成长!$C$3*(1+VLOOKUP(宠物属性点预览!E$2,宠物成长!$F$5:$K$25,3,FALSE)+0)</f>
        <v>425.6</v>
      </c>
      <c r="F75" s="9">
        <f>(宠物成长!$C$1+宠物成长!$C$2/宠物成长!$C$3*宠物成长!$E$30)*(1+VLOOKUP(宠物属性点预览!F$2,宠物成长!$F$4:$K$25,4,FALSE)+0)+(VLOOKUP(宠物属性点预览!$B75,宠物成长!$D$30:$E$129,2,FALSE)-宠物成长!$E$30)*宠物成长!$C$2/宠物成长!$C$3*(1+VLOOKUP(宠物属性点预览!F$2,宠物成长!$F$5:$K$25,3,FALSE)+0)</f>
        <v>512.40000000000009</v>
      </c>
      <c r="G75" s="9">
        <f>(宠物成长!$C$1+宠物成长!$C$2/宠物成长!$C$3*宠物成长!$E$30)*(1+VLOOKUP(宠物属性点预览!G$2,宠物成长!$F$4:$K$25,4,FALSE)+0)+(VLOOKUP(宠物属性点预览!$B75,宠物成长!$D$30:$E$129,2,FALSE)-宠物成长!$E$30)*宠物成长!$C$2/宠物成长!$C$3*(1+VLOOKUP(宠物属性点预览!G$2,宠物成长!$F$5:$K$25,3,FALSE)+0)</f>
        <v>647.59999999999991</v>
      </c>
      <c r="H75" s="9">
        <f>(宠物成长!$C$1+宠物成长!$C$2/宠物成长!$C$3*宠物成长!$E$30)*(1+VLOOKUP(宠物属性点预览!H$2,宠物成长!$F$4:$K$25,4,FALSE)+0)+(VLOOKUP(宠物属性点预览!$B75,宠物成长!$D$30:$E$129,2,FALSE)-宠物成长!$E$30)*宠物成长!$C$2/宠物成长!$C$3*(1+VLOOKUP(宠物属性点预览!H$2,宠物成长!$F$5:$K$25,3,FALSE)+0)</f>
        <v>832.4</v>
      </c>
      <c r="I75" s="9">
        <f>(宠物成长!$C$1+宠物成长!$C$2/宠物成长!$C$3*宠物成长!$E$30)*(1+VLOOKUP(宠物属性点预览!I$2,宠物成长!$F$4:$K$25,4,FALSE)+0)+(VLOOKUP(宠物属性点预览!$B75,宠物成长!$D$30:$E$129,2,FALSE)-宠物成长!$E$30)*宠物成长!$C$2/宠物成长!$C$3*(1+VLOOKUP(宠物属性点预览!I$2,宠物成长!$F$5:$K$25,3,FALSE)+0)</f>
        <v>1073</v>
      </c>
      <c r="J75" s="9">
        <f>(宠物成长!$C$1+宠物成长!$C$2/宠物成长!$C$3*宠物成长!$E$30)*(1+VLOOKUP(宠物属性点预览!J$2,宠物成长!$F$4:$K$25,4,FALSE)+0)+(VLOOKUP(宠物属性点预览!$B75,宠物成长!$D$30:$E$129,2,FALSE)-宠物成长!$E$30)*宠物成长!$C$2/宠物成长!$C$3*(1+VLOOKUP(宠物属性点预览!J$2,宠物成长!$F$5:$K$25,3,FALSE)+0)</f>
        <v>1338.6296296296296</v>
      </c>
      <c r="K75" s="9">
        <f>(宠物成长!$C$1+宠物成长!$C$2/宠物成长!$C$3*宠物成长!$E$30)*(1+VLOOKUP(宠物属性点预览!K$2,宠物成长!$F$4:$K$25,4,FALSE)+0)+(VLOOKUP(宠物属性点预览!$B75,宠物成长!$D$30:$E$129,2,FALSE)-宠物成长!$E$30)*宠物成长!$C$2/宠物成长!$C$3*(1+VLOOKUP(宠物属性点预览!K$2,宠物成长!$F$5:$K$25,3,FALSE)+0)</f>
        <v>1607.1296296296296</v>
      </c>
      <c r="L75" s="9">
        <f>(宠物成长!$C$1+宠物成长!$C$2/宠物成长!$C$3*宠物成长!$E$30)*(1+VLOOKUP(宠物属性点预览!L$2,宠物成长!$F$4:$K$25,4,FALSE)+0)+(VLOOKUP(宠物属性点预览!$B75,宠物成长!$D$30:$E$129,2,FALSE)-宠物成长!$E$30)*宠物成长!$C$2/宠物成长!$C$3*(1+VLOOKUP(宠物属性点预览!L$2,宠物成长!$F$5:$K$25,3,FALSE)+0)</f>
        <v>1877.7242242242241</v>
      </c>
      <c r="M75" s="9">
        <f>(宠物成长!$C$1+宠物成长!$C$2/宠物成长!$C$3*宠物成长!$E$30)*(1+VLOOKUP(宠物属性点预览!M$2,宠物成长!$F$4:$K$25,4,FALSE)+0)+(VLOOKUP(宠物属性点预览!$B75,宠物成长!$D$30:$E$129,2,FALSE)-宠物成长!$E$30)*宠物成长!$C$2/宠物成长!$C$3*(1+VLOOKUP(宠物属性点预览!M$2,宠物成长!$F$5:$K$25,3,FALSE)+0)</f>
        <v>2149.9147004147003</v>
      </c>
      <c r="N75" s="9">
        <f>(宠物成长!$C$1+宠物成长!$C$2/宠物成长!$C$3*宠物成长!$E$30)*(1+VLOOKUP(宠物属性点预览!N$2,宠物成长!$F$4:$K$25,4,FALSE)+0)+(VLOOKUP(宠物属性点预览!$B75,宠物成长!$D$30:$E$129,2,FALSE)-宠物成长!$E$30)*宠物成长!$C$2/宠物成长!$C$3*(1+VLOOKUP(宠物属性点预览!N$2,宠物成长!$F$5:$K$25,3,FALSE)+0)</f>
        <v>2423.3615089253385</v>
      </c>
      <c r="O75" s="9">
        <f>(宠物成长!$C$1+宠物成长!$C$2/宠物成长!$C$3*宠物成长!$E$30)*(1+VLOOKUP(宠物属性点预览!O$2,宠物成长!$F$4:$K$25,4,FALSE)+0)+(VLOOKUP(宠物属性点预览!$B75,宠物成长!$D$30:$E$129,2,FALSE)-宠物成长!$E$30)*宠物成长!$C$2/宠物成长!$C$3*(1+VLOOKUP(宠物属性点预览!O$2,宠物成长!$F$5:$K$25,3,FALSE)+0)</f>
        <v>2697.8230473868766</v>
      </c>
      <c r="P75" s="9">
        <f>(宠物成长!$C$1+宠物成长!$C$2/宠物成长!$C$3*宠物成长!$E$30)*(1+VLOOKUP(宠物属性点预览!P$2,宠物成长!$F$4:$K$25,4,FALSE)+0)+(VLOOKUP(宠物属性点预览!$B75,宠物成长!$D$30:$E$129,2,FALSE)-宠物成长!$E$30)*宠物成长!$C$2/宠物成长!$C$3*(1+VLOOKUP(宠物属性点预览!P$2,宠物成长!$F$5:$K$25,3,FALSE)+0)</f>
        <v>2973.1212930009119</v>
      </c>
      <c r="Q75" s="9">
        <f>(宠物成长!$C$1+宠物成长!$C$2/宠物成长!$C$3*宠物成长!$E$30)*(1+VLOOKUP(宠物属性点预览!Q$2,宠物成长!$F$4:$K$25,4,FALSE)+0)+(VLOOKUP(宠物属性点预览!$B75,宠物成长!$D$30:$E$129,2,FALSE)-宠物成长!$E$30)*宠物成长!$C$2/宠物成长!$C$3*(1+VLOOKUP(宠物属性点预览!Q$2,宠物成长!$F$5:$K$25,3,FALSE)+0)</f>
        <v>3249.1212930009119</v>
      </c>
      <c r="R75" s="9">
        <f>(宠物成长!$C$1+宠物成长!$C$2/宠物成长!$C$3*宠物成长!$E$30)*(1+VLOOKUP(宠物属性点预览!R$2,宠物成长!$F$4:$K$25,4,FALSE)+0)+(VLOOKUP(宠物属性点预览!$B75,宠物成长!$D$30:$E$129,2,FALSE)-宠物成长!$E$30)*宠物成长!$C$2/宠物成长!$C$3*(1+VLOOKUP(宠物属性点预览!R$2,宠物成长!$F$5:$K$25,3,FALSE)+0)</f>
        <v>3525.718307926285</v>
      </c>
      <c r="S75" s="9">
        <f>(宠物成长!$C$1+宠物成长!$C$2/宠物成长!$C$3*宠物成长!$E$30)*(1+VLOOKUP(宠物属性点预览!S$2,宠物成长!$F$4:$K$25,4,FALSE)+0)+(VLOOKUP(宠物属性点预览!$B75,宠物成长!$D$30:$E$129,2,FALSE)-宠物成长!$E$30)*宠物成长!$C$2/宠物成长!$C$3*(1+VLOOKUP(宠物属性点预览!S$2,宠物成长!$F$5:$K$25,3,FALSE)+0)</f>
        <v>3802.8294190373958</v>
      </c>
      <c r="T75" s="83">
        <f t="shared" si="15"/>
        <v>3249.1212930009119</v>
      </c>
      <c r="V75" s="9">
        <f>(宠物成长!$C$1+宠物成长!$C$2/宠物成长!$C$3*宠物成长!$E$30)*(1+宠物成长!$I$19+VLOOKUP(宠物属性点预览!V$2,宠物成长!$O$5:$R$10,3,FALSE))+(VLOOKUP(宠物属性点预览!$B75,宠物成长!$D$30:$E$129,2,FALSE)-宠物成长!$E$30)*宠物成长!$C$2/宠物成长!$C$3*(1+宠物成长!$H$19+VLOOKUP(宠物属性点预览!V$2,宠物成长!$O$5:$R$10,2,FALSE))</f>
        <v>3249.1212930009119</v>
      </c>
      <c r="W75" s="9">
        <f>(宠物成长!$C$1+宠物成长!$C$2/宠物成长!$C$3*宠物成长!$E$30)*(1+宠物成长!$I$19+VLOOKUP(宠物属性点预览!W$2,宠物成长!$O$5:$R$10,3,FALSE))+(VLOOKUP(宠物属性点预览!$B75,宠物成长!$D$30:$E$129,2,FALSE)-宠物成长!$E$30)*宠物成长!$C$2/宠物成长!$C$3*(1+宠物成长!$H$19+VLOOKUP(宠物属性点预览!W$2,宠物成长!$O$5:$R$10,2,FALSE))</f>
        <v>3631.1212930009119</v>
      </c>
      <c r="X75" s="9">
        <f>(宠物成长!$C$1+宠物成长!$C$2/宠物成长!$C$3*宠物成长!$E$30)*(1+宠物成长!$I$19+VLOOKUP(宠物属性点预览!X$2,宠物成长!$O$5:$R$10,3,FALSE))+(VLOOKUP(宠物属性点预览!$B75,宠物成长!$D$30:$E$129,2,FALSE)-宠物成长!$E$30)*宠物成长!$C$2/宠物成长!$C$3*(1+宠物成长!$H$19+VLOOKUP(宠物属性点预览!X$2,宠物成长!$O$5:$R$10,2,FALSE))</f>
        <v>4075.1212930009119</v>
      </c>
      <c r="Y75" s="9">
        <f>(宠物成长!$C$1+宠物成长!$C$2/宠物成长!$C$3*宠物成长!$E$30)*(1+宠物成长!$I$19+VLOOKUP(宠物属性点预览!Y$2,宠物成长!$O$5:$R$10,3,FALSE))+(VLOOKUP(宠物属性点预览!$B75,宠物成长!$D$30:$E$129,2,FALSE)-宠物成长!$E$30)*宠物成长!$C$2/宠物成长!$C$3*(1+宠物成长!$H$19+VLOOKUP(宠物属性点预览!Y$2,宠物成长!$O$5:$R$10,2,FALSE))</f>
        <v>4581.1212930009115</v>
      </c>
      <c r="Z75" s="9">
        <f>(宠物成长!$C$1+宠物成长!$C$2/宠物成长!$C$3*宠物成长!$E$30)*(1+宠物成长!$I$19+VLOOKUP(宠物属性点预览!Z$2,宠物成长!$O$5:$R$10,3,FALSE))+(VLOOKUP(宠物属性点预览!$B75,宠物成长!$D$30:$E$129,2,FALSE)-宠物成长!$E$30)*宠物成长!$C$2/宠物成长!$C$3*(1+宠物成长!$H$19+VLOOKUP(宠物属性点预览!Z$2,宠物成长!$O$5:$R$10,2,FALSE))</f>
        <v>5087.1212930009115</v>
      </c>
    </row>
    <row r="76" spans="2:27" x14ac:dyDescent="0.15">
      <c r="B76" s="1">
        <v>74</v>
      </c>
      <c r="C76" s="9">
        <f>(宠物成长!$C$1+宠物成长!$C$2/宠物成长!$C$3*宠物成长!$E$30)*(1+VLOOKUP(宠物属性点预览!C$2,宠物成长!$F$4:$K$25,4,FALSE)+0)+(VLOOKUP(宠物属性点预览!$B76,宠物成长!$D$30:$E$129,2,FALSE)-宠物成长!$E$30)*宠物成长!$C$2/宠物成长!$C$3*(1+VLOOKUP(宠物属性点预览!C$2,宠物成长!$F$5:$K$25,3,FALSE)+0)</f>
        <v>317.5</v>
      </c>
      <c r="D76" s="9">
        <f>(宠物成长!$C$1+宠物成长!$C$2/宠物成长!$C$3*宠物成长!$E$30)*(1+VLOOKUP(宠物属性点预览!D$2,宠物成长!$F$4:$K$25,4,FALSE)+0)+(VLOOKUP(宠物属性点预览!$B76,宠物成长!$D$30:$E$129,2,FALSE)-宠物成长!$E$30)*宠物成长!$C$2/宠物成长!$C$3*(1+VLOOKUP(宠物属性点预览!D$2,宠物成长!$F$5:$K$25,3,FALSE)+0)</f>
        <v>364</v>
      </c>
      <c r="E76" s="9">
        <f>(宠物成长!$C$1+宠物成长!$C$2/宠物成长!$C$3*宠物成长!$E$30)*(1+VLOOKUP(宠物属性点预览!E$2,宠物成长!$F$4:$K$25,4,FALSE)+0)+(VLOOKUP(宠物属性点预览!$B76,宠物成长!$D$30:$E$129,2,FALSE)-宠物成长!$E$30)*宠物成长!$C$2/宠物成长!$C$3*(1+VLOOKUP(宠物属性点预览!E$2,宠物成长!$F$5:$K$25,3,FALSE)+0)</f>
        <v>429.1</v>
      </c>
      <c r="F76" s="9">
        <f>(宠物成长!$C$1+宠物成长!$C$2/宠物成长!$C$3*宠物成长!$E$30)*(1+VLOOKUP(宠物属性点预览!F$2,宠物成长!$F$4:$K$25,4,FALSE)+0)+(VLOOKUP(宠物属性点预览!$B76,宠物成长!$D$30:$E$129,2,FALSE)-宠物成长!$E$30)*宠物成长!$C$2/宠物成长!$C$3*(1+VLOOKUP(宠物属性点预览!F$2,宠物成长!$F$5:$K$25,3,FALSE)+0)</f>
        <v>515.90000000000009</v>
      </c>
      <c r="G76" s="9">
        <f>(宠物成长!$C$1+宠物成长!$C$2/宠物成长!$C$3*宠物成长!$E$30)*(1+VLOOKUP(宠物属性点预览!G$2,宠物成长!$F$4:$K$25,4,FALSE)+0)+(VLOOKUP(宠物属性点预览!$B76,宠物成长!$D$30:$E$129,2,FALSE)-宠物成长!$E$30)*宠物成长!$C$2/宠物成长!$C$3*(1+VLOOKUP(宠物属性点预览!G$2,宠物成长!$F$5:$K$25,3,FALSE)+0)</f>
        <v>651.59999999999991</v>
      </c>
      <c r="H76" s="9">
        <f>(宠物成长!$C$1+宠物成长!$C$2/宠物成长!$C$3*宠物成长!$E$30)*(1+VLOOKUP(宠物属性点预览!H$2,宠物成长!$F$4:$K$25,4,FALSE)+0)+(VLOOKUP(宠物属性点预览!$B76,宠物成长!$D$30:$E$129,2,FALSE)-宠物成长!$E$30)*宠物成长!$C$2/宠物成长!$C$3*(1+VLOOKUP(宠物属性点预览!H$2,宠物成长!$F$5:$K$25,3,FALSE)+0)</f>
        <v>836.9</v>
      </c>
      <c r="I76" s="9">
        <f>(宠物成长!$C$1+宠物成长!$C$2/宠物成长!$C$3*宠物成长!$E$30)*(1+VLOOKUP(宠物属性点预览!I$2,宠物成长!$F$4:$K$25,4,FALSE)+0)+(VLOOKUP(宠物属性点预览!$B76,宠物成长!$D$30:$E$129,2,FALSE)-宠物成长!$E$30)*宠物成长!$C$2/宠物成长!$C$3*(1+VLOOKUP(宠物属性点预览!I$2,宠物成长!$F$5:$K$25,3,FALSE)+0)</f>
        <v>1078</v>
      </c>
      <c r="J76" s="9">
        <f>(宠物成长!$C$1+宠物成长!$C$2/宠物成长!$C$3*宠物成长!$E$30)*(1+VLOOKUP(宠物属性点预览!J$2,宠物成长!$F$4:$K$25,4,FALSE)+0)+(VLOOKUP(宠物属性点预览!$B76,宠物成长!$D$30:$E$129,2,FALSE)-宠物成长!$E$30)*宠物成长!$C$2/宠物成长!$C$3*(1+VLOOKUP(宠物属性点预览!J$2,宠物成长!$F$5:$K$25,3,FALSE)+0)</f>
        <v>1344.1296296296296</v>
      </c>
      <c r="K76" s="9">
        <f>(宠物成长!$C$1+宠物成长!$C$2/宠物成长!$C$3*宠物成长!$E$30)*(1+VLOOKUP(宠物属性点预览!K$2,宠物成长!$F$4:$K$25,4,FALSE)+0)+(VLOOKUP(宠物属性点预览!$B76,宠物成长!$D$30:$E$129,2,FALSE)-宠物成长!$E$30)*宠物成长!$C$2/宠物成长!$C$3*(1+VLOOKUP(宠物属性点预览!K$2,宠物成长!$F$5:$K$25,3,FALSE)+0)</f>
        <v>1613.1296296296296</v>
      </c>
      <c r="L76" s="9">
        <f>(宠物成长!$C$1+宠物成长!$C$2/宠物成长!$C$3*宠物成长!$E$30)*(1+VLOOKUP(宠物属性点预览!L$2,宠物成长!$F$4:$K$25,4,FALSE)+0)+(VLOOKUP(宠物属性点预览!$B76,宠物成长!$D$30:$E$129,2,FALSE)-宠物成长!$E$30)*宠物成长!$C$2/宠物成长!$C$3*(1+VLOOKUP(宠物属性点预览!L$2,宠物成长!$F$5:$K$25,3,FALSE)+0)</f>
        <v>1884.2242242242241</v>
      </c>
      <c r="M76" s="9">
        <f>(宠物成长!$C$1+宠物成长!$C$2/宠物成长!$C$3*宠物成长!$E$30)*(1+VLOOKUP(宠物属性点预览!M$2,宠物成长!$F$4:$K$25,4,FALSE)+0)+(VLOOKUP(宠物属性点预览!$B76,宠物成长!$D$30:$E$129,2,FALSE)-宠物成长!$E$30)*宠物成长!$C$2/宠物成长!$C$3*(1+VLOOKUP(宠物属性点预览!M$2,宠物成长!$F$5:$K$25,3,FALSE)+0)</f>
        <v>2156.9147004147003</v>
      </c>
      <c r="N76" s="9">
        <f>(宠物成长!$C$1+宠物成长!$C$2/宠物成长!$C$3*宠物成长!$E$30)*(1+VLOOKUP(宠物属性点预览!N$2,宠物成长!$F$4:$K$25,4,FALSE)+0)+(VLOOKUP(宠物属性点预览!$B76,宠物成长!$D$30:$E$129,2,FALSE)-宠物成长!$E$30)*宠物成长!$C$2/宠物成长!$C$3*(1+VLOOKUP(宠物属性点预览!N$2,宠物成长!$F$5:$K$25,3,FALSE)+0)</f>
        <v>2430.8615089253385</v>
      </c>
      <c r="O76" s="9">
        <f>(宠物成长!$C$1+宠物成长!$C$2/宠物成长!$C$3*宠物成长!$E$30)*(1+VLOOKUP(宠物属性点预览!O$2,宠物成长!$F$4:$K$25,4,FALSE)+0)+(VLOOKUP(宠物属性点预览!$B76,宠物成长!$D$30:$E$129,2,FALSE)-宠物成长!$E$30)*宠物成长!$C$2/宠物成长!$C$3*(1+VLOOKUP(宠物属性点预览!O$2,宠物成长!$F$5:$K$25,3,FALSE)+0)</f>
        <v>2705.8230473868766</v>
      </c>
      <c r="P76" s="9">
        <f>(宠物成长!$C$1+宠物成长!$C$2/宠物成长!$C$3*宠物成长!$E$30)*(1+VLOOKUP(宠物属性点预览!P$2,宠物成长!$F$4:$K$25,4,FALSE)+0)+(VLOOKUP(宠物属性点预览!$B76,宠物成长!$D$30:$E$129,2,FALSE)-宠物成长!$E$30)*宠物成长!$C$2/宠物成长!$C$3*(1+VLOOKUP(宠物属性点预览!P$2,宠物成长!$F$5:$K$25,3,FALSE)+0)</f>
        <v>2981.6212930009119</v>
      </c>
      <c r="Q76" s="9">
        <f>(宠物成长!$C$1+宠物成长!$C$2/宠物成长!$C$3*宠物成长!$E$30)*(1+VLOOKUP(宠物属性点预览!Q$2,宠物成长!$F$4:$K$25,4,FALSE)+0)+(VLOOKUP(宠物属性点预览!$B76,宠物成长!$D$30:$E$129,2,FALSE)-宠物成长!$E$30)*宠物成长!$C$2/宠物成长!$C$3*(1+VLOOKUP(宠物属性点预览!Q$2,宠物成长!$F$5:$K$25,3,FALSE)+0)</f>
        <v>3258.1212930009119</v>
      </c>
      <c r="R76" s="9">
        <f>(宠物成长!$C$1+宠物成长!$C$2/宠物成长!$C$3*宠物成长!$E$30)*(1+VLOOKUP(宠物属性点预览!R$2,宠物成长!$F$4:$K$25,4,FALSE)+0)+(VLOOKUP(宠物属性点预览!$B76,宠物成长!$D$30:$E$129,2,FALSE)-宠物成长!$E$30)*宠物成长!$C$2/宠物成长!$C$3*(1+VLOOKUP(宠物属性点预览!R$2,宠物成长!$F$5:$K$25,3,FALSE)+0)</f>
        <v>3535.218307926285</v>
      </c>
      <c r="S76" s="9">
        <f>(宠物成长!$C$1+宠物成长!$C$2/宠物成长!$C$3*宠物成长!$E$30)*(1+VLOOKUP(宠物属性点预览!S$2,宠物成长!$F$4:$K$25,4,FALSE)+0)+(VLOOKUP(宠物属性点预览!$B76,宠物成长!$D$30:$E$129,2,FALSE)-宠物成长!$E$30)*宠物成长!$C$2/宠物成长!$C$3*(1+VLOOKUP(宠物属性点预览!S$2,宠物成长!$F$5:$K$25,3,FALSE)+0)</f>
        <v>3812.8294190373958</v>
      </c>
      <c r="T76" s="83">
        <f t="shared" si="15"/>
        <v>3258.1212930009119</v>
      </c>
      <c r="V76" s="9">
        <f>(宠物成长!$C$1+宠物成长!$C$2/宠物成长!$C$3*宠物成长!$E$30)*(1+宠物成长!$I$19+VLOOKUP(宠物属性点预览!V$2,宠物成长!$O$5:$R$10,3,FALSE))+(VLOOKUP(宠物属性点预览!$B76,宠物成长!$D$30:$E$129,2,FALSE)-宠物成长!$E$30)*宠物成长!$C$2/宠物成长!$C$3*(1+宠物成长!$H$19+VLOOKUP(宠物属性点预览!V$2,宠物成长!$O$5:$R$10,2,FALSE))</f>
        <v>3258.1212930009119</v>
      </c>
      <c r="W76" s="9">
        <f>(宠物成长!$C$1+宠物成长!$C$2/宠物成长!$C$3*宠物成长!$E$30)*(1+宠物成长!$I$19+VLOOKUP(宠物属性点预览!W$2,宠物成长!$O$5:$R$10,3,FALSE))+(VLOOKUP(宠物属性点预览!$B76,宠物成长!$D$30:$E$129,2,FALSE)-宠物成长!$E$30)*宠物成长!$C$2/宠物成长!$C$3*(1+宠物成长!$H$19+VLOOKUP(宠物属性点预览!W$2,宠物成长!$O$5:$R$10,2,FALSE))</f>
        <v>3641.1212930009119</v>
      </c>
      <c r="X76" s="9">
        <f>(宠物成长!$C$1+宠物成长!$C$2/宠物成长!$C$3*宠物成长!$E$30)*(1+宠物成长!$I$19+VLOOKUP(宠物属性点预览!X$2,宠物成长!$O$5:$R$10,3,FALSE))+(VLOOKUP(宠物属性点预览!$B76,宠物成长!$D$30:$E$129,2,FALSE)-宠物成长!$E$30)*宠物成长!$C$2/宠物成长!$C$3*(1+宠物成长!$H$19+VLOOKUP(宠物属性点预览!X$2,宠物成长!$O$5:$R$10,2,FALSE))</f>
        <v>4086.1212930009119</v>
      </c>
      <c r="Y76" s="9">
        <f>(宠物成长!$C$1+宠物成长!$C$2/宠物成长!$C$3*宠物成长!$E$30)*(1+宠物成长!$I$19+VLOOKUP(宠物属性点预览!Y$2,宠物成长!$O$5:$R$10,3,FALSE))+(VLOOKUP(宠物属性点预览!$B76,宠物成长!$D$30:$E$129,2,FALSE)-宠物成长!$E$30)*宠物成长!$C$2/宠物成长!$C$3*(1+宠物成长!$H$19+VLOOKUP(宠物属性点预览!Y$2,宠物成长!$O$5:$R$10,2,FALSE))</f>
        <v>4593.1212930009115</v>
      </c>
      <c r="Z76" s="9">
        <f>(宠物成长!$C$1+宠物成长!$C$2/宠物成长!$C$3*宠物成长!$E$30)*(1+宠物成长!$I$19+VLOOKUP(宠物属性点预览!Z$2,宠物成长!$O$5:$R$10,3,FALSE))+(VLOOKUP(宠物属性点预览!$B76,宠物成长!$D$30:$E$129,2,FALSE)-宠物成长!$E$30)*宠物成长!$C$2/宠物成长!$C$3*(1+宠物成长!$H$19+VLOOKUP(宠物属性点预览!Z$2,宠物成长!$O$5:$R$10,2,FALSE))</f>
        <v>5100.1212930009115</v>
      </c>
    </row>
    <row r="77" spans="2:27" x14ac:dyDescent="0.15">
      <c r="B77" s="1">
        <v>75</v>
      </c>
      <c r="C77" s="9">
        <f>(宠物成长!$C$1+宠物成长!$C$2/宠物成长!$C$3*宠物成长!$E$30)*(1+VLOOKUP(宠物属性点预览!C$2,宠物成长!$F$4:$K$25,4,FALSE)+0)+(VLOOKUP(宠物属性点预览!$B77,宠物成长!$D$30:$E$129,2,FALSE)-宠物成长!$E$30)*宠物成长!$C$2/宠物成长!$C$3*(1+VLOOKUP(宠物属性点预览!C$2,宠物成长!$F$5:$K$25,3,FALSE)+0)</f>
        <v>321</v>
      </c>
      <c r="D77" s="9">
        <f>(宠物成长!$C$1+宠物成长!$C$2/宠物成长!$C$3*宠物成长!$E$30)*(1+VLOOKUP(宠物属性点预览!D$2,宠物成长!$F$4:$K$25,4,FALSE)+0)+(VLOOKUP(宠物属性点预览!$B77,宠物成长!$D$30:$E$129,2,FALSE)-宠物成长!$E$30)*宠物成长!$C$2/宠物成长!$C$3*(1+VLOOKUP(宠物属性点预览!D$2,宠物成长!$F$5:$K$25,3,FALSE)+0)</f>
        <v>367.5</v>
      </c>
      <c r="E77" s="9">
        <f>(宠物成长!$C$1+宠物成长!$C$2/宠物成长!$C$3*宠物成长!$E$30)*(1+VLOOKUP(宠物属性点预览!E$2,宠物成长!$F$4:$K$25,4,FALSE)+0)+(VLOOKUP(宠物属性点预览!$B77,宠物成长!$D$30:$E$129,2,FALSE)-宠物成长!$E$30)*宠物成长!$C$2/宠物成长!$C$3*(1+VLOOKUP(宠物属性点预览!E$2,宠物成长!$F$5:$K$25,3,FALSE)+0)</f>
        <v>432.6</v>
      </c>
      <c r="F77" s="9">
        <f>(宠物成长!$C$1+宠物成长!$C$2/宠物成长!$C$3*宠物成长!$E$30)*(1+VLOOKUP(宠物属性点预览!F$2,宠物成长!$F$4:$K$25,4,FALSE)+0)+(VLOOKUP(宠物属性点预览!$B77,宠物成长!$D$30:$E$129,2,FALSE)-宠物成长!$E$30)*宠物成长!$C$2/宠物成长!$C$3*(1+VLOOKUP(宠物属性点预览!F$2,宠物成长!$F$5:$K$25,3,FALSE)+0)</f>
        <v>519.40000000000009</v>
      </c>
      <c r="G77" s="9">
        <f>(宠物成长!$C$1+宠物成长!$C$2/宠物成长!$C$3*宠物成长!$E$30)*(1+VLOOKUP(宠物属性点预览!G$2,宠物成长!$F$4:$K$25,4,FALSE)+0)+(VLOOKUP(宠物属性点预览!$B77,宠物成长!$D$30:$E$129,2,FALSE)-宠物成长!$E$30)*宠物成长!$C$2/宠物成长!$C$3*(1+VLOOKUP(宠物属性点预览!G$2,宠物成长!$F$5:$K$25,3,FALSE)+0)</f>
        <v>655.59999999999991</v>
      </c>
      <c r="H77" s="9">
        <f>(宠物成长!$C$1+宠物成长!$C$2/宠物成长!$C$3*宠物成长!$E$30)*(1+VLOOKUP(宠物属性点预览!H$2,宠物成长!$F$4:$K$25,4,FALSE)+0)+(VLOOKUP(宠物属性点预览!$B77,宠物成长!$D$30:$E$129,2,FALSE)-宠物成长!$E$30)*宠物成长!$C$2/宠物成长!$C$3*(1+VLOOKUP(宠物属性点预览!H$2,宠物成长!$F$5:$K$25,3,FALSE)+0)</f>
        <v>841.4</v>
      </c>
      <c r="I77" s="9">
        <f>(宠物成长!$C$1+宠物成长!$C$2/宠物成长!$C$3*宠物成长!$E$30)*(1+VLOOKUP(宠物属性点预览!I$2,宠物成长!$F$4:$K$25,4,FALSE)+0)+(VLOOKUP(宠物属性点预览!$B77,宠物成长!$D$30:$E$129,2,FALSE)-宠物成长!$E$30)*宠物成长!$C$2/宠物成长!$C$3*(1+VLOOKUP(宠物属性点预览!I$2,宠物成长!$F$5:$K$25,3,FALSE)+0)</f>
        <v>1083</v>
      </c>
      <c r="J77" s="9">
        <f>(宠物成长!$C$1+宠物成长!$C$2/宠物成长!$C$3*宠物成长!$E$30)*(1+VLOOKUP(宠物属性点预览!J$2,宠物成长!$F$4:$K$25,4,FALSE)+0)+(VLOOKUP(宠物属性点预览!$B77,宠物成长!$D$30:$E$129,2,FALSE)-宠物成长!$E$30)*宠物成长!$C$2/宠物成长!$C$3*(1+VLOOKUP(宠物属性点预览!J$2,宠物成长!$F$5:$K$25,3,FALSE)+0)</f>
        <v>1349.6296296296296</v>
      </c>
      <c r="K77" s="9">
        <f>(宠物成长!$C$1+宠物成长!$C$2/宠物成长!$C$3*宠物成长!$E$30)*(1+VLOOKUP(宠物属性点预览!K$2,宠物成长!$F$4:$K$25,4,FALSE)+0)+(VLOOKUP(宠物属性点预览!$B77,宠物成长!$D$30:$E$129,2,FALSE)-宠物成长!$E$30)*宠物成长!$C$2/宠物成长!$C$3*(1+VLOOKUP(宠物属性点预览!K$2,宠物成长!$F$5:$K$25,3,FALSE)+0)</f>
        <v>1619.1296296296296</v>
      </c>
      <c r="L77" s="9">
        <f>(宠物成长!$C$1+宠物成长!$C$2/宠物成长!$C$3*宠物成长!$E$30)*(1+VLOOKUP(宠物属性点预览!L$2,宠物成长!$F$4:$K$25,4,FALSE)+0)+(VLOOKUP(宠物属性点预览!$B77,宠物成长!$D$30:$E$129,2,FALSE)-宠物成长!$E$30)*宠物成长!$C$2/宠物成长!$C$3*(1+VLOOKUP(宠物属性点预览!L$2,宠物成长!$F$5:$K$25,3,FALSE)+0)</f>
        <v>1890.7242242242241</v>
      </c>
      <c r="M77" s="9">
        <f>(宠物成长!$C$1+宠物成长!$C$2/宠物成长!$C$3*宠物成长!$E$30)*(1+VLOOKUP(宠物属性点预览!M$2,宠物成长!$F$4:$K$25,4,FALSE)+0)+(VLOOKUP(宠物属性点预览!$B77,宠物成长!$D$30:$E$129,2,FALSE)-宠物成长!$E$30)*宠物成长!$C$2/宠物成长!$C$3*(1+VLOOKUP(宠物属性点预览!M$2,宠物成长!$F$5:$K$25,3,FALSE)+0)</f>
        <v>2163.9147004147003</v>
      </c>
      <c r="N77" s="9">
        <f>(宠物成长!$C$1+宠物成长!$C$2/宠物成长!$C$3*宠物成长!$E$30)*(1+VLOOKUP(宠物属性点预览!N$2,宠物成长!$F$4:$K$25,4,FALSE)+0)+(VLOOKUP(宠物属性点预览!$B77,宠物成长!$D$30:$E$129,2,FALSE)-宠物成长!$E$30)*宠物成长!$C$2/宠物成长!$C$3*(1+VLOOKUP(宠物属性点预览!N$2,宠物成长!$F$5:$K$25,3,FALSE)+0)</f>
        <v>2438.3615089253385</v>
      </c>
      <c r="O77" s="9">
        <f>(宠物成长!$C$1+宠物成长!$C$2/宠物成长!$C$3*宠物成长!$E$30)*(1+VLOOKUP(宠物属性点预览!O$2,宠物成长!$F$4:$K$25,4,FALSE)+0)+(VLOOKUP(宠物属性点预览!$B77,宠物成长!$D$30:$E$129,2,FALSE)-宠物成长!$E$30)*宠物成长!$C$2/宠物成长!$C$3*(1+VLOOKUP(宠物属性点预览!O$2,宠物成长!$F$5:$K$25,3,FALSE)+0)</f>
        <v>2713.8230473868766</v>
      </c>
      <c r="P77" s="9">
        <f>(宠物成长!$C$1+宠物成长!$C$2/宠物成长!$C$3*宠物成长!$E$30)*(1+VLOOKUP(宠物属性点预览!P$2,宠物成长!$F$4:$K$25,4,FALSE)+0)+(VLOOKUP(宠物属性点预览!$B77,宠物成长!$D$30:$E$129,2,FALSE)-宠物成长!$E$30)*宠物成长!$C$2/宠物成长!$C$3*(1+VLOOKUP(宠物属性点预览!P$2,宠物成长!$F$5:$K$25,3,FALSE)+0)</f>
        <v>2990.1212930009119</v>
      </c>
      <c r="Q77" s="9">
        <f>(宠物成长!$C$1+宠物成长!$C$2/宠物成长!$C$3*宠物成长!$E$30)*(1+VLOOKUP(宠物属性点预览!Q$2,宠物成长!$F$4:$K$25,4,FALSE)+0)+(VLOOKUP(宠物属性点预览!$B77,宠物成长!$D$30:$E$129,2,FALSE)-宠物成长!$E$30)*宠物成长!$C$2/宠物成长!$C$3*(1+VLOOKUP(宠物属性点预览!Q$2,宠物成长!$F$5:$K$25,3,FALSE)+0)</f>
        <v>3267.1212930009119</v>
      </c>
      <c r="R77" s="83">
        <f>(宠物成长!$C$1+宠物成长!$C$2/宠物成长!$C$3*宠物成长!$E$30)*(1+VLOOKUP(宠物属性点预览!R$2,宠物成长!$F$4:$K$25,4,FALSE)+0)+(VLOOKUP(宠物属性点预览!$B77,宠物成长!$D$30:$E$129,2,FALSE)-宠物成长!$E$30)*宠物成长!$C$2/宠物成长!$C$3*(1+VLOOKUP(宠物属性点预览!R$2,宠物成长!$F$5:$K$25,3,FALSE)+0)</f>
        <v>3544.718307926285</v>
      </c>
      <c r="S77" s="9">
        <f>(宠物成长!$C$1+宠物成长!$C$2/宠物成长!$C$3*宠物成长!$E$30)*(1+VLOOKUP(宠物属性点预览!S$2,宠物成长!$F$4:$K$25,4,FALSE)+0)+(VLOOKUP(宠物属性点预览!$B77,宠物成长!$D$30:$E$129,2,FALSE)-宠物成长!$E$30)*宠物成长!$C$2/宠物成长!$C$3*(1+VLOOKUP(宠物属性点预览!S$2,宠物成长!$F$5:$K$25,3,FALSE)+0)</f>
        <v>3822.8294190373958</v>
      </c>
      <c r="T77" s="83">
        <f t="shared" si="15"/>
        <v>3267.1212930009119</v>
      </c>
      <c r="U77" s="9">
        <f>R77</f>
        <v>3544.718307926285</v>
      </c>
      <c r="V77" s="9">
        <f>(宠物成长!$C$1+宠物成长!$C$2/宠物成长!$C$3*宠物成长!$E$30)*(1+宠物成长!$I$20+VLOOKUP(宠物属性点预览!V$2,宠物成长!$O$5:$R$10,3,FALSE))+(VLOOKUP(宠物属性点预览!$B77,宠物成长!$D$30:$E$129,2,FALSE)-宠物成长!$E$30)*宠物成长!$C$2/宠物成长!$C$3*(1+宠物成长!$H$20+VLOOKUP(宠物属性点预览!V$2,宠物成长!$O$5:$R$10,2,FALSE))</f>
        <v>3544.718307926285</v>
      </c>
      <c r="W77" s="9">
        <f>(宠物成长!$C$1+宠物成长!$C$2/宠物成长!$C$3*宠物成长!$E$30)*(1+宠物成长!$I$20+VLOOKUP(宠物属性点预览!W$2,宠物成长!$O$5:$R$10,3,FALSE))+(VLOOKUP(宠物属性点预览!$B77,宠物成长!$D$30:$E$129,2,FALSE)-宠物成长!$E$30)*宠物成长!$C$2/宠物成长!$C$3*(1+宠物成长!$H$20+VLOOKUP(宠物属性点预览!W$2,宠物成长!$O$5:$R$10,2,FALSE))</f>
        <v>3928.718307926285</v>
      </c>
      <c r="X77" s="9">
        <f>(宠物成长!$C$1+宠物成长!$C$2/宠物成长!$C$3*宠物成长!$E$30)*(1+宠物成长!$I$20+VLOOKUP(宠物属性点预览!X$2,宠物成长!$O$5:$R$10,3,FALSE))+(VLOOKUP(宠物属性点预览!$B77,宠物成长!$D$30:$E$129,2,FALSE)-宠物成长!$E$30)*宠物成长!$C$2/宠物成长!$C$3*(1+宠物成长!$H$20+VLOOKUP(宠物属性点预览!X$2,宠物成长!$O$5:$R$10,2,FALSE))</f>
        <v>4374.718307926285</v>
      </c>
      <c r="Y77" s="9">
        <f>(宠物成长!$C$1+宠物成长!$C$2/宠物成长!$C$3*宠物成长!$E$30)*(1+宠物成长!$I$20+VLOOKUP(宠物属性点预览!Y$2,宠物成长!$O$5:$R$10,3,FALSE))+(VLOOKUP(宠物属性点预览!$B77,宠物成长!$D$30:$E$129,2,FALSE)-宠物成长!$E$30)*宠物成长!$C$2/宠物成长!$C$3*(1+宠物成长!$H$20+VLOOKUP(宠物属性点预览!Y$2,宠物成长!$O$5:$R$10,2,FALSE))</f>
        <v>4882.718307926285</v>
      </c>
      <c r="Z77" s="9">
        <f>(宠物成长!$C$1+宠物成长!$C$2/宠物成长!$C$3*宠物成长!$E$30)*(1+宠物成长!$I$20+VLOOKUP(宠物属性点预览!Z$2,宠物成长!$O$5:$R$10,3,FALSE))+(VLOOKUP(宠物属性点预览!$B77,宠物成长!$D$30:$E$129,2,FALSE)-宠物成长!$E$30)*宠物成长!$C$2/宠物成长!$C$3*(1+宠物成长!$H$20+VLOOKUP(宠物属性点预览!Z$2,宠物成长!$O$5:$R$10,2,FALSE))</f>
        <v>5390.718307926285</v>
      </c>
    </row>
    <row r="78" spans="2:27" x14ac:dyDescent="0.15">
      <c r="B78" s="1">
        <v>76</v>
      </c>
      <c r="C78" s="9">
        <f>(宠物成长!$C$1+宠物成长!$C$2/宠物成长!$C$3*宠物成长!$E$30)*(1+VLOOKUP(宠物属性点预览!C$2,宠物成长!$F$4:$K$25,4,FALSE)+0)+(VLOOKUP(宠物属性点预览!$B78,宠物成长!$D$30:$E$129,2,FALSE)-宠物成长!$E$30)*宠物成长!$C$2/宠物成长!$C$3*(1+VLOOKUP(宠物属性点预览!C$2,宠物成长!$F$5:$K$25,3,FALSE)+0)</f>
        <v>324.5</v>
      </c>
      <c r="D78" s="9">
        <f>(宠物成长!$C$1+宠物成长!$C$2/宠物成长!$C$3*宠物成长!$E$30)*(1+VLOOKUP(宠物属性点预览!D$2,宠物成长!$F$4:$K$25,4,FALSE)+0)+(VLOOKUP(宠物属性点预览!$B78,宠物成长!$D$30:$E$129,2,FALSE)-宠物成长!$E$30)*宠物成长!$C$2/宠物成长!$C$3*(1+VLOOKUP(宠物属性点预览!D$2,宠物成长!$F$5:$K$25,3,FALSE)+0)</f>
        <v>371</v>
      </c>
      <c r="E78" s="9">
        <f>(宠物成长!$C$1+宠物成长!$C$2/宠物成长!$C$3*宠物成长!$E$30)*(1+VLOOKUP(宠物属性点预览!E$2,宠物成长!$F$4:$K$25,4,FALSE)+0)+(VLOOKUP(宠物属性点预览!$B78,宠物成长!$D$30:$E$129,2,FALSE)-宠物成长!$E$30)*宠物成长!$C$2/宠物成长!$C$3*(1+VLOOKUP(宠物属性点预览!E$2,宠物成长!$F$5:$K$25,3,FALSE)+0)</f>
        <v>436.1</v>
      </c>
      <c r="F78" s="9">
        <f>(宠物成长!$C$1+宠物成长!$C$2/宠物成长!$C$3*宠物成长!$E$30)*(1+VLOOKUP(宠物属性点预览!F$2,宠物成长!$F$4:$K$25,4,FALSE)+0)+(VLOOKUP(宠物属性点预览!$B78,宠物成长!$D$30:$E$129,2,FALSE)-宠物成长!$E$30)*宠物成长!$C$2/宠物成长!$C$3*(1+VLOOKUP(宠物属性点预览!F$2,宠物成长!$F$5:$K$25,3,FALSE)+0)</f>
        <v>522.90000000000009</v>
      </c>
      <c r="G78" s="9">
        <f>(宠物成长!$C$1+宠物成长!$C$2/宠物成长!$C$3*宠物成长!$E$30)*(1+VLOOKUP(宠物属性点预览!G$2,宠物成长!$F$4:$K$25,4,FALSE)+0)+(VLOOKUP(宠物属性点预览!$B78,宠物成长!$D$30:$E$129,2,FALSE)-宠物成长!$E$30)*宠物成长!$C$2/宠物成长!$C$3*(1+VLOOKUP(宠物属性点预览!G$2,宠物成长!$F$5:$K$25,3,FALSE)+0)</f>
        <v>659.59999999999991</v>
      </c>
      <c r="H78" s="9">
        <f>(宠物成长!$C$1+宠物成长!$C$2/宠物成长!$C$3*宠物成长!$E$30)*(1+VLOOKUP(宠物属性点预览!H$2,宠物成长!$F$4:$K$25,4,FALSE)+0)+(VLOOKUP(宠物属性点预览!$B78,宠物成长!$D$30:$E$129,2,FALSE)-宠物成长!$E$30)*宠物成长!$C$2/宠物成长!$C$3*(1+VLOOKUP(宠物属性点预览!H$2,宠物成长!$F$5:$K$25,3,FALSE)+0)</f>
        <v>845.9</v>
      </c>
      <c r="I78" s="9">
        <f>(宠物成长!$C$1+宠物成长!$C$2/宠物成长!$C$3*宠物成长!$E$30)*(1+VLOOKUP(宠物属性点预览!I$2,宠物成长!$F$4:$K$25,4,FALSE)+0)+(VLOOKUP(宠物属性点预览!$B78,宠物成长!$D$30:$E$129,2,FALSE)-宠物成长!$E$30)*宠物成长!$C$2/宠物成长!$C$3*(1+VLOOKUP(宠物属性点预览!I$2,宠物成长!$F$5:$K$25,3,FALSE)+0)</f>
        <v>1088</v>
      </c>
      <c r="J78" s="9">
        <f>(宠物成长!$C$1+宠物成长!$C$2/宠物成长!$C$3*宠物成长!$E$30)*(1+VLOOKUP(宠物属性点预览!J$2,宠物成长!$F$4:$K$25,4,FALSE)+0)+(VLOOKUP(宠物属性点预览!$B78,宠物成长!$D$30:$E$129,2,FALSE)-宠物成长!$E$30)*宠物成长!$C$2/宠物成长!$C$3*(1+VLOOKUP(宠物属性点预览!J$2,宠物成长!$F$5:$K$25,3,FALSE)+0)</f>
        <v>1355.1296296296296</v>
      </c>
      <c r="K78" s="9">
        <f>(宠物成长!$C$1+宠物成长!$C$2/宠物成长!$C$3*宠物成长!$E$30)*(1+VLOOKUP(宠物属性点预览!K$2,宠物成长!$F$4:$K$25,4,FALSE)+0)+(VLOOKUP(宠物属性点预览!$B78,宠物成长!$D$30:$E$129,2,FALSE)-宠物成长!$E$30)*宠物成长!$C$2/宠物成长!$C$3*(1+VLOOKUP(宠物属性点预览!K$2,宠物成长!$F$5:$K$25,3,FALSE)+0)</f>
        <v>1625.1296296296296</v>
      </c>
      <c r="L78" s="9">
        <f>(宠物成长!$C$1+宠物成长!$C$2/宠物成长!$C$3*宠物成长!$E$30)*(1+VLOOKUP(宠物属性点预览!L$2,宠物成长!$F$4:$K$25,4,FALSE)+0)+(VLOOKUP(宠物属性点预览!$B78,宠物成长!$D$30:$E$129,2,FALSE)-宠物成长!$E$30)*宠物成长!$C$2/宠物成长!$C$3*(1+VLOOKUP(宠物属性点预览!L$2,宠物成长!$F$5:$K$25,3,FALSE)+0)</f>
        <v>1897.2242242242241</v>
      </c>
      <c r="M78" s="9">
        <f>(宠物成长!$C$1+宠物成长!$C$2/宠物成长!$C$3*宠物成长!$E$30)*(1+VLOOKUP(宠物属性点预览!M$2,宠物成长!$F$4:$K$25,4,FALSE)+0)+(VLOOKUP(宠物属性点预览!$B78,宠物成长!$D$30:$E$129,2,FALSE)-宠物成长!$E$30)*宠物成长!$C$2/宠物成长!$C$3*(1+VLOOKUP(宠物属性点预览!M$2,宠物成长!$F$5:$K$25,3,FALSE)+0)</f>
        <v>2170.9147004147003</v>
      </c>
      <c r="N78" s="9">
        <f>(宠物成长!$C$1+宠物成长!$C$2/宠物成长!$C$3*宠物成长!$E$30)*(1+VLOOKUP(宠物属性点预览!N$2,宠物成长!$F$4:$K$25,4,FALSE)+0)+(VLOOKUP(宠物属性点预览!$B78,宠物成长!$D$30:$E$129,2,FALSE)-宠物成长!$E$30)*宠物成长!$C$2/宠物成长!$C$3*(1+VLOOKUP(宠物属性点预览!N$2,宠物成长!$F$5:$K$25,3,FALSE)+0)</f>
        <v>2445.8615089253385</v>
      </c>
      <c r="O78" s="9">
        <f>(宠物成长!$C$1+宠物成长!$C$2/宠物成长!$C$3*宠物成长!$E$30)*(1+VLOOKUP(宠物属性点预览!O$2,宠物成长!$F$4:$K$25,4,FALSE)+0)+(VLOOKUP(宠物属性点预览!$B78,宠物成长!$D$30:$E$129,2,FALSE)-宠物成长!$E$30)*宠物成长!$C$2/宠物成长!$C$3*(1+VLOOKUP(宠物属性点预览!O$2,宠物成长!$F$5:$K$25,3,FALSE)+0)</f>
        <v>2721.8230473868766</v>
      </c>
      <c r="P78" s="9">
        <f>(宠物成长!$C$1+宠物成长!$C$2/宠物成长!$C$3*宠物成长!$E$30)*(1+VLOOKUP(宠物属性点预览!P$2,宠物成长!$F$4:$K$25,4,FALSE)+0)+(VLOOKUP(宠物属性点预览!$B78,宠物成长!$D$30:$E$129,2,FALSE)-宠物成长!$E$30)*宠物成长!$C$2/宠物成长!$C$3*(1+VLOOKUP(宠物属性点预览!P$2,宠物成长!$F$5:$K$25,3,FALSE)+0)</f>
        <v>2998.6212930009119</v>
      </c>
      <c r="Q78" s="9">
        <f>(宠物成长!$C$1+宠物成长!$C$2/宠物成长!$C$3*宠物成长!$E$30)*(1+VLOOKUP(宠物属性点预览!Q$2,宠物成长!$F$4:$K$25,4,FALSE)+0)+(VLOOKUP(宠物属性点预览!$B78,宠物成长!$D$30:$E$129,2,FALSE)-宠物成长!$E$30)*宠物成长!$C$2/宠物成长!$C$3*(1+VLOOKUP(宠物属性点预览!Q$2,宠物成长!$F$5:$K$25,3,FALSE)+0)</f>
        <v>3276.1212930009119</v>
      </c>
      <c r="R78" s="9">
        <f>(宠物成长!$C$1+宠物成长!$C$2/宠物成长!$C$3*宠物成长!$E$30)*(1+VLOOKUP(宠物属性点预览!R$2,宠物成长!$F$4:$K$25,4,FALSE)+0)+(VLOOKUP(宠物属性点预览!$B78,宠物成长!$D$30:$E$129,2,FALSE)-宠物成长!$E$30)*宠物成长!$C$2/宠物成长!$C$3*(1+VLOOKUP(宠物属性点预览!R$2,宠物成长!$F$5:$K$25,3,FALSE)+0)</f>
        <v>3554.218307926285</v>
      </c>
      <c r="S78" s="9">
        <f>(宠物成长!$C$1+宠物成长!$C$2/宠物成长!$C$3*宠物成长!$E$30)*(1+VLOOKUP(宠物属性点预览!S$2,宠物成长!$F$4:$K$25,4,FALSE)+0)+(VLOOKUP(宠物属性点预览!$B78,宠物成长!$D$30:$E$129,2,FALSE)-宠物成长!$E$30)*宠物成长!$C$2/宠物成长!$C$3*(1+VLOOKUP(宠物属性点预览!S$2,宠物成长!$F$5:$K$25,3,FALSE)+0)</f>
        <v>3832.8294190373958</v>
      </c>
      <c r="T78" s="83">
        <f>R78</f>
        <v>3554.218307926285</v>
      </c>
      <c r="V78" s="9">
        <f>(宠物成长!$C$1+宠物成长!$C$2/宠物成长!$C$3*宠物成长!$E$30)*(1+宠物成长!$I$20+VLOOKUP(宠物属性点预览!V$2,宠物成长!$O$5:$R$10,3,FALSE))+(VLOOKUP(宠物属性点预览!$B78,宠物成长!$D$30:$E$129,2,FALSE)-宠物成长!$E$30)*宠物成长!$C$2/宠物成长!$C$3*(1+宠物成长!$H$20+VLOOKUP(宠物属性点预览!V$2,宠物成长!$O$5:$R$10,2,FALSE))</f>
        <v>3554.218307926285</v>
      </c>
      <c r="W78" s="9">
        <f>(宠物成长!$C$1+宠物成长!$C$2/宠物成长!$C$3*宠物成长!$E$30)*(1+宠物成长!$I$20+VLOOKUP(宠物属性点预览!W$2,宠物成长!$O$5:$R$10,3,FALSE))+(VLOOKUP(宠物属性点预览!$B78,宠物成长!$D$30:$E$129,2,FALSE)-宠物成长!$E$30)*宠物成长!$C$2/宠物成长!$C$3*(1+宠物成长!$H$20+VLOOKUP(宠物属性点预览!W$2,宠物成长!$O$5:$R$10,2,FALSE))</f>
        <v>3939.218307926285</v>
      </c>
      <c r="X78" s="9">
        <f>(宠物成长!$C$1+宠物成长!$C$2/宠物成长!$C$3*宠物成长!$E$30)*(1+宠物成长!$I$20+VLOOKUP(宠物属性点预览!X$2,宠物成长!$O$5:$R$10,3,FALSE))+(VLOOKUP(宠物属性点预览!$B78,宠物成长!$D$30:$E$129,2,FALSE)-宠物成长!$E$30)*宠物成长!$C$2/宠物成长!$C$3*(1+宠物成长!$H$20+VLOOKUP(宠物属性点预览!X$2,宠物成长!$O$5:$R$10,2,FALSE))</f>
        <v>4386.218307926285</v>
      </c>
      <c r="Y78" s="9">
        <f>(宠物成长!$C$1+宠物成长!$C$2/宠物成长!$C$3*宠物成长!$E$30)*(1+宠物成长!$I$20+VLOOKUP(宠物属性点预览!Y$2,宠物成长!$O$5:$R$10,3,FALSE))+(VLOOKUP(宠物属性点预览!$B78,宠物成长!$D$30:$E$129,2,FALSE)-宠物成长!$E$30)*宠物成长!$C$2/宠物成长!$C$3*(1+宠物成长!$H$20+VLOOKUP(宠物属性点预览!Y$2,宠物成长!$O$5:$R$10,2,FALSE))</f>
        <v>4895.218307926285</v>
      </c>
      <c r="Z78" s="9">
        <f>(宠物成长!$C$1+宠物成长!$C$2/宠物成长!$C$3*宠物成长!$E$30)*(1+宠物成长!$I$20+VLOOKUP(宠物属性点预览!Z$2,宠物成长!$O$5:$R$10,3,FALSE))+(VLOOKUP(宠物属性点预览!$B78,宠物成长!$D$30:$E$129,2,FALSE)-宠物成长!$E$30)*宠物成长!$C$2/宠物成长!$C$3*(1+宠物成长!$H$20+VLOOKUP(宠物属性点预览!Z$2,宠物成长!$O$5:$R$10,2,FALSE))</f>
        <v>5404.218307926285</v>
      </c>
    </row>
    <row r="79" spans="2:27" x14ac:dyDescent="0.15">
      <c r="B79" s="1">
        <v>77</v>
      </c>
      <c r="C79" s="9">
        <f>(宠物成长!$C$1+宠物成长!$C$2/宠物成长!$C$3*宠物成长!$E$30)*(1+VLOOKUP(宠物属性点预览!C$2,宠物成长!$F$4:$K$25,4,FALSE)+0)+(VLOOKUP(宠物属性点预览!$B79,宠物成长!$D$30:$E$129,2,FALSE)-宠物成长!$E$30)*宠物成长!$C$2/宠物成长!$C$3*(1+VLOOKUP(宠物属性点预览!C$2,宠物成长!$F$5:$K$25,3,FALSE)+0)</f>
        <v>328</v>
      </c>
      <c r="D79" s="9">
        <f>(宠物成长!$C$1+宠物成长!$C$2/宠物成长!$C$3*宠物成长!$E$30)*(1+VLOOKUP(宠物属性点预览!D$2,宠物成长!$F$4:$K$25,4,FALSE)+0)+(VLOOKUP(宠物属性点预览!$B79,宠物成长!$D$30:$E$129,2,FALSE)-宠物成长!$E$30)*宠物成长!$C$2/宠物成长!$C$3*(1+VLOOKUP(宠物属性点预览!D$2,宠物成长!$F$5:$K$25,3,FALSE)+0)</f>
        <v>374.5</v>
      </c>
      <c r="E79" s="9">
        <f>(宠物成长!$C$1+宠物成长!$C$2/宠物成长!$C$3*宠物成长!$E$30)*(1+VLOOKUP(宠物属性点预览!E$2,宠物成长!$F$4:$K$25,4,FALSE)+0)+(VLOOKUP(宠物属性点预览!$B79,宠物成长!$D$30:$E$129,2,FALSE)-宠物成长!$E$30)*宠物成长!$C$2/宠物成长!$C$3*(1+VLOOKUP(宠物属性点预览!E$2,宠物成长!$F$5:$K$25,3,FALSE)+0)</f>
        <v>439.6</v>
      </c>
      <c r="F79" s="9">
        <f>(宠物成长!$C$1+宠物成长!$C$2/宠物成长!$C$3*宠物成长!$E$30)*(1+VLOOKUP(宠物属性点预览!F$2,宠物成长!$F$4:$K$25,4,FALSE)+0)+(VLOOKUP(宠物属性点预览!$B79,宠物成长!$D$30:$E$129,2,FALSE)-宠物成长!$E$30)*宠物成长!$C$2/宠物成长!$C$3*(1+VLOOKUP(宠物属性点预览!F$2,宠物成长!$F$5:$K$25,3,FALSE)+0)</f>
        <v>526.40000000000009</v>
      </c>
      <c r="G79" s="9">
        <f>(宠物成长!$C$1+宠物成长!$C$2/宠物成长!$C$3*宠物成长!$E$30)*(1+VLOOKUP(宠物属性点预览!G$2,宠物成长!$F$4:$K$25,4,FALSE)+0)+(VLOOKUP(宠物属性点预览!$B79,宠物成长!$D$30:$E$129,2,FALSE)-宠物成长!$E$30)*宠物成长!$C$2/宠物成长!$C$3*(1+VLOOKUP(宠物属性点预览!G$2,宠物成长!$F$5:$K$25,3,FALSE)+0)</f>
        <v>663.59999999999991</v>
      </c>
      <c r="H79" s="9">
        <f>(宠物成长!$C$1+宠物成长!$C$2/宠物成长!$C$3*宠物成长!$E$30)*(1+VLOOKUP(宠物属性点预览!H$2,宠物成长!$F$4:$K$25,4,FALSE)+0)+(VLOOKUP(宠物属性点预览!$B79,宠物成长!$D$30:$E$129,2,FALSE)-宠物成长!$E$30)*宠物成长!$C$2/宠物成长!$C$3*(1+VLOOKUP(宠物属性点预览!H$2,宠物成长!$F$5:$K$25,3,FALSE)+0)</f>
        <v>850.4</v>
      </c>
      <c r="I79" s="9">
        <f>(宠物成长!$C$1+宠物成长!$C$2/宠物成长!$C$3*宠物成长!$E$30)*(1+VLOOKUP(宠物属性点预览!I$2,宠物成长!$F$4:$K$25,4,FALSE)+0)+(VLOOKUP(宠物属性点预览!$B79,宠物成长!$D$30:$E$129,2,FALSE)-宠物成长!$E$30)*宠物成长!$C$2/宠物成长!$C$3*(1+VLOOKUP(宠物属性点预览!I$2,宠物成长!$F$5:$K$25,3,FALSE)+0)</f>
        <v>1093</v>
      </c>
      <c r="J79" s="9">
        <f>(宠物成长!$C$1+宠物成长!$C$2/宠物成长!$C$3*宠物成长!$E$30)*(1+VLOOKUP(宠物属性点预览!J$2,宠物成长!$F$4:$K$25,4,FALSE)+0)+(VLOOKUP(宠物属性点预览!$B79,宠物成长!$D$30:$E$129,2,FALSE)-宠物成长!$E$30)*宠物成长!$C$2/宠物成长!$C$3*(1+VLOOKUP(宠物属性点预览!J$2,宠物成长!$F$5:$K$25,3,FALSE)+0)</f>
        <v>1360.6296296296296</v>
      </c>
      <c r="K79" s="9">
        <f>(宠物成长!$C$1+宠物成长!$C$2/宠物成长!$C$3*宠物成长!$E$30)*(1+VLOOKUP(宠物属性点预览!K$2,宠物成长!$F$4:$K$25,4,FALSE)+0)+(VLOOKUP(宠物属性点预览!$B79,宠物成长!$D$30:$E$129,2,FALSE)-宠物成长!$E$30)*宠物成长!$C$2/宠物成长!$C$3*(1+VLOOKUP(宠物属性点预览!K$2,宠物成长!$F$5:$K$25,3,FALSE)+0)</f>
        <v>1631.1296296296296</v>
      </c>
      <c r="L79" s="9">
        <f>(宠物成长!$C$1+宠物成长!$C$2/宠物成长!$C$3*宠物成长!$E$30)*(1+VLOOKUP(宠物属性点预览!L$2,宠物成长!$F$4:$K$25,4,FALSE)+0)+(VLOOKUP(宠物属性点预览!$B79,宠物成长!$D$30:$E$129,2,FALSE)-宠物成长!$E$30)*宠物成长!$C$2/宠物成长!$C$3*(1+VLOOKUP(宠物属性点预览!L$2,宠物成长!$F$5:$K$25,3,FALSE)+0)</f>
        <v>1903.7242242242241</v>
      </c>
      <c r="M79" s="9">
        <f>(宠物成长!$C$1+宠物成长!$C$2/宠物成长!$C$3*宠物成长!$E$30)*(1+VLOOKUP(宠物属性点预览!M$2,宠物成长!$F$4:$K$25,4,FALSE)+0)+(VLOOKUP(宠物属性点预览!$B79,宠物成长!$D$30:$E$129,2,FALSE)-宠物成长!$E$30)*宠物成长!$C$2/宠物成长!$C$3*(1+VLOOKUP(宠物属性点预览!M$2,宠物成长!$F$5:$K$25,3,FALSE)+0)</f>
        <v>2177.9147004147003</v>
      </c>
      <c r="N79" s="9">
        <f>(宠物成长!$C$1+宠物成长!$C$2/宠物成长!$C$3*宠物成长!$E$30)*(1+VLOOKUP(宠物属性点预览!N$2,宠物成长!$F$4:$K$25,4,FALSE)+0)+(VLOOKUP(宠物属性点预览!$B79,宠物成长!$D$30:$E$129,2,FALSE)-宠物成长!$E$30)*宠物成长!$C$2/宠物成长!$C$3*(1+VLOOKUP(宠物属性点预览!N$2,宠物成长!$F$5:$K$25,3,FALSE)+0)</f>
        <v>2453.3615089253385</v>
      </c>
      <c r="O79" s="9">
        <f>(宠物成长!$C$1+宠物成长!$C$2/宠物成长!$C$3*宠物成长!$E$30)*(1+VLOOKUP(宠物属性点预览!O$2,宠物成长!$F$4:$K$25,4,FALSE)+0)+(VLOOKUP(宠物属性点预览!$B79,宠物成长!$D$30:$E$129,2,FALSE)-宠物成长!$E$30)*宠物成长!$C$2/宠物成长!$C$3*(1+VLOOKUP(宠物属性点预览!O$2,宠物成长!$F$5:$K$25,3,FALSE)+0)</f>
        <v>2729.8230473868766</v>
      </c>
      <c r="P79" s="9">
        <f>(宠物成长!$C$1+宠物成长!$C$2/宠物成长!$C$3*宠物成长!$E$30)*(1+VLOOKUP(宠物属性点预览!P$2,宠物成长!$F$4:$K$25,4,FALSE)+0)+(VLOOKUP(宠物属性点预览!$B79,宠物成长!$D$30:$E$129,2,FALSE)-宠物成长!$E$30)*宠物成长!$C$2/宠物成长!$C$3*(1+VLOOKUP(宠物属性点预览!P$2,宠物成长!$F$5:$K$25,3,FALSE)+0)</f>
        <v>3007.1212930009119</v>
      </c>
      <c r="Q79" s="9">
        <f>(宠物成长!$C$1+宠物成长!$C$2/宠物成长!$C$3*宠物成长!$E$30)*(1+VLOOKUP(宠物属性点预览!Q$2,宠物成长!$F$4:$K$25,4,FALSE)+0)+(VLOOKUP(宠物属性点预览!$B79,宠物成长!$D$30:$E$129,2,FALSE)-宠物成长!$E$30)*宠物成长!$C$2/宠物成长!$C$3*(1+VLOOKUP(宠物属性点预览!Q$2,宠物成长!$F$5:$K$25,3,FALSE)+0)</f>
        <v>3285.1212930009119</v>
      </c>
      <c r="R79" s="9">
        <f>(宠物成长!$C$1+宠物成长!$C$2/宠物成长!$C$3*宠物成长!$E$30)*(1+VLOOKUP(宠物属性点预览!R$2,宠物成长!$F$4:$K$25,4,FALSE)+0)+(VLOOKUP(宠物属性点预览!$B79,宠物成长!$D$30:$E$129,2,FALSE)-宠物成长!$E$30)*宠物成长!$C$2/宠物成长!$C$3*(1+VLOOKUP(宠物属性点预览!R$2,宠物成长!$F$5:$K$25,3,FALSE)+0)</f>
        <v>3563.718307926285</v>
      </c>
      <c r="S79" s="9">
        <f>(宠物成长!$C$1+宠物成长!$C$2/宠物成长!$C$3*宠物成长!$E$30)*(1+VLOOKUP(宠物属性点预览!S$2,宠物成长!$F$4:$K$25,4,FALSE)+0)+(VLOOKUP(宠物属性点预览!$B79,宠物成长!$D$30:$E$129,2,FALSE)-宠物成长!$E$30)*宠物成长!$C$2/宠物成长!$C$3*(1+VLOOKUP(宠物属性点预览!S$2,宠物成长!$F$5:$K$25,3,FALSE)+0)</f>
        <v>3842.8294190373958</v>
      </c>
      <c r="T79" s="83">
        <f t="shared" ref="T79:T82" si="16">R79</f>
        <v>3563.718307926285</v>
      </c>
      <c r="V79" s="9">
        <f>(宠物成长!$C$1+宠物成长!$C$2/宠物成长!$C$3*宠物成长!$E$30)*(1+宠物成长!$I$20+VLOOKUP(宠物属性点预览!V$2,宠物成长!$O$5:$R$10,3,FALSE))+(VLOOKUP(宠物属性点预览!$B79,宠物成长!$D$30:$E$129,2,FALSE)-宠物成长!$E$30)*宠物成长!$C$2/宠物成长!$C$3*(1+宠物成长!$H$20+VLOOKUP(宠物属性点预览!V$2,宠物成长!$O$5:$R$10,2,FALSE))</f>
        <v>3563.718307926285</v>
      </c>
      <c r="W79" s="9">
        <f>(宠物成长!$C$1+宠物成长!$C$2/宠物成长!$C$3*宠物成长!$E$30)*(1+宠物成长!$I$20+VLOOKUP(宠物属性点预览!W$2,宠物成长!$O$5:$R$10,3,FALSE))+(VLOOKUP(宠物属性点预览!$B79,宠物成长!$D$30:$E$129,2,FALSE)-宠物成长!$E$30)*宠物成长!$C$2/宠物成长!$C$3*(1+宠物成长!$H$20+VLOOKUP(宠物属性点预览!W$2,宠物成长!$O$5:$R$10,2,FALSE))</f>
        <v>3949.718307926285</v>
      </c>
      <c r="X79" s="9">
        <f>(宠物成长!$C$1+宠物成长!$C$2/宠物成长!$C$3*宠物成长!$E$30)*(1+宠物成长!$I$20+VLOOKUP(宠物属性点预览!X$2,宠物成长!$O$5:$R$10,3,FALSE))+(VLOOKUP(宠物属性点预览!$B79,宠物成长!$D$30:$E$129,2,FALSE)-宠物成长!$E$30)*宠物成长!$C$2/宠物成长!$C$3*(1+宠物成长!$H$20+VLOOKUP(宠物属性点预览!X$2,宠物成长!$O$5:$R$10,2,FALSE))</f>
        <v>4397.718307926285</v>
      </c>
      <c r="Y79" s="9">
        <f>(宠物成长!$C$1+宠物成长!$C$2/宠物成长!$C$3*宠物成长!$E$30)*(1+宠物成长!$I$20+VLOOKUP(宠物属性点预览!Y$2,宠物成长!$O$5:$R$10,3,FALSE))+(VLOOKUP(宠物属性点预览!$B79,宠物成长!$D$30:$E$129,2,FALSE)-宠物成长!$E$30)*宠物成长!$C$2/宠物成长!$C$3*(1+宠物成长!$H$20+VLOOKUP(宠物属性点预览!Y$2,宠物成长!$O$5:$R$10,2,FALSE))</f>
        <v>4907.718307926285</v>
      </c>
      <c r="Z79" s="9">
        <f>(宠物成长!$C$1+宠物成长!$C$2/宠物成长!$C$3*宠物成长!$E$30)*(1+宠物成长!$I$20+VLOOKUP(宠物属性点预览!Z$2,宠物成长!$O$5:$R$10,3,FALSE))+(VLOOKUP(宠物属性点预览!$B79,宠物成长!$D$30:$E$129,2,FALSE)-宠物成长!$E$30)*宠物成长!$C$2/宠物成长!$C$3*(1+宠物成长!$H$20+VLOOKUP(宠物属性点预览!Z$2,宠物成长!$O$5:$R$10,2,FALSE))</f>
        <v>5417.718307926285</v>
      </c>
    </row>
    <row r="80" spans="2:27" x14ac:dyDescent="0.15">
      <c r="B80" s="1">
        <v>78</v>
      </c>
      <c r="C80" s="9">
        <f>(宠物成长!$C$1+宠物成长!$C$2/宠物成长!$C$3*宠物成长!$E$30)*(1+VLOOKUP(宠物属性点预览!C$2,宠物成长!$F$4:$K$25,4,FALSE)+0)+(VLOOKUP(宠物属性点预览!$B80,宠物成长!$D$30:$E$129,2,FALSE)-宠物成长!$E$30)*宠物成长!$C$2/宠物成长!$C$3*(1+VLOOKUP(宠物属性点预览!C$2,宠物成长!$F$5:$K$25,3,FALSE)+0)</f>
        <v>331.5</v>
      </c>
      <c r="D80" s="9">
        <f>(宠物成长!$C$1+宠物成长!$C$2/宠物成长!$C$3*宠物成长!$E$30)*(1+VLOOKUP(宠物属性点预览!D$2,宠物成长!$F$4:$K$25,4,FALSE)+0)+(VLOOKUP(宠物属性点预览!$B80,宠物成长!$D$30:$E$129,2,FALSE)-宠物成长!$E$30)*宠物成长!$C$2/宠物成长!$C$3*(1+VLOOKUP(宠物属性点预览!D$2,宠物成长!$F$5:$K$25,3,FALSE)+0)</f>
        <v>378</v>
      </c>
      <c r="E80" s="9">
        <f>(宠物成长!$C$1+宠物成长!$C$2/宠物成长!$C$3*宠物成长!$E$30)*(1+VLOOKUP(宠物属性点预览!E$2,宠物成长!$F$4:$K$25,4,FALSE)+0)+(VLOOKUP(宠物属性点预览!$B80,宠物成长!$D$30:$E$129,2,FALSE)-宠物成长!$E$30)*宠物成长!$C$2/宠物成长!$C$3*(1+VLOOKUP(宠物属性点预览!E$2,宠物成长!$F$5:$K$25,3,FALSE)+0)</f>
        <v>443.1</v>
      </c>
      <c r="F80" s="9">
        <f>(宠物成长!$C$1+宠物成长!$C$2/宠物成长!$C$3*宠物成长!$E$30)*(1+VLOOKUP(宠物属性点预览!F$2,宠物成长!$F$4:$K$25,4,FALSE)+0)+(VLOOKUP(宠物属性点预览!$B80,宠物成长!$D$30:$E$129,2,FALSE)-宠物成长!$E$30)*宠物成长!$C$2/宠物成长!$C$3*(1+VLOOKUP(宠物属性点预览!F$2,宠物成长!$F$5:$K$25,3,FALSE)+0)</f>
        <v>529.90000000000009</v>
      </c>
      <c r="G80" s="9">
        <f>(宠物成长!$C$1+宠物成长!$C$2/宠物成长!$C$3*宠物成长!$E$30)*(1+VLOOKUP(宠物属性点预览!G$2,宠物成长!$F$4:$K$25,4,FALSE)+0)+(VLOOKUP(宠物属性点预览!$B80,宠物成长!$D$30:$E$129,2,FALSE)-宠物成长!$E$30)*宠物成长!$C$2/宠物成长!$C$3*(1+VLOOKUP(宠物属性点预览!G$2,宠物成长!$F$5:$K$25,3,FALSE)+0)</f>
        <v>667.59999999999991</v>
      </c>
      <c r="H80" s="9">
        <f>(宠物成长!$C$1+宠物成长!$C$2/宠物成长!$C$3*宠物成长!$E$30)*(1+VLOOKUP(宠物属性点预览!H$2,宠物成长!$F$4:$K$25,4,FALSE)+0)+(VLOOKUP(宠物属性点预览!$B80,宠物成长!$D$30:$E$129,2,FALSE)-宠物成长!$E$30)*宠物成长!$C$2/宠物成长!$C$3*(1+VLOOKUP(宠物属性点预览!H$2,宠物成长!$F$5:$K$25,3,FALSE)+0)</f>
        <v>854.9</v>
      </c>
      <c r="I80" s="9">
        <f>(宠物成长!$C$1+宠物成长!$C$2/宠物成长!$C$3*宠物成长!$E$30)*(1+VLOOKUP(宠物属性点预览!I$2,宠物成长!$F$4:$K$25,4,FALSE)+0)+(VLOOKUP(宠物属性点预览!$B80,宠物成长!$D$30:$E$129,2,FALSE)-宠物成长!$E$30)*宠物成长!$C$2/宠物成长!$C$3*(1+VLOOKUP(宠物属性点预览!I$2,宠物成长!$F$5:$K$25,3,FALSE)+0)</f>
        <v>1098</v>
      </c>
      <c r="J80" s="9">
        <f>(宠物成长!$C$1+宠物成长!$C$2/宠物成长!$C$3*宠物成长!$E$30)*(1+VLOOKUP(宠物属性点预览!J$2,宠物成长!$F$4:$K$25,4,FALSE)+0)+(VLOOKUP(宠物属性点预览!$B80,宠物成长!$D$30:$E$129,2,FALSE)-宠物成长!$E$30)*宠物成长!$C$2/宠物成长!$C$3*(1+VLOOKUP(宠物属性点预览!J$2,宠物成长!$F$5:$K$25,3,FALSE)+0)</f>
        <v>1366.1296296296296</v>
      </c>
      <c r="K80" s="9">
        <f>(宠物成长!$C$1+宠物成长!$C$2/宠物成长!$C$3*宠物成长!$E$30)*(1+VLOOKUP(宠物属性点预览!K$2,宠物成长!$F$4:$K$25,4,FALSE)+0)+(VLOOKUP(宠物属性点预览!$B80,宠物成长!$D$30:$E$129,2,FALSE)-宠物成长!$E$30)*宠物成长!$C$2/宠物成长!$C$3*(1+VLOOKUP(宠物属性点预览!K$2,宠物成长!$F$5:$K$25,3,FALSE)+0)</f>
        <v>1637.1296296296296</v>
      </c>
      <c r="L80" s="9">
        <f>(宠物成长!$C$1+宠物成长!$C$2/宠物成长!$C$3*宠物成长!$E$30)*(1+VLOOKUP(宠物属性点预览!L$2,宠物成长!$F$4:$K$25,4,FALSE)+0)+(VLOOKUP(宠物属性点预览!$B80,宠物成长!$D$30:$E$129,2,FALSE)-宠物成长!$E$30)*宠物成长!$C$2/宠物成长!$C$3*(1+VLOOKUP(宠物属性点预览!L$2,宠物成长!$F$5:$K$25,3,FALSE)+0)</f>
        <v>1910.2242242242241</v>
      </c>
      <c r="M80" s="9">
        <f>(宠物成长!$C$1+宠物成长!$C$2/宠物成长!$C$3*宠物成长!$E$30)*(1+VLOOKUP(宠物属性点预览!M$2,宠物成长!$F$4:$K$25,4,FALSE)+0)+(VLOOKUP(宠物属性点预览!$B80,宠物成长!$D$30:$E$129,2,FALSE)-宠物成长!$E$30)*宠物成长!$C$2/宠物成长!$C$3*(1+VLOOKUP(宠物属性点预览!M$2,宠物成长!$F$5:$K$25,3,FALSE)+0)</f>
        <v>2184.9147004147003</v>
      </c>
      <c r="N80" s="9">
        <f>(宠物成长!$C$1+宠物成长!$C$2/宠物成长!$C$3*宠物成长!$E$30)*(1+VLOOKUP(宠物属性点预览!N$2,宠物成长!$F$4:$K$25,4,FALSE)+0)+(VLOOKUP(宠物属性点预览!$B80,宠物成长!$D$30:$E$129,2,FALSE)-宠物成长!$E$30)*宠物成长!$C$2/宠物成长!$C$3*(1+VLOOKUP(宠物属性点预览!N$2,宠物成长!$F$5:$K$25,3,FALSE)+0)</f>
        <v>2460.8615089253385</v>
      </c>
      <c r="O80" s="9">
        <f>(宠物成长!$C$1+宠物成长!$C$2/宠物成长!$C$3*宠物成长!$E$30)*(1+VLOOKUP(宠物属性点预览!O$2,宠物成长!$F$4:$K$25,4,FALSE)+0)+(VLOOKUP(宠物属性点预览!$B80,宠物成长!$D$30:$E$129,2,FALSE)-宠物成长!$E$30)*宠物成长!$C$2/宠物成长!$C$3*(1+VLOOKUP(宠物属性点预览!O$2,宠物成长!$F$5:$K$25,3,FALSE)+0)</f>
        <v>2737.8230473868766</v>
      </c>
      <c r="P80" s="9">
        <f>(宠物成长!$C$1+宠物成长!$C$2/宠物成长!$C$3*宠物成长!$E$30)*(1+VLOOKUP(宠物属性点预览!P$2,宠物成长!$F$4:$K$25,4,FALSE)+0)+(VLOOKUP(宠物属性点预览!$B80,宠物成长!$D$30:$E$129,2,FALSE)-宠物成长!$E$30)*宠物成长!$C$2/宠物成长!$C$3*(1+VLOOKUP(宠物属性点预览!P$2,宠物成长!$F$5:$K$25,3,FALSE)+0)</f>
        <v>3015.6212930009119</v>
      </c>
      <c r="Q80" s="9">
        <f>(宠物成长!$C$1+宠物成长!$C$2/宠物成长!$C$3*宠物成长!$E$30)*(1+VLOOKUP(宠物属性点预览!Q$2,宠物成长!$F$4:$K$25,4,FALSE)+0)+(VLOOKUP(宠物属性点预览!$B80,宠物成长!$D$30:$E$129,2,FALSE)-宠物成长!$E$30)*宠物成长!$C$2/宠物成长!$C$3*(1+VLOOKUP(宠物属性点预览!Q$2,宠物成长!$F$5:$K$25,3,FALSE)+0)</f>
        <v>3294.1212930009119</v>
      </c>
      <c r="R80" s="9">
        <f>(宠物成长!$C$1+宠物成长!$C$2/宠物成长!$C$3*宠物成长!$E$30)*(1+VLOOKUP(宠物属性点预览!R$2,宠物成长!$F$4:$K$25,4,FALSE)+0)+(VLOOKUP(宠物属性点预览!$B80,宠物成长!$D$30:$E$129,2,FALSE)-宠物成长!$E$30)*宠物成长!$C$2/宠物成长!$C$3*(1+VLOOKUP(宠物属性点预览!R$2,宠物成长!$F$5:$K$25,3,FALSE)+0)</f>
        <v>3573.218307926285</v>
      </c>
      <c r="S80" s="9">
        <f>(宠物成长!$C$1+宠物成长!$C$2/宠物成长!$C$3*宠物成长!$E$30)*(1+VLOOKUP(宠物属性点预览!S$2,宠物成长!$F$4:$K$25,4,FALSE)+0)+(VLOOKUP(宠物属性点预览!$B80,宠物成长!$D$30:$E$129,2,FALSE)-宠物成长!$E$30)*宠物成长!$C$2/宠物成长!$C$3*(1+VLOOKUP(宠物属性点预览!S$2,宠物成长!$F$5:$K$25,3,FALSE)+0)</f>
        <v>3852.8294190373958</v>
      </c>
      <c r="T80" s="83">
        <f t="shared" si="16"/>
        <v>3573.218307926285</v>
      </c>
      <c r="V80" s="9">
        <f>(宠物成长!$C$1+宠物成长!$C$2/宠物成长!$C$3*宠物成长!$E$30)*(1+宠物成长!$I$20+VLOOKUP(宠物属性点预览!V$2,宠物成长!$O$5:$R$10,3,FALSE))+(VLOOKUP(宠物属性点预览!$B80,宠物成长!$D$30:$E$129,2,FALSE)-宠物成长!$E$30)*宠物成长!$C$2/宠物成长!$C$3*(1+宠物成长!$H$20+VLOOKUP(宠物属性点预览!V$2,宠物成长!$O$5:$R$10,2,FALSE))</f>
        <v>3573.218307926285</v>
      </c>
      <c r="W80" s="9">
        <f>(宠物成长!$C$1+宠物成长!$C$2/宠物成长!$C$3*宠物成长!$E$30)*(1+宠物成长!$I$20+VLOOKUP(宠物属性点预览!W$2,宠物成长!$O$5:$R$10,3,FALSE))+(VLOOKUP(宠物属性点预览!$B80,宠物成长!$D$30:$E$129,2,FALSE)-宠物成长!$E$30)*宠物成长!$C$2/宠物成长!$C$3*(1+宠物成长!$H$20+VLOOKUP(宠物属性点预览!W$2,宠物成长!$O$5:$R$10,2,FALSE))</f>
        <v>3960.218307926285</v>
      </c>
      <c r="X80" s="9">
        <f>(宠物成长!$C$1+宠物成长!$C$2/宠物成长!$C$3*宠物成长!$E$30)*(1+宠物成长!$I$20+VLOOKUP(宠物属性点预览!X$2,宠物成长!$O$5:$R$10,3,FALSE))+(VLOOKUP(宠物属性点预览!$B80,宠物成长!$D$30:$E$129,2,FALSE)-宠物成长!$E$30)*宠物成长!$C$2/宠物成长!$C$3*(1+宠物成长!$H$20+VLOOKUP(宠物属性点预览!X$2,宠物成长!$O$5:$R$10,2,FALSE))</f>
        <v>4409.218307926285</v>
      </c>
      <c r="Y80" s="9">
        <f>(宠物成长!$C$1+宠物成长!$C$2/宠物成长!$C$3*宠物成长!$E$30)*(1+宠物成长!$I$20+VLOOKUP(宠物属性点预览!Y$2,宠物成长!$O$5:$R$10,3,FALSE))+(VLOOKUP(宠物属性点预览!$B80,宠物成长!$D$30:$E$129,2,FALSE)-宠物成长!$E$30)*宠物成长!$C$2/宠物成长!$C$3*(1+宠物成长!$H$20+VLOOKUP(宠物属性点预览!Y$2,宠物成长!$O$5:$R$10,2,FALSE))</f>
        <v>4920.218307926285</v>
      </c>
      <c r="Z80" s="9">
        <f>(宠物成长!$C$1+宠物成长!$C$2/宠物成长!$C$3*宠物成长!$E$30)*(1+宠物成长!$I$20+VLOOKUP(宠物属性点预览!Z$2,宠物成长!$O$5:$R$10,3,FALSE))+(VLOOKUP(宠物属性点预览!$B80,宠物成长!$D$30:$E$129,2,FALSE)-宠物成长!$E$30)*宠物成长!$C$2/宠物成长!$C$3*(1+宠物成长!$H$20+VLOOKUP(宠物属性点预览!Z$2,宠物成长!$O$5:$R$10,2,FALSE))</f>
        <v>5431.218307926285</v>
      </c>
    </row>
    <row r="81" spans="2:26" x14ac:dyDescent="0.15">
      <c r="B81" s="1">
        <v>79</v>
      </c>
      <c r="C81" s="9">
        <f>(宠物成长!$C$1+宠物成长!$C$2/宠物成长!$C$3*宠物成长!$E$30)*(1+VLOOKUP(宠物属性点预览!C$2,宠物成长!$F$4:$K$25,4,FALSE)+0)+(VLOOKUP(宠物属性点预览!$B81,宠物成长!$D$30:$E$129,2,FALSE)-宠物成长!$E$30)*宠物成长!$C$2/宠物成长!$C$3*(1+VLOOKUP(宠物属性点预览!C$2,宠物成长!$F$5:$K$25,3,FALSE)+0)</f>
        <v>335</v>
      </c>
      <c r="D81" s="9">
        <f>(宠物成长!$C$1+宠物成长!$C$2/宠物成长!$C$3*宠物成长!$E$30)*(1+VLOOKUP(宠物属性点预览!D$2,宠物成长!$F$4:$K$25,4,FALSE)+0)+(VLOOKUP(宠物属性点预览!$B81,宠物成长!$D$30:$E$129,2,FALSE)-宠物成长!$E$30)*宠物成长!$C$2/宠物成长!$C$3*(1+VLOOKUP(宠物属性点预览!D$2,宠物成长!$F$5:$K$25,3,FALSE)+0)</f>
        <v>381.5</v>
      </c>
      <c r="E81" s="9">
        <f>(宠物成长!$C$1+宠物成长!$C$2/宠物成长!$C$3*宠物成长!$E$30)*(1+VLOOKUP(宠物属性点预览!E$2,宠物成长!$F$4:$K$25,4,FALSE)+0)+(VLOOKUP(宠物属性点预览!$B81,宠物成长!$D$30:$E$129,2,FALSE)-宠物成长!$E$30)*宠物成长!$C$2/宠物成长!$C$3*(1+VLOOKUP(宠物属性点预览!E$2,宠物成长!$F$5:$K$25,3,FALSE)+0)</f>
        <v>446.6</v>
      </c>
      <c r="F81" s="9">
        <f>(宠物成长!$C$1+宠物成长!$C$2/宠物成长!$C$3*宠物成长!$E$30)*(1+VLOOKUP(宠物属性点预览!F$2,宠物成长!$F$4:$K$25,4,FALSE)+0)+(VLOOKUP(宠物属性点预览!$B81,宠物成长!$D$30:$E$129,2,FALSE)-宠物成长!$E$30)*宠物成长!$C$2/宠物成长!$C$3*(1+VLOOKUP(宠物属性点预览!F$2,宠物成长!$F$5:$K$25,3,FALSE)+0)</f>
        <v>533.40000000000009</v>
      </c>
      <c r="G81" s="9">
        <f>(宠物成长!$C$1+宠物成长!$C$2/宠物成长!$C$3*宠物成长!$E$30)*(1+VLOOKUP(宠物属性点预览!G$2,宠物成长!$F$4:$K$25,4,FALSE)+0)+(VLOOKUP(宠物属性点预览!$B81,宠物成长!$D$30:$E$129,2,FALSE)-宠物成长!$E$30)*宠物成长!$C$2/宠物成长!$C$3*(1+VLOOKUP(宠物属性点预览!G$2,宠物成长!$F$5:$K$25,3,FALSE)+0)</f>
        <v>671.59999999999991</v>
      </c>
      <c r="H81" s="9">
        <f>(宠物成长!$C$1+宠物成长!$C$2/宠物成长!$C$3*宠物成长!$E$30)*(1+VLOOKUP(宠物属性点预览!H$2,宠物成长!$F$4:$K$25,4,FALSE)+0)+(VLOOKUP(宠物属性点预览!$B81,宠物成长!$D$30:$E$129,2,FALSE)-宠物成长!$E$30)*宠物成长!$C$2/宠物成长!$C$3*(1+VLOOKUP(宠物属性点预览!H$2,宠物成长!$F$5:$K$25,3,FALSE)+0)</f>
        <v>859.4</v>
      </c>
      <c r="I81" s="9">
        <f>(宠物成长!$C$1+宠物成长!$C$2/宠物成长!$C$3*宠物成长!$E$30)*(1+VLOOKUP(宠物属性点预览!I$2,宠物成长!$F$4:$K$25,4,FALSE)+0)+(VLOOKUP(宠物属性点预览!$B81,宠物成长!$D$30:$E$129,2,FALSE)-宠物成长!$E$30)*宠物成长!$C$2/宠物成长!$C$3*(1+VLOOKUP(宠物属性点预览!I$2,宠物成长!$F$5:$K$25,3,FALSE)+0)</f>
        <v>1103</v>
      </c>
      <c r="J81" s="9">
        <f>(宠物成长!$C$1+宠物成长!$C$2/宠物成长!$C$3*宠物成长!$E$30)*(1+VLOOKUP(宠物属性点预览!J$2,宠物成长!$F$4:$K$25,4,FALSE)+0)+(VLOOKUP(宠物属性点预览!$B81,宠物成长!$D$30:$E$129,2,FALSE)-宠物成长!$E$30)*宠物成长!$C$2/宠物成长!$C$3*(1+VLOOKUP(宠物属性点预览!J$2,宠物成长!$F$5:$K$25,3,FALSE)+0)</f>
        <v>1371.6296296296296</v>
      </c>
      <c r="K81" s="9">
        <f>(宠物成长!$C$1+宠物成长!$C$2/宠物成长!$C$3*宠物成长!$E$30)*(1+VLOOKUP(宠物属性点预览!K$2,宠物成长!$F$4:$K$25,4,FALSE)+0)+(VLOOKUP(宠物属性点预览!$B81,宠物成长!$D$30:$E$129,2,FALSE)-宠物成长!$E$30)*宠物成长!$C$2/宠物成长!$C$3*(1+VLOOKUP(宠物属性点预览!K$2,宠物成长!$F$5:$K$25,3,FALSE)+0)</f>
        <v>1643.1296296296296</v>
      </c>
      <c r="L81" s="9">
        <f>(宠物成长!$C$1+宠物成长!$C$2/宠物成长!$C$3*宠物成长!$E$30)*(1+VLOOKUP(宠物属性点预览!L$2,宠物成长!$F$4:$K$25,4,FALSE)+0)+(VLOOKUP(宠物属性点预览!$B81,宠物成长!$D$30:$E$129,2,FALSE)-宠物成长!$E$30)*宠物成长!$C$2/宠物成长!$C$3*(1+VLOOKUP(宠物属性点预览!L$2,宠物成长!$F$5:$K$25,3,FALSE)+0)</f>
        <v>1916.7242242242241</v>
      </c>
      <c r="M81" s="9">
        <f>(宠物成长!$C$1+宠物成长!$C$2/宠物成长!$C$3*宠物成长!$E$30)*(1+VLOOKUP(宠物属性点预览!M$2,宠物成长!$F$4:$K$25,4,FALSE)+0)+(VLOOKUP(宠物属性点预览!$B81,宠物成长!$D$30:$E$129,2,FALSE)-宠物成长!$E$30)*宠物成长!$C$2/宠物成长!$C$3*(1+VLOOKUP(宠物属性点预览!M$2,宠物成长!$F$5:$K$25,3,FALSE)+0)</f>
        <v>2191.9147004147003</v>
      </c>
      <c r="N81" s="9">
        <f>(宠物成长!$C$1+宠物成长!$C$2/宠物成长!$C$3*宠物成长!$E$30)*(1+VLOOKUP(宠物属性点预览!N$2,宠物成长!$F$4:$K$25,4,FALSE)+0)+(VLOOKUP(宠物属性点预览!$B81,宠物成长!$D$30:$E$129,2,FALSE)-宠物成长!$E$30)*宠物成长!$C$2/宠物成长!$C$3*(1+VLOOKUP(宠物属性点预览!N$2,宠物成长!$F$5:$K$25,3,FALSE)+0)</f>
        <v>2468.3615089253385</v>
      </c>
      <c r="O81" s="9">
        <f>(宠物成长!$C$1+宠物成长!$C$2/宠物成长!$C$3*宠物成长!$E$30)*(1+VLOOKUP(宠物属性点预览!O$2,宠物成长!$F$4:$K$25,4,FALSE)+0)+(VLOOKUP(宠物属性点预览!$B81,宠物成长!$D$30:$E$129,2,FALSE)-宠物成长!$E$30)*宠物成长!$C$2/宠物成长!$C$3*(1+VLOOKUP(宠物属性点预览!O$2,宠物成长!$F$5:$K$25,3,FALSE)+0)</f>
        <v>2745.8230473868766</v>
      </c>
      <c r="P81" s="9">
        <f>(宠物成长!$C$1+宠物成长!$C$2/宠物成长!$C$3*宠物成长!$E$30)*(1+VLOOKUP(宠物属性点预览!P$2,宠物成长!$F$4:$K$25,4,FALSE)+0)+(VLOOKUP(宠物属性点预览!$B81,宠物成长!$D$30:$E$129,2,FALSE)-宠物成长!$E$30)*宠物成长!$C$2/宠物成长!$C$3*(1+VLOOKUP(宠物属性点预览!P$2,宠物成长!$F$5:$K$25,3,FALSE)+0)</f>
        <v>3024.1212930009119</v>
      </c>
      <c r="Q81" s="9">
        <f>(宠物成长!$C$1+宠物成长!$C$2/宠物成长!$C$3*宠物成长!$E$30)*(1+VLOOKUP(宠物属性点预览!Q$2,宠物成长!$F$4:$K$25,4,FALSE)+0)+(VLOOKUP(宠物属性点预览!$B81,宠物成长!$D$30:$E$129,2,FALSE)-宠物成长!$E$30)*宠物成长!$C$2/宠物成长!$C$3*(1+VLOOKUP(宠物属性点预览!Q$2,宠物成长!$F$5:$K$25,3,FALSE)+0)</f>
        <v>3303.1212930009119</v>
      </c>
      <c r="R81" s="9">
        <f>(宠物成长!$C$1+宠物成长!$C$2/宠物成长!$C$3*宠物成长!$E$30)*(1+VLOOKUP(宠物属性点预览!R$2,宠物成长!$F$4:$K$25,4,FALSE)+0)+(VLOOKUP(宠物属性点预览!$B81,宠物成长!$D$30:$E$129,2,FALSE)-宠物成长!$E$30)*宠物成长!$C$2/宠物成长!$C$3*(1+VLOOKUP(宠物属性点预览!R$2,宠物成长!$F$5:$K$25,3,FALSE)+0)</f>
        <v>3582.718307926285</v>
      </c>
      <c r="S81" s="9">
        <f>(宠物成长!$C$1+宠物成长!$C$2/宠物成长!$C$3*宠物成长!$E$30)*(1+VLOOKUP(宠物属性点预览!S$2,宠物成长!$F$4:$K$25,4,FALSE)+0)+(VLOOKUP(宠物属性点预览!$B81,宠物成长!$D$30:$E$129,2,FALSE)-宠物成长!$E$30)*宠物成长!$C$2/宠物成长!$C$3*(1+VLOOKUP(宠物属性点预览!S$2,宠物成长!$F$5:$K$25,3,FALSE)+0)</f>
        <v>3862.8294190373958</v>
      </c>
      <c r="T81" s="83">
        <f t="shared" si="16"/>
        <v>3582.718307926285</v>
      </c>
      <c r="V81" s="9">
        <f>(宠物成长!$C$1+宠物成长!$C$2/宠物成长!$C$3*宠物成长!$E$30)*(1+宠物成长!$I$20+VLOOKUP(宠物属性点预览!V$2,宠物成长!$O$5:$R$10,3,FALSE))+(VLOOKUP(宠物属性点预览!$B81,宠物成长!$D$30:$E$129,2,FALSE)-宠物成长!$E$30)*宠物成长!$C$2/宠物成长!$C$3*(1+宠物成长!$H$20+VLOOKUP(宠物属性点预览!V$2,宠物成长!$O$5:$R$10,2,FALSE))</f>
        <v>3582.718307926285</v>
      </c>
      <c r="W81" s="9">
        <f>(宠物成长!$C$1+宠物成长!$C$2/宠物成长!$C$3*宠物成长!$E$30)*(1+宠物成长!$I$20+VLOOKUP(宠物属性点预览!W$2,宠物成长!$O$5:$R$10,3,FALSE))+(VLOOKUP(宠物属性点预览!$B81,宠物成长!$D$30:$E$129,2,FALSE)-宠物成长!$E$30)*宠物成长!$C$2/宠物成长!$C$3*(1+宠物成长!$H$20+VLOOKUP(宠物属性点预览!W$2,宠物成长!$O$5:$R$10,2,FALSE))</f>
        <v>3970.718307926285</v>
      </c>
      <c r="X81" s="9">
        <f>(宠物成长!$C$1+宠物成长!$C$2/宠物成长!$C$3*宠物成长!$E$30)*(1+宠物成长!$I$20+VLOOKUP(宠物属性点预览!X$2,宠物成长!$O$5:$R$10,3,FALSE))+(VLOOKUP(宠物属性点预览!$B81,宠物成长!$D$30:$E$129,2,FALSE)-宠物成长!$E$30)*宠物成长!$C$2/宠物成长!$C$3*(1+宠物成长!$H$20+VLOOKUP(宠物属性点预览!X$2,宠物成长!$O$5:$R$10,2,FALSE))</f>
        <v>4420.718307926285</v>
      </c>
      <c r="Y81" s="9">
        <f>(宠物成长!$C$1+宠物成长!$C$2/宠物成长!$C$3*宠物成长!$E$30)*(1+宠物成长!$I$20+VLOOKUP(宠物属性点预览!Y$2,宠物成长!$O$5:$R$10,3,FALSE))+(VLOOKUP(宠物属性点预览!$B81,宠物成长!$D$30:$E$129,2,FALSE)-宠物成长!$E$30)*宠物成长!$C$2/宠物成长!$C$3*(1+宠物成长!$H$20+VLOOKUP(宠物属性点预览!Y$2,宠物成长!$O$5:$R$10,2,FALSE))</f>
        <v>4932.718307926285</v>
      </c>
      <c r="Z81" s="9">
        <f>(宠物成长!$C$1+宠物成长!$C$2/宠物成长!$C$3*宠物成长!$E$30)*(1+宠物成长!$I$20+VLOOKUP(宠物属性点预览!Z$2,宠物成长!$O$5:$R$10,3,FALSE))+(VLOOKUP(宠物属性点预览!$B81,宠物成长!$D$30:$E$129,2,FALSE)-宠物成长!$E$30)*宠物成长!$C$2/宠物成长!$C$3*(1+宠物成长!$H$20+VLOOKUP(宠物属性点预览!Z$2,宠物成长!$O$5:$R$10,2,FALSE))</f>
        <v>5444.718307926285</v>
      </c>
    </row>
    <row r="82" spans="2:26" x14ac:dyDescent="0.15">
      <c r="B82" s="1">
        <v>80</v>
      </c>
      <c r="C82" s="9">
        <f>(宠物成长!$C$1+宠物成长!$C$2/宠物成长!$C$3*宠物成长!$E$30)*(1+VLOOKUP(宠物属性点预览!C$2,宠物成长!$F$4:$K$25,4,FALSE)+0)+(VLOOKUP(宠物属性点预览!$B82,宠物成长!$D$30:$E$129,2,FALSE)-宠物成长!$E$30)*宠物成长!$C$2/宠物成长!$C$3*(1+VLOOKUP(宠物属性点预览!C$2,宠物成长!$F$5:$K$25,3,FALSE)+0)</f>
        <v>338.5</v>
      </c>
      <c r="D82" s="9">
        <f>(宠物成长!$C$1+宠物成长!$C$2/宠物成长!$C$3*宠物成长!$E$30)*(1+VLOOKUP(宠物属性点预览!D$2,宠物成长!$F$4:$K$25,4,FALSE)+0)+(VLOOKUP(宠物属性点预览!$B82,宠物成长!$D$30:$E$129,2,FALSE)-宠物成长!$E$30)*宠物成长!$C$2/宠物成长!$C$3*(1+VLOOKUP(宠物属性点预览!D$2,宠物成长!$F$5:$K$25,3,FALSE)+0)</f>
        <v>385</v>
      </c>
      <c r="E82" s="9">
        <f>(宠物成长!$C$1+宠物成长!$C$2/宠物成长!$C$3*宠物成长!$E$30)*(1+VLOOKUP(宠物属性点预览!E$2,宠物成长!$F$4:$K$25,4,FALSE)+0)+(VLOOKUP(宠物属性点预览!$B82,宠物成长!$D$30:$E$129,2,FALSE)-宠物成长!$E$30)*宠物成长!$C$2/宠物成长!$C$3*(1+VLOOKUP(宠物属性点预览!E$2,宠物成长!$F$5:$K$25,3,FALSE)+0)</f>
        <v>450.1</v>
      </c>
      <c r="F82" s="9">
        <f>(宠物成长!$C$1+宠物成长!$C$2/宠物成长!$C$3*宠物成长!$E$30)*(1+VLOOKUP(宠物属性点预览!F$2,宠物成长!$F$4:$K$25,4,FALSE)+0)+(VLOOKUP(宠物属性点预览!$B82,宠物成长!$D$30:$E$129,2,FALSE)-宠物成长!$E$30)*宠物成长!$C$2/宠物成长!$C$3*(1+VLOOKUP(宠物属性点预览!F$2,宠物成长!$F$5:$K$25,3,FALSE)+0)</f>
        <v>536.90000000000009</v>
      </c>
      <c r="G82" s="9">
        <f>(宠物成长!$C$1+宠物成长!$C$2/宠物成长!$C$3*宠物成长!$E$30)*(1+VLOOKUP(宠物属性点预览!G$2,宠物成长!$F$4:$K$25,4,FALSE)+0)+(VLOOKUP(宠物属性点预览!$B82,宠物成长!$D$30:$E$129,2,FALSE)-宠物成长!$E$30)*宠物成长!$C$2/宠物成长!$C$3*(1+VLOOKUP(宠物属性点预览!G$2,宠物成长!$F$5:$K$25,3,FALSE)+0)</f>
        <v>675.59999999999991</v>
      </c>
      <c r="H82" s="9">
        <f>(宠物成长!$C$1+宠物成长!$C$2/宠物成长!$C$3*宠物成长!$E$30)*(1+VLOOKUP(宠物属性点预览!H$2,宠物成长!$F$4:$K$25,4,FALSE)+0)+(VLOOKUP(宠物属性点预览!$B82,宠物成长!$D$30:$E$129,2,FALSE)-宠物成长!$E$30)*宠物成长!$C$2/宠物成长!$C$3*(1+VLOOKUP(宠物属性点预览!H$2,宠物成长!$F$5:$K$25,3,FALSE)+0)</f>
        <v>863.9</v>
      </c>
      <c r="I82" s="9">
        <f>(宠物成长!$C$1+宠物成长!$C$2/宠物成长!$C$3*宠物成长!$E$30)*(1+VLOOKUP(宠物属性点预览!I$2,宠物成长!$F$4:$K$25,4,FALSE)+0)+(VLOOKUP(宠物属性点预览!$B82,宠物成长!$D$30:$E$129,2,FALSE)-宠物成长!$E$30)*宠物成长!$C$2/宠物成长!$C$3*(1+VLOOKUP(宠物属性点预览!I$2,宠物成长!$F$5:$K$25,3,FALSE)+0)</f>
        <v>1108</v>
      </c>
      <c r="J82" s="9">
        <f>(宠物成长!$C$1+宠物成长!$C$2/宠物成长!$C$3*宠物成长!$E$30)*(1+VLOOKUP(宠物属性点预览!J$2,宠物成长!$F$4:$K$25,4,FALSE)+0)+(VLOOKUP(宠物属性点预览!$B82,宠物成长!$D$30:$E$129,2,FALSE)-宠物成长!$E$30)*宠物成长!$C$2/宠物成长!$C$3*(1+VLOOKUP(宠物属性点预览!J$2,宠物成长!$F$5:$K$25,3,FALSE)+0)</f>
        <v>1377.1296296296296</v>
      </c>
      <c r="K82" s="9">
        <f>(宠物成长!$C$1+宠物成长!$C$2/宠物成长!$C$3*宠物成长!$E$30)*(1+VLOOKUP(宠物属性点预览!K$2,宠物成长!$F$4:$K$25,4,FALSE)+0)+(VLOOKUP(宠物属性点预览!$B82,宠物成长!$D$30:$E$129,2,FALSE)-宠物成长!$E$30)*宠物成长!$C$2/宠物成长!$C$3*(1+VLOOKUP(宠物属性点预览!K$2,宠物成长!$F$5:$K$25,3,FALSE)+0)</f>
        <v>1649.1296296296296</v>
      </c>
      <c r="L82" s="9">
        <f>(宠物成长!$C$1+宠物成长!$C$2/宠物成长!$C$3*宠物成长!$E$30)*(1+VLOOKUP(宠物属性点预览!L$2,宠物成长!$F$4:$K$25,4,FALSE)+0)+(VLOOKUP(宠物属性点预览!$B82,宠物成长!$D$30:$E$129,2,FALSE)-宠物成长!$E$30)*宠物成长!$C$2/宠物成长!$C$3*(1+VLOOKUP(宠物属性点预览!L$2,宠物成长!$F$5:$K$25,3,FALSE)+0)</f>
        <v>1923.2242242242241</v>
      </c>
      <c r="M82" s="9">
        <f>(宠物成长!$C$1+宠物成长!$C$2/宠物成长!$C$3*宠物成长!$E$30)*(1+VLOOKUP(宠物属性点预览!M$2,宠物成长!$F$4:$K$25,4,FALSE)+0)+(VLOOKUP(宠物属性点预览!$B82,宠物成长!$D$30:$E$129,2,FALSE)-宠物成长!$E$30)*宠物成长!$C$2/宠物成长!$C$3*(1+VLOOKUP(宠物属性点预览!M$2,宠物成长!$F$5:$K$25,3,FALSE)+0)</f>
        <v>2198.9147004147003</v>
      </c>
      <c r="N82" s="9">
        <f>(宠物成长!$C$1+宠物成长!$C$2/宠物成长!$C$3*宠物成长!$E$30)*(1+VLOOKUP(宠物属性点预览!N$2,宠物成长!$F$4:$K$25,4,FALSE)+0)+(VLOOKUP(宠物属性点预览!$B82,宠物成长!$D$30:$E$129,2,FALSE)-宠物成长!$E$30)*宠物成长!$C$2/宠物成长!$C$3*(1+VLOOKUP(宠物属性点预览!N$2,宠物成长!$F$5:$K$25,3,FALSE)+0)</f>
        <v>2475.8615089253385</v>
      </c>
      <c r="O82" s="9">
        <f>(宠物成长!$C$1+宠物成长!$C$2/宠物成长!$C$3*宠物成长!$E$30)*(1+VLOOKUP(宠物属性点预览!O$2,宠物成长!$F$4:$K$25,4,FALSE)+0)+(VLOOKUP(宠物属性点预览!$B82,宠物成长!$D$30:$E$129,2,FALSE)-宠物成长!$E$30)*宠物成长!$C$2/宠物成长!$C$3*(1+VLOOKUP(宠物属性点预览!O$2,宠物成长!$F$5:$K$25,3,FALSE)+0)</f>
        <v>2753.8230473868766</v>
      </c>
      <c r="P82" s="9">
        <f>(宠物成长!$C$1+宠物成长!$C$2/宠物成长!$C$3*宠物成长!$E$30)*(1+VLOOKUP(宠物属性点预览!P$2,宠物成长!$F$4:$K$25,4,FALSE)+0)+(VLOOKUP(宠物属性点预览!$B82,宠物成长!$D$30:$E$129,2,FALSE)-宠物成长!$E$30)*宠物成长!$C$2/宠物成长!$C$3*(1+VLOOKUP(宠物属性点预览!P$2,宠物成长!$F$5:$K$25,3,FALSE)+0)</f>
        <v>3032.6212930009119</v>
      </c>
      <c r="Q82" s="9">
        <f>(宠物成长!$C$1+宠物成长!$C$2/宠物成长!$C$3*宠物成长!$E$30)*(1+VLOOKUP(宠物属性点预览!Q$2,宠物成长!$F$4:$K$25,4,FALSE)+0)+(VLOOKUP(宠物属性点预览!$B82,宠物成长!$D$30:$E$129,2,FALSE)-宠物成长!$E$30)*宠物成长!$C$2/宠物成长!$C$3*(1+VLOOKUP(宠物属性点预览!Q$2,宠物成长!$F$5:$K$25,3,FALSE)+0)</f>
        <v>3312.1212930009119</v>
      </c>
      <c r="R82" s="9">
        <f>(宠物成长!$C$1+宠物成长!$C$2/宠物成长!$C$3*宠物成长!$E$30)*(1+VLOOKUP(宠物属性点预览!R$2,宠物成长!$F$4:$K$25,4,FALSE)+0)+(VLOOKUP(宠物属性点预览!$B82,宠物成长!$D$30:$E$129,2,FALSE)-宠物成长!$E$30)*宠物成长!$C$2/宠物成长!$C$3*(1+VLOOKUP(宠物属性点预览!R$2,宠物成长!$F$5:$K$25,3,FALSE)+0)</f>
        <v>3592.218307926285</v>
      </c>
      <c r="S82" s="83">
        <f>(宠物成长!$C$1+宠物成长!$C$2/宠物成长!$C$3*宠物成长!$E$30)*(1+VLOOKUP(宠物属性点预览!S$2,宠物成长!$F$4:$K$25,4,FALSE)+0)+(VLOOKUP(宠物属性点预览!$B82,宠物成长!$D$30:$E$129,2,FALSE)-宠物成长!$E$30)*宠物成长!$C$2/宠物成长!$C$3*(1+VLOOKUP(宠物属性点预览!S$2,宠物成长!$F$5:$K$25,3,FALSE)+0)</f>
        <v>3872.8294190373958</v>
      </c>
      <c r="T82" s="83">
        <f t="shared" si="16"/>
        <v>3592.218307926285</v>
      </c>
      <c r="U82" s="9">
        <f>S82</f>
        <v>3872.8294190373958</v>
      </c>
      <c r="V82" s="9">
        <f>(宠物成长!$C$1+宠物成长!$C$2/宠物成长!$C$3*宠物成长!$E$30)*(1+宠物成长!$I$21+VLOOKUP(宠物属性点预览!V$2,宠物成长!$O$5:$R$10,3,FALSE))+(VLOOKUP(宠物属性点预览!$B82,宠物成长!$D$30:$E$129,2,FALSE)-宠物成长!$E$30)*宠物成长!$C$2/宠物成长!$C$3*(1+宠物成长!$H$21+VLOOKUP(宠物属性点预览!V$2,宠物成长!$O$5:$R$10,2,FALSE))</f>
        <v>3872.8294190373958</v>
      </c>
      <c r="W82" s="9">
        <f>(宠物成长!$C$1+宠物成长!$C$2/宠物成长!$C$3*宠物成长!$E$30)*(1+宠物成长!$I$21+VLOOKUP(宠物属性点预览!W$2,宠物成长!$O$5:$R$10,3,FALSE))+(VLOOKUP(宠物属性点预览!$B82,宠物成长!$D$30:$E$129,2,FALSE)-宠物成长!$E$30)*宠物成长!$C$2/宠物成长!$C$3*(1+宠物成长!$H$21+VLOOKUP(宠物属性点预览!W$2,宠物成长!$O$5:$R$10,2,FALSE))</f>
        <v>4261.8294190373963</v>
      </c>
      <c r="X82" s="9">
        <f>(宠物成长!$C$1+宠物成长!$C$2/宠物成长!$C$3*宠物成长!$E$30)*(1+宠物成长!$I$21+VLOOKUP(宠物属性点预览!X$2,宠物成长!$O$5:$R$10,3,FALSE))+(VLOOKUP(宠物属性点预览!$B82,宠物成长!$D$30:$E$129,2,FALSE)-宠物成长!$E$30)*宠物成长!$C$2/宠物成长!$C$3*(1+宠物成长!$H$21+VLOOKUP(宠物属性点预览!X$2,宠物成长!$O$5:$R$10,2,FALSE))</f>
        <v>4712.8294190373963</v>
      </c>
      <c r="Y82" s="9">
        <f>(宠物成长!$C$1+宠物成长!$C$2/宠物成长!$C$3*宠物成长!$E$30)*(1+宠物成长!$I$21+VLOOKUP(宠物属性点预览!Y$2,宠物成长!$O$5:$R$10,3,FALSE))+(VLOOKUP(宠物属性点预览!$B82,宠物成长!$D$30:$E$129,2,FALSE)-宠物成长!$E$30)*宠物成长!$C$2/宠物成长!$C$3*(1+宠物成长!$H$21+VLOOKUP(宠物属性点预览!Y$2,宠物成长!$O$5:$R$10,2,FALSE))</f>
        <v>5225.8294190373954</v>
      </c>
      <c r="Z82" s="9">
        <f>(宠物成长!$C$1+宠物成长!$C$2/宠物成长!$C$3*宠物成长!$E$30)*(1+宠物成长!$I$21+VLOOKUP(宠物属性点预览!Z$2,宠物成长!$O$5:$R$10,3,FALSE))+(VLOOKUP(宠物属性点预览!$B82,宠物成长!$D$30:$E$129,2,FALSE)-宠物成长!$E$30)*宠物成长!$C$2/宠物成长!$C$3*(1+宠物成长!$H$21+VLOOKUP(宠物属性点预览!Z$2,宠物成长!$O$5:$R$10,2,FALSE))</f>
        <v>5738.8294190373954</v>
      </c>
    </row>
    <row r="83" spans="2:26" x14ac:dyDescent="0.15">
      <c r="B83" s="1">
        <v>81</v>
      </c>
      <c r="C83" s="9">
        <f>(宠物成长!$C$1+宠物成长!$C$2/宠物成长!$C$3*宠物成长!$E$30)*(1+VLOOKUP(宠物属性点预览!C$2,宠物成长!$F$4:$K$25,4,FALSE)+0)+(VLOOKUP(宠物属性点预览!$B83,宠物成长!$D$30:$E$129,2,FALSE)-宠物成长!$E$30)*宠物成长!$C$2/宠物成长!$C$3*(1+VLOOKUP(宠物属性点预览!C$2,宠物成长!$F$5:$K$25,3,FALSE)+0)</f>
        <v>342</v>
      </c>
      <c r="D83" s="9">
        <f>(宠物成长!$C$1+宠物成长!$C$2/宠物成长!$C$3*宠物成长!$E$30)*(1+VLOOKUP(宠物属性点预览!D$2,宠物成长!$F$4:$K$25,4,FALSE)+0)+(VLOOKUP(宠物属性点预览!$B83,宠物成长!$D$30:$E$129,2,FALSE)-宠物成长!$E$30)*宠物成长!$C$2/宠物成长!$C$3*(1+VLOOKUP(宠物属性点预览!D$2,宠物成长!$F$5:$K$25,3,FALSE)+0)</f>
        <v>388.5</v>
      </c>
      <c r="E83" s="9">
        <f>(宠物成长!$C$1+宠物成长!$C$2/宠物成长!$C$3*宠物成长!$E$30)*(1+VLOOKUP(宠物属性点预览!E$2,宠物成长!$F$4:$K$25,4,FALSE)+0)+(VLOOKUP(宠物属性点预览!$B83,宠物成长!$D$30:$E$129,2,FALSE)-宠物成长!$E$30)*宠物成长!$C$2/宠物成长!$C$3*(1+VLOOKUP(宠物属性点预览!E$2,宠物成长!$F$5:$K$25,3,FALSE)+0)</f>
        <v>453.6</v>
      </c>
      <c r="F83" s="9">
        <f>(宠物成长!$C$1+宠物成长!$C$2/宠物成长!$C$3*宠物成长!$E$30)*(1+VLOOKUP(宠物属性点预览!F$2,宠物成长!$F$4:$K$25,4,FALSE)+0)+(VLOOKUP(宠物属性点预览!$B83,宠物成长!$D$30:$E$129,2,FALSE)-宠物成长!$E$30)*宠物成长!$C$2/宠物成长!$C$3*(1+VLOOKUP(宠物属性点预览!F$2,宠物成长!$F$5:$K$25,3,FALSE)+0)</f>
        <v>540.40000000000009</v>
      </c>
      <c r="G83" s="9">
        <f>(宠物成长!$C$1+宠物成长!$C$2/宠物成长!$C$3*宠物成长!$E$30)*(1+VLOOKUP(宠物属性点预览!G$2,宠物成长!$F$4:$K$25,4,FALSE)+0)+(VLOOKUP(宠物属性点预览!$B83,宠物成长!$D$30:$E$129,2,FALSE)-宠物成长!$E$30)*宠物成长!$C$2/宠物成长!$C$3*(1+VLOOKUP(宠物属性点预览!G$2,宠物成长!$F$5:$K$25,3,FALSE)+0)</f>
        <v>679.59999999999991</v>
      </c>
      <c r="H83" s="9">
        <f>(宠物成长!$C$1+宠物成长!$C$2/宠物成长!$C$3*宠物成长!$E$30)*(1+VLOOKUP(宠物属性点预览!H$2,宠物成长!$F$4:$K$25,4,FALSE)+0)+(VLOOKUP(宠物属性点预览!$B83,宠物成长!$D$30:$E$129,2,FALSE)-宠物成长!$E$30)*宠物成长!$C$2/宠物成长!$C$3*(1+VLOOKUP(宠物属性点预览!H$2,宠物成长!$F$5:$K$25,3,FALSE)+0)</f>
        <v>868.4</v>
      </c>
      <c r="I83" s="9">
        <f>(宠物成长!$C$1+宠物成长!$C$2/宠物成长!$C$3*宠物成长!$E$30)*(1+VLOOKUP(宠物属性点预览!I$2,宠物成长!$F$4:$K$25,4,FALSE)+0)+(VLOOKUP(宠物属性点预览!$B83,宠物成长!$D$30:$E$129,2,FALSE)-宠物成长!$E$30)*宠物成长!$C$2/宠物成长!$C$3*(1+VLOOKUP(宠物属性点预览!I$2,宠物成长!$F$5:$K$25,3,FALSE)+0)</f>
        <v>1113</v>
      </c>
      <c r="J83" s="9">
        <f>(宠物成长!$C$1+宠物成长!$C$2/宠物成长!$C$3*宠物成长!$E$30)*(1+VLOOKUP(宠物属性点预览!J$2,宠物成长!$F$4:$K$25,4,FALSE)+0)+(VLOOKUP(宠物属性点预览!$B83,宠物成长!$D$30:$E$129,2,FALSE)-宠物成长!$E$30)*宠物成长!$C$2/宠物成长!$C$3*(1+VLOOKUP(宠物属性点预览!J$2,宠物成长!$F$5:$K$25,3,FALSE)+0)</f>
        <v>1382.6296296296296</v>
      </c>
      <c r="K83" s="9">
        <f>(宠物成长!$C$1+宠物成长!$C$2/宠物成长!$C$3*宠物成长!$E$30)*(1+VLOOKUP(宠物属性点预览!K$2,宠物成长!$F$4:$K$25,4,FALSE)+0)+(VLOOKUP(宠物属性点预览!$B83,宠物成长!$D$30:$E$129,2,FALSE)-宠物成长!$E$30)*宠物成长!$C$2/宠物成长!$C$3*(1+VLOOKUP(宠物属性点预览!K$2,宠物成长!$F$5:$K$25,3,FALSE)+0)</f>
        <v>1655.1296296296296</v>
      </c>
      <c r="L83" s="9">
        <f>(宠物成长!$C$1+宠物成长!$C$2/宠物成长!$C$3*宠物成长!$E$30)*(1+VLOOKUP(宠物属性点预览!L$2,宠物成长!$F$4:$K$25,4,FALSE)+0)+(VLOOKUP(宠物属性点预览!$B83,宠物成长!$D$30:$E$129,2,FALSE)-宠物成长!$E$30)*宠物成长!$C$2/宠物成长!$C$3*(1+VLOOKUP(宠物属性点预览!L$2,宠物成长!$F$5:$K$25,3,FALSE)+0)</f>
        <v>1929.7242242242241</v>
      </c>
      <c r="M83" s="9">
        <f>(宠物成长!$C$1+宠物成长!$C$2/宠物成长!$C$3*宠物成长!$E$30)*(1+VLOOKUP(宠物属性点预览!M$2,宠物成长!$F$4:$K$25,4,FALSE)+0)+(VLOOKUP(宠物属性点预览!$B83,宠物成长!$D$30:$E$129,2,FALSE)-宠物成长!$E$30)*宠物成长!$C$2/宠物成长!$C$3*(1+VLOOKUP(宠物属性点预览!M$2,宠物成长!$F$5:$K$25,3,FALSE)+0)</f>
        <v>2205.9147004147003</v>
      </c>
      <c r="N83" s="9">
        <f>(宠物成长!$C$1+宠物成长!$C$2/宠物成长!$C$3*宠物成长!$E$30)*(1+VLOOKUP(宠物属性点预览!N$2,宠物成长!$F$4:$K$25,4,FALSE)+0)+(VLOOKUP(宠物属性点预览!$B83,宠物成长!$D$30:$E$129,2,FALSE)-宠物成长!$E$30)*宠物成长!$C$2/宠物成长!$C$3*(1+VLOOKUP(宠物属性点预览!N$2,宠物成长!$F$5:$K$25,3,FALSE)+0)</f>
        <v>2483.3615089253385</v>
      </c>
      <c r="O83" s="9">
        <f>(宠物成长!$C$1+宠物成长!$C$2/宠物成长!$C$3*宠物成长!$E$30)*(1+VLOOKUP(宠物属性点预览!O$2,宠物成长!$F$4:$K$25,4,FALSE)+0)+(VLOOKUP(宠物属性点预览!$B83,宠物成长!$D$30:$E$129,2,FALSE)-宠物成长!$E$30)*宠物成长!$C$2/宠物成长!$C$3*(1+VLOOKUP(宠物属性点预览!O$2,宠物成长!$F$5:$K$25,3,FALSE)+0)</f>
        <v>2761.8230473868766</v>
      </c>
      <c r="P83" s="9">
        <f>(宠物成长!$C$1+宠物成长!$C$2/宠物成长!$C$3*宠物成长!$E$30)*(1+VLOOKUP(宠物属性点预览!P$2,宠物成长!$F$4:$K$25,4,FALSE)+0)+(VLOOKUP(宠物属性点预览!$B83,宠物成长!$D$30:$E$129,2,FALSE)-宠物成长!$E$30)*宠物成长!$C$2/宠物成长!$C$3*(1+VLOOKUP(宠物属性点预览!P$2,宠物成长!$F$5:$K$25,3,FALSE)+0)</f>
        <v>3041.1212930009119</v>
      </c>
      <c r="Q83" s="9">
        <f>(宠物成长!$C$1+宠物成长!$C$2/宠物成长!$C$3*宠物成长!$E$30)*(1+VLOOKUP(宠物属性点预览!Q$2,宠物成长!$F$4:$K$25,4,FALSE)+0)+(VLOOKUP(宠物属性点预览!$B83,宠物成长!$D$30:$E$129,2,FALSE)-宠物成长!$E$30)*宠物成长!$C$2/宠物成长!$C$3*(1+VLOOKUP(宠物属性点预览!Q$2,宠物成长!$F$5:$K$25,3,FALSE)+0)</f>
        <v>3321.1212930009119</v>
      </c>
      <c r="R83" s="9">
        <f>(宠物成长!$C$1+宠物成长!$C$2/宠物成长!$C$3*宠物成长!$E$30)*(1+VLOOKUP(宠物属性点预览!R$2,宠物成长!$F$4:$K$25,4,FALSE)+0)+(VLOOKUP(宠物属性点预览!$B83,宠物成长!$D$30:$E$129,2,FALSE)-宠物成长!$E$30)*宠物成长!$C$2/宠物成长!$C$3*(1+VLOOKUP(宠物属性点预览!R$2,宠物成长!$F$5:$K$25,3,FALSE)+0)</f>
        <v>3601.718307926285</v>
      </c>
      <c r="S83" s="9">
        <f>(宠物成长!$C$1+宠物成长!$C$2/宠物成长!$C$3*宠物成长!$E$30)*(1+VLOOKUP(宠物属性点预览!S$2,宠物成长!$F$4:$K$25,4,FALSE)+0)+(VLOOKUP(宠物属性点预览!$B83,宠物成长!$D$30:$E$129,2,FALSE)-宠物成长!$E$30)*宠物成长!$C$2/宠物成长!$C$3*(1+VLOOKUP(宠物属性点预览!S$2,宠物成长!$F$5:$K$25,3,FALSE)+0)</f>
        <v>3882.8294190373958</v>
      </c>
      <c r="T83" s="83">
        <f>S83</f>
        <v>3882.8294190373958</v>
      </c>
      <c r="V83" s="9">
        <f>(宠物成长!$C$1+宠物成长!$C$2/宠物成长!$C$3*宠物成长!$E$30)*(1+宠物成长!$I$21+VLOOKUP(宠物属性点预览!V$2,宠物成长!$O$5:$R$10,3,FALSE))+(VLOOKUP(宠物属性点预览!$B83,宠物成长!$D$30:$E$129,2,FALSE)-宠物成长!$E$30)*宠物成长!$C$2/宠物成长!$C$3*(1+宠物成长!$H$21+VLOOKUP(宠物属性点预览!V$2,宠物成长!$O$5:$R$10,2,FALSE))</f>
        <v>3882.8294190373958</v>
      </c>
      <c r="W83" s="9">
        <f>(宠物成长!$C$1+宠物成长!$C$2/宠物成长!$C$3*宠物成长!$E$30)*(1+宠物成长!$I$21+VLOOKUP(宠物属性点预览!W$2,宠物成长!$O$5:$R$10,3,FALSE))+(VLOOKUP(宠物属性点预览!$B83,宠物成长!$D$30:$E$129,2,FALSE)-宠物成长!$E$30)*宠物成长!$C$2/宠物成长!$C$3*(1+宠物成长!$H$21+VLOOKUP(宠物属性点预览!W$2,宠物成长!$O$5:$R$10,2,FALSE))</f>
        <v>4272.8294190373963</v>
      </c>
      <c r="X83" s="9">
        <f>(宠物成长!$C$1+宠物成长!$C$2/宠物成长!$C$3*宠物成长!$E$30)*(1+宠物成长!$I$21+VLOOKUP(宠物属性点预览!X$2,宠物成长!$O$5:$R$10,3,FALSE))+(VLOOKUP(宠物属性点预览!$B83,宠物成长!$D$30:$E$129,2,FALSE)-宠物成长!$E$30)*宠物成长!$C$2/宠物成长!$C$3*(1+宠物成长!$H$21+VLOOKUP(宠物属性点预览!X$2,宠物成长!$O$5:$R$10,2,FALSE))</f>
        <v>4724.8294190373963</v>
      </c>
      <c r="Y83" s="9">
        <f>(宠物成长!$C$1+宠物成长!$C$2/宠物成长!$C$3*宠物成长!$E$30)*(1+宠物成长!$I$21+VLOOKUP(宠物属性点预览!Y$2,宠物成长!$O$5:$R$10,3,FALSE))+(VLOOKUP(宠物属性点预览!$B83,宠物成长!$D$30:$E$129,2,FALSE)-宠物成长!$E$30)*宠物成长!$C$2/宠物成长!$C$3*(1+宠物成长!$H$21+VLOOKUP(宠物属性点预览!Y$2,宠物成长!$O$5:$R$10,2,FALSE))</f>
        <v>5238.8294190373954</v>
      </c>
      <c r="Z83" s="9">
        <f>(宠物成长!$C$1+宠物成长!$C$2/宠物成长!$C$3*宠物成长!$E$30)*(1+宠物成长!$I$21+VLOOKUP(宠物属性点预览!Z$2,宠物成长!$O$5:$R$10,3,FALSE))+(VLOOKUP(宠物属性点预览!$B83,宠物成长!$D$30:$E$129,2,FALSE)-宠物成长!$E$30)*宠物成长!$C$2/宠物成长!$C$3*(1+宠物成长!$H$21+VLOOKUP(宠物属性点预览!Z$2,宠物成长!$O$5:$R$10,2,FALSE))</f>
        <v>5752.8294190373954</v>
      </c>
    </row>
    <row r="84" spans="2:26" x14ac:dyDescent="0.15">
      <c r="B84" s="1">
        <v>82</v>
      </c>
      <c r="C84" s="9">
        <f>(宠物成长!$C$1+宠物成长!$C$2/宠物成长!$C$3*宠物成长!$E$30)*(1+VLOOKUP(宠物属性点预览!C$2,宠物成长!$F$4:$K$25,4,FALSE)+0)+(VLOOKUP(宠物属性点预览!$B84,宠物成长!$D$30:$E$129,2,FALSE)-宠物成长!$E$30)*宠物成长!$C$2/宠物成长!$C$3*(1+VLOOKUP(宠物属性点预览!C$2,宠物成长!$F$5:$K$25,3,FALSE)+0)</f>
        <v>345.5</v>
      </c>
      <c r="D84" s="9">
        <f>(宠物成长!$C$1+宠物成长!$C$2/宠物成长!$C$3*宠物成长!$E$30)*(1+VLOOKUP(宠物属性点预览!D$2,宠物成长!$F$4:$K$25,4,FALSE)+0)+(VLOOKUP(宠物属性点预览!$B84,宠物成长!$D$30:$E$129,2,FALSE)-宠物成长!$E$30)*宠物成长!$C$2/宠物成长!$C$3*(1+VLOOKUP(宠物属性点预览!D$2,宠物成长!$F$5:$K$25,3,FALSE)+0)</f>
        <v>392</v>
      </c>
      <c r="E84" s="9">
        <f>(宠物成长!$C$1+宠物成长!$C$2/宠物成长!$C$3*宠物成长!$E$30)*(1+VLOOKUP(宠物属性点预览!E$2,宠物成长!$F$4:$K$25,4,FALSE)+0)+(VLOOKUP(宠物属性点预览!$B84,宠物成长!$D$30:$E$129,2,FALSE)-宠物成长!$E$30)*宠物成长!$C$2/宠物成长!$C$3*(1+VLOOKUP(宠物属性点预览!E$2,宠物成长!$F$5:$K$25,3,FALSE)+0)</f>
        <v>457.1</v>
      </c>
      <c r="F84" s="9">
        <f>(宠物成长!$C$1+宠物成长!$C$2/宠物成长!$C$3*宠物成长!$E$30)*(1+VLOOKUP(宠物属性点预览!F$2,宠物成长!$F$4:$K$25,4,FALSE)+0)+(VLOOKUP(宠物属性点预览!$B84,宠物成长!$D$30:$E$129,2,FALSE)-宠物成长!$E$30)*宠物成长!$C$2/宠物成长!$C$3*(1+VLOOKUP(宠物属性点预览!F$2,宠物成长!$F$5:$K$25,3,FALSE)+0)</f>
        <v>543.90000000000009</v>
      </c>
      <c r="G84" s="9">
        <f>(宠物成长!$C$1+宠物成长!$C$2/宠物成长!$C$3*宠物成长!$E$30)*(1+VLOOKUP(宠物属性点预览!G$2,宠物成长!$F$4:$K$25,4,FALSE)+0)+(VLOOKUP(宠物属性点预览!$B84,宠物成长!$D$30:$E$129,2,FALSE)-宠物成长!$E$30)*宠物成长!$C$2/宠物成长!$C$3*(1+VLOOKUP(宠物属性点预览!G$2,宠物成长!$F$5:$K$25,3,FALSE)+0)</f>
        <v>683.59999999999991</v>
      </c>
      <c r="H84" s="9">
        <f>(宠物成长!$C$1+宠物成长!$C$2/宠物成长!$C$3*宠物成长!$E$30)*(1+VLOOKUP(宠物属性点预览!H$2,宠物成长!$F$4:$K$25,4,FALSE)+0)+(VLOOKUP(宠物属性点预览!$B84,宠物成长!$D$30:$E$129,2,FALSE)-宠物成长!$E$30)*宠物成长!$C$2/宠物成长!$C$3*(1+VLOOKUP(宠物属性点预览!H$2,宠物成长!$F$5:$K$25,3,FALSE)+0)</f>
        <v>872.9</v>
      </c>
      <c r="I84" s="9">
        <f>(宠物成长!$C$1+宠物成长!$C$2/宠物成长!$C$3*宠物成长!$E$30)*(1+VLOOKUP(宠物属性点预览!I$2,宠物成长!$F$4:$K$25,4,FALSE)+0)+(VLOOKUP(宠物属性点预览!$B84,宠物成长!$D$30:$E$129,2,FALSE)-宠物成长!$E$30)*宠物成长!$C$2/宠物成长!$C$3*(1+VLOOKUP(宠物属性点预览!I$2,宠物成长!$F$5:$K$25,3,FALSE)+0)</f>
        <v>1118</v>
      </c>
      <c r="J84" s="9">
        <f>(宠物成长!$C$1+宠物成长!$C$2/宠物成长!$C$3*宠物成长!$E$30)*(1+VLOOKUP(宠物属性点预览!J$2,宠物成长!$F$4:$K$25,4,FALSE)+0)+(VLOOKUP(宠物属性点预览!$B84,宠物成长!$D$30:$E$129,2,FALSE)-宠物成长!$E$30)*宠物成长!$C$2/宠物成长!$C$3*(1+VLOOKUP(宠物属性点预览!J$2,宠物成长!$F$5:$K$25,3,FALSE)+0)</f>
        <v>1388.1296296296296</v>
      </c>
      <c r="K84" s="9">
        <f>(宠物成长!$C$1+宠物成长!$C$2/宠物成长!$C$3*宠物成长!$E$30)*(1+VLOOKUP(宠物属性点预览!K$2,宠物成长!$F$4:$K$25,4,FALSE)+0)+(VLOOKUP(宠物属性点预览!$B84,宠物成长!$D$30:$E$129,2,FALSE)-宠物成长!$E$30)*宠物成长!$C$2/宠物成长!$C$3*(1+VLOOKUP(宠物属性点预览!K$2,宠物成长!$F$5:$K$25,3,FALSE)+0)</f>
        <v>1661.1296296296296</v>
      </c>
      <c r="L84" s="9">
        <f>(宠物成长!$C$1+宠物成长!$C$2/宠物成长!$C$3*宠物成长!$E$30)*(1+VLOOKUP(宠物属性点预览!L$2,宠物成长!$F$4:$K$25,4,FALSE)+0)+(VLOOKUP(宠物属性点预览!$B84,宠物成长!$D$30:$E$129,2,FALSE)-宠物成长!$E$30)*宠物成长!$C$2/宠物成长!$C$3*(1+VLOOKUP(宠物属性点预览!L$2,宠物成长!$F$5:$K$25,3,FALSE)+0)</f>
        <v>1936.2242242242241</v>
      </c>
      <c r="M84" s="9">
        <f>(宠物成长!$C$1+宠物成长!$C$2/宠物成长!$C$3*宠物成长!$E$30)*(1+VLOOKUP(宠物属性点预览!M$2,宠物成长!$F$4:$K$25,4,FALSE)+0)+(VLOOKUP(宠物属性点预览!$B84,宠物成长!$D$30:$E$129,2,FALSE)-宠物成长!$E$30)*宠物成长!$C$2/宠物成长!$C$3*(1+VLOOKUP(宠物属性点预览!M$2,宠物成长!$F$5:$K$25,3,FALSE)+0)</f>
        <v>2212.9147004147003</v>
      </c>
      <c r="N84" s="9">
        <f>(宠物成长!$C$1+宠物成长!$C$2/宠物成长!$C$3*宠物成长!$E$30)*(1+VLOOKUP(宠物属性点预览!N$2,宠物成长!$F$4:$K$25,4,FALSE)+0)+(VLOOKUP(宠物属性点预览!$B84,宠物成长!$D$30:$E$129,2,FALSE)-宠物成长!$E$30)*宠物成长!$C$2/宠物成长!$C$3*(1+VLOOKUP(宠物属性点预览!N$2,宠物成长!$F$5:$K$25,3,FALSE)+0)</f>
        <v>2490.8615089253385</v>
      </c>
      <c r="O84" s="9">
        <f>(宠物成长!$C$1+宠物成长!$C$2/宠物成长!$C$3*宠物成长!$E$30)*(1+VLOOKUP(宠物属性点预览!O$2,宠物成长!$F$4:$K$25,4,FALSE)+0)+(VLOOKUP(宠物属性点预览!$B84,宠物成长!$D$30:$E$129,2,FALSE)-宠物成长!$E$30)*宠物成长!$C$2/宠物成长!$C$3*(1+VLOOKUP(宠物属性点预览!O$2,宠物成长!$F$5:$K$25,3,FALSE)+0)</f>
        <v>2769.8230473868766</v>
      </c>
      <c r="P84" s="9">
        <f>(宠物成长!$C$1+宠物成长!$C$2/宠物成长!$C$3*宠物成长!$E$30)*(1+VLOOKUP(宠物属性点预览!P$2,宠物成长!$F$4:$K$25,4,FALSE)+0)+(VLOOKUP(宠物属性点预览!$B84,宠物成长!$D$30:$E$129,2,FALSE)-宠物成长!$E$30)*宠物成长!$C$2/宠物成长!$C$3*(1+VLOOKUP(宠物属性点预览!P$2,宠物成长!$F$5:$K$25,3,FALSE)+0)</f>
        <v>3049.6212930009119</v>
      </c>
      <c r="Q84" s="9">
        <f>(宠物成长!$C$1+宠物成长!$C$2/宠物成长!$C$3*宠物成长!$E$30)*(1+VLOOKUP(宠物属性点预览!Q$2,宠物成长!$F$4:$K$25,4,FALSE)+0)+(VLOOKUP(宠物属性点预览!$B84,宠物成长!$D$30:$E$129,2,FALSE)-宠物成长!$E$30)*宠物成长!$C$2/宠物成长!$C$3*(1+VLOOKUP(宠物属性点预览!Q$2,宠物成长!$F$5:$K$25,3,FALSE)+0)</f>
        <v>3330.1212930009119</v>
      </c>
      <c r="R84" s="9">
        <f>(宠物成长!$C$1+宠物成长!$C$2/宠物成长!$C$3*宠物成长!$E$30)*(1+VLOOKUP(宠物属性点预览!R$2,宠物成长!$F$4:$K$25,4,FALSE)+0)+(VLOOKUP(宠物属性点预览!$B84,宠物成长!$D$30:$E$129,2,FALSE)-宠物成长!$E$30)*宠物成长!$C$2/宠物成长!$C$3*(1+VLOOKUP(宠物属性点预览!R$2,宠物成长!$F$5:$K$25,3,FALSE)+0)</f>
        <v>3611.218307926285</v>
      </c>
      <c r="S84" s="9">
        <f>(宠物成长!$C$1+宠物成长!$C$2/宠物成长!$C$3*宠物成长!$E$30)*(1+VLOOKUP(宠物属性点预览!S$2,宠物成长!$F$4:$K$25,4,FALSE)+0)+(VLOOKUP(宠物属性点预览!$B84,宠物成长!$D$30:$E$129,2,FALSE)-宠物成长!$E$30)*宠物成长!$C$2/宠物成长!$C$3*(1+VLOOKUP(宠物属性点预览!S$2,宠物成长!$F$5:$K$25,3,FALSE)+0)</f>
        <v>3892.8294190373958</v>
      </c>
      <c r="T84" s="83">
        <f t="shared" ref="T84:T102" si="17">S84</f>
        <v>3892.8294190373958</v>
      </c>
      <c r="V84" s="9">
        <f>(宠物成长!$C$1+宠物成长!$C$2/宠物成长!$C$3*宠物成长!$E$30)*(1+宠物成长!$I$21+VLOOKUP(宠物属性点预览!V$2,宠物成长!$O$5:$R$10,3,FALSE))+(VLOOKUP(宠物属性点预览!$B84,宠物成长!$D$30:$E$129,2,FALSE)-宠物成长!$E$30)*宠物成长!$C$2/宠物成长!$C$3*(1+宠物成长!$H$21+VLOOKUP(宠物属性点预览!V$2,宠物成长!$O$5:$R$10,2,FALSE))</f>
        <v>3892.8294190373958</v>
      </c>
      <c r="W84" s="9">
        <f>(宠物成长!$C$1+宠物成长!$C$2/宠物成长!$C$3*宠物成长!$E$30)*(1+宠物成长!$I$21+VLOOKUP(宠物属性点预览!W$2,宠物成长!$O$5:$R$10,3,FALSE))+(VLOOKUP(宠物属性点预览!$B84,宠物成长!$D$30:$E$129,2,FALSE)-宠物成长!$E$30)*宠物成长!$C$2/宠物成长!$C$3*(1+宠物成长!$H$21+VLOOKUP(宠物属性点预览!W$2,宠物成长!$O$5:$R$10,2,FALSE))</f>
        <v>4283.8294190373963</v>
      </c>
      <c r="X84" s="9">
        <f>(宠物成长!$C$1+宠物成长!$C$2/宠物成长!$C$3*宠物成长!$E$30)*(1+宠物成长!$I$21+VLOOKUP(宠物属性点预览!X$2,宠物成长!$O$5:$R$10,3,FALSE))+(VLOOKUP(宠物属性点预览!$B84,宠物成长!$D$30:$E$129,2,FALSE)-宠物成长!$E$30)*宠物成长!$C$2/宠物成长!$C$3*(1+宠物成长!$H$21+VLOOKUP(宠物属性点预览!X$2,宠物成长!$O$5:$R$10,2,FALSE))</f>
        <v>4736.8294190373963</v>
      </c>
      <c r="Y84" s="9">
        <f>(宠物成长!$C$1+宠物成长!$C$2/宠物成长!$C$3*宠物成长!$E$30)*(1+宠物成长!$I$21+VLOOKUP(宠物属性点预览!Y$2,宠物成长!$O$5:$R$10,3,FALSE))+(VLOOKUP(宠物属性点预览!$B84,宠物成长!$D$30:$E$129,2,FALSE)-宠物成长!$E$30)*宠物成长!$C$2/宠物成长!$C$3*(1+宠物成长!$H$21+VLOOKUP(宠物属性点预览!Y$2,宠物成长!$O$5:$R$10,2,FALSE))</f>
        <v>5251.8294190373954</v>
      </c>
      <c r="Z84" s="9">
        <f>(宠物成长!$C$1+宠物成长!$C$2/宠物成长!$C$3*宠物成长!$E$30)*(1+宠物成长!$I$21+VLOOKUP(宠物属性点预览!Z$2,宠物成长!$O$5:$R$10,3,FALSE))+(VLOOKUP(宠物属性点预览!$B84,宠物成长!$D$30:$E$129,2,FALSE)-宠物成长!$E$30)*宠物成长!$C$2/宠物成长!$C$3*(1+宠物成长!$H$21+VLOOKUP(宠物属性点预览!Z$2,宠物成长!$O$5:$R$10,2,FALSE))</f>
        <v>5766.8294190373954</v>
      </c>
    </row>
    <row r="85" spans="2:26" x14ac:dyDescent="0.15">
      <c r="B85" s="1">
        <v>83</v>
      </c>
      <c r="C85" s="9">
        <f>(宠物成长!$C$1+宠物成长!$C$2/宠物成长!$C$3*宠物成长!$E$30)*(1+VLOOKUP(宠物属性点预览!C$2,宠物成长!$F$4:$K$25,4,FALSE)+0)+(VLOOKUP(宠物属性点预览!$B85,宠物成长!$D$30:$E$129,2,FALSE)-宠物成长!$E$30)*宠物成长!$C$2/宠物成长!$C$3*(1+VLOOKUP(宠物属性点预览!C$2,宠物成长!$F$5:$K$25,3,FALSE)+0)</f>
        <v>349</v>
      </c>
      <c r="D85" s="9">
        <f>(宠物成长!$C$1+宠物成长!$C$2/宠物成长!$C$3*宠物成长!$E$30)*(1+VLOOKUP(宠物属性点预览!D$2,宠物成长!$F$4:$K$25,4,FALSE)+0)+(VLOOKUP(宠物属性点预览!$B85,宠物成长!$D$30:$E$129,2,FALSE)-宠物成长!$E$30)*宠物成长!$C$2/宠物成长!$C$3*(1+VLOOKUP(宠物属性点预览!D$2,宠物成长!$F$5:$K$25,3,FALSE)+0)</f>
        <v>395.5</v>
      </c>
      <c r="E85" s="9">
        <f>(宠物成长!$C$1+宠物成长!$C$2/宠物成长!$C$3*宠物成长!$E$30)*(1+VLOOKUP(宠物属性点预览!E$2,宠物成长!$F$4:$K$25,4,FALSE)+0)+(VLOOKUP(宠物属性点预览!$B85,宠物成长!$D$30:$E$129,2,FALSE)-宠物成长!$E$30)*宠物成长!$C$2/宠物成长!$C$3*(1+VLOOKUP(宠物属性点预览!E$2,宠物成长!$F$5:$K$25,3,FALSE)+0)</f>
        <v>460.6</v>
      </c>
      <c r="F85" s="9">
        <f>(宠物成长!$C$1+宠物成长!$C$2/宠物成长!$C$3*宠物成长!$E$30)*(1+VLOOKUP(宠物属性点预览!F$2,宠物成长!$F$4:$K$25,4,FALSE)+0)+(VLOOKUP(宠物属性点预览!$B85,宠物成长!$D$30:$E$129,2,FALSE)-宠物成长!$E$30)*宠物成长!$C$2/宠物成长!$C$3*(1+VLOOKUP(宠物属性点预览!F$2,宠物成长!$F$5:$K$25,3,FALSE)+0)</f>
        <v>547.40000000000009</v>
      </c>
      <c r="G85" s="9">
        <f>(宠物成长!$C$1+宠物成长!$C$2/宠物成长!$C$3*宠物成长!$E$30)*(1+VLOOKUP(宠物属性点预览!G$2,宠物成长!$F$4:$K$25,4,FALSE)+0)+(VLOOKUP(宠物属性点预览!$B85,宠物成长!$D$30:$E$129,2,FALSE)-宠物成长!$E$30)*宠物成长!$C$2/宠物成长!$C$3*(1+VLOOKUP(宠物属性点预览!G$2,宠物成长!$F$5:$K$25,3,FALSE)+0)</f>
        <v>687.59999999999991</v>
      </c>
      <c r="H85" s="9">
        <f>(宠物成长!$C$1+宠物成长!$C$2/宠物成长!$C$3*宠物成长!$E$30)*(1+VLOOKUP(宠物属性点预览!H$2,宠物成长!$F$4:$K$25,4,FALSE)+0)+(VLOOKUP(宠物属性点预览!$B85,宠物成长!$D$30:$E$129,2,FALSE)-宠物成长!$E$30)*宠物成长!$C$2/宠物成长!$C$3*(1+VLOOKUP(宠物属性点预览!H$2,宠物成长!$F$5:$K$25,3,FALSE)+0)</f>
        <v>877.4</v>
      </c>
      <c r="I85" s="9">
        <f>(宠物成长!$C$1+宠物成长!$C$2/宠物成长!$C$3*宠物成长!$E$30)*(1+VLOOKUP(宠物属性点预览!I$2,宠物成长!$F$4:$K$25,4,FALSE)+0)+(VLOOKUP(宠物属性点预览!$B85,宠物成长!$D$30:$E$129,2,FALSE)-宠物成长!$E$30)*宠物成长!$C$2/宠物成长!$C$3*(1+VLOOKUP(宠物属性点预览!I$2,宠物成长!$F$5:$K$25,3,FALSE)+0)</f>
        <v>1123</v>
      </c>
      <c r="J85" s="9">
        <f>(宠物成长!$C$1+宠物成长!$C$2/宠物成长!$C$3*宠物成长!$E$30)*(1+VLOOKUP(宠物属性点预览!J$2,宠物成长!$F$4:$K$25,4,FALSE)+0)+(VLOOKUP(宠物属性点预览!$B85,宠物成长!$D$30:$E$129,2,FALSE)-宠物成长!$E$30)*宠物成长!$C$2/宠物成长!$C$3*(1+VLOOKUP(宠物属性点预览!J$2,宠物成长!$F$5:$K$25,3,FALSE)+0)</f>
        <v>1393.6296296296296</v>
      </c>
      <c r="K85" s="9">
        <f>(宠物成长!$C$1+宠物成长!$C$2/宠物成长!$C$3*宠物成长!$E$30)*(1+VLOOKUP(宠物属性点预览!K$2,宠物成长!$F$4:$K$25,4,FALSE)+0)+(VLOOKUP(宠物属性点预览!$B85,宠物成长!$D$30:$E$129,2,FALSE)-宠物成长!$E$30)*宠物成长!$C$2/宠物成长!$C$3*(1+VLOOKUP(宠物属性点预览!K$2,宠物成长!$F$5:$K$25,3,FALSE)+0)</f>
        <v>1667.1296296296296</v>
      </c>
      <c r="L85" s="9">
        <f>(宠物成长!$C$1+宠物成长!$C$2/宠物成长!$C$3*宠物成长!$E$30)*(1+VLOOKUP(宠物属性点预览!L$2,宠物成长!$F$4:$K$25,4,FALSE)+0)+(VLOOKUP(宠物属性点预览!$B85,宠物成长!$D$30:$E$129,2,FALSE)-宠物成长!$E$30)*宠物成长!$C$2/宠物成长!$C$3*(1+VLOOKUP(宠物属性点预览!L$2,宠物成长!$F$5:$K$25,3,FALSE)+0)</f>
        <v>1942.7242242242241</v>
      </c>
      <c r="M85" s="9">
        <f>(宠物成长!$C$1+宠物成长!$C$2/宠物成长!$C$3*宠物成长!$E$30)*(1+VLOOKUP(宠物属性点预览!M$2,宠物成长!$F$4:$K$25,4,FALSE)+0)+(VLOOKUP(宠物属性点预览!$B85,宠物成长!$D$30:$E$129,2,FALSE)-宠物成长!$E$30)*宠物成长!$C$2/宠物成长!$C$3*(1+VLOOKUP(宠物属性点预览!M$2,宠物成长!$F$5:$K$25,3,FALSE)+0)</f>
        <v>2219.9147004147003</v>
      </c>
      <c r="N85" s="9">
        <f>(宠物成长!$C$1+宠物成长!$C$2/宠物成长!$C$3*宠物成长!$E$30)*(1+VLOOKUP(宠物属性点预览!N$2,宠物成长!$F$4:$K$25,4,FALSE)+0)+(VLOOKUP(宠物属性点预览!$B85,宠物成长!$D$30:$E$129,2,FALSE)-宠物成长!$E$30)*宠物成长!$C$2/宠物成长!$C$3*(1+VLOOKUP(宠物属性点预览!N$2,宠物成长!$F$5:$K$25,3,FALSE)+0)</f>
        <v>2498.3615089253385</v>
      </c>
      <c r="O85" s="9">
        <f>(宠物成长!$C$1+宠物成长!$C$2/宠物成长!$C$3*宠物成长!$E$30)*(1+VLOOKUP(宠物属性点预览!O$2,宠物成长!$F$4:$K$25,4,FALSE)+0)+(VLOOKUP(宠物属性点预览!$B85,宠物成长!$D$30:$E$129,2,FALSE)-宠物成长!$E$30)*宠物成长!$C$2/宠物成长!$C$3*(1+VLOOKUP(宠物属性点预览!O$2,宠物成长!$F$5:$K$25,3,FALSE)+0)</f>
        <v>2777.8230473868766</v>
      </c>
      <c r="P85" s="9">
        <f>(宠物成长!$C$1+宠物成长!$C$2/宠物成长!$C$3*宠物成长!$E$30)*(1+VLOOKUP(宠物属性点预览!P$2,宠物成长!$F$4:$K$25,4,FALSE)+0)+(VLOOKUP(宠物属性点预览!$B85,宠物成长!$D$30:$E$129,2,FALSE)-宠物成长!$E$30)*宠物成长!$C$2/宠物成长!$C$3*(1+VLOOKUP(宠物属性点预览!P$2,宠物成长!$F$5:$K$25,3,FALSE)+0)</f>
        <v>3058.1212930009119</v>
      </c>
      <c r="Q85" s="9">
        <f>(宠物成长!$C$1+宠物成长!$C$2/宠物成长!$C$3*宠物成长!$E$30)*(1+VLOOKUP(宠物属性点预览!Q$2,宠物成长!$F$4:$K$25,4,FALSE)+0)+(VLOOKUP(宠物属性点预览!$B85,宠物成长!$D$30:$E$129,2,FALSE)-宠物成长!$E$30)*宠物成长!$C$2/宠物成长!$C$3*(1+VLOOKUP(宠物属性点预览!Q$2,宠物成长!$F$5:$K$25,3,FALSE)+0)</f>
        <v>3339.1212930009119</v>
      </c>
      <c r="R85" s="9">
        <f>(宠物成长!$C$1+宠物成长!$C$2/宠物成长!$C$3*宠物成长!$E$30)*(1+VLOOKUP(宠物属性点预览!R$2,宠物成长!$F$4:$K$25,4,FALSE)+0)+(VLOOKUP(宠物属性点预览!$B85,宠物成长!$D$30:$E$129,2,FALSE)-宠物成长!$E$30)*宠物成长!$C$2/宠物成长!$C$3*(1+VLOOKUP(宠物属性点预览!R$2,宠物成长!$F$5:$K$25,3,FALSE)+0)</f>
        <v>3620.718307926285</v>
      </c>
      <c r="S85" s="9">
        <f>(宠物成长!$C$1+宠物成长!$C$2/宠物成长!$C$3*宠物成长!$E$30)*(1+VLOOKUP(宠物属性点预览!S$2,宠物成长!$F$4:$K$25,4,FALSE)+0)+(VLOOKUP(宠物属性点预览!$B85,宠物成长!$D$30:$E$129,2,FALSE)-宠物成长!$E$30)*宠物成长!$C$2/宠物成长!$C$3*(1+VLOOKUP(宠物属性点预览!S$2,宠物成长!$F$5:$K$25,3,FALSE)+0)</f>
        <v>3902.8294190373958</v>
      </c>
      <c r="T85" s="83">
        <f t="shared" si="17"/>
        <v>3902.8294190373958</v>
      </c>
      <c r="V85" s="9">
        <f>(宠物成长!$C$1+宠物成长!$C$2/宠物成长!$C$3*宠物成长!$E$30)*(1+宠物成长!$I$21+VLOOKUP(宠物属性点预览!V$2,宠物成长!$O$5:$R$10,3,FALSE))+(VLOOKUP(宠物属性点预览!$B85,宠物成长!$D$30:$E$129,2,FALSE)-宠物成长!$E$30)*宠物成长!$C$2/宠物成长!$C$3*(1+宠物成长!$H$21+VLOOKUP(宠物属性点预览!V$2,宠物成长!$O$5:$R$10,2,FALSE))</f>
        <v>3902.8294190373958</v>
      </c>
      <c r="W85" s="9">
        <f>(宠物成长!$C$1+宠物成长!$C$2/宠物成长!$C$3*宠物成长!$E$30)*(1+宠物成长!$I$21+VLOOKUP(宠物属性点预览!W$2,宠物成长!$O$5:$R$10,3,FALSE))+(VLOOKUP(宠物属性点预览!$B85,宠物成长!$D$30:$E$129,2,FALSE)-宠物成长!$E$30)*宠物成长!$C$2/宠物成长!$C$3*(1+宠物成长!$H$21+VLOOKUP(宠物属性点预览!W$2,宠物成长!$O$5:$R$10,2,FALSE))</f>
        <v>4294.8294190373963</v>
      </c>
      <c r="X85" s="9">
        <f>(宠物成长!$C$1+宠物成长!$C$2/宠物成长!$C$3*宠物成长!$E$30)*(1+宠物成长!$I$21+VLOOKUP(宠物属性点预览!X$2,宠物成长!$O$5:$R$10,3,FALSE))+(VLOOKUP(宠物属性点预览!$B85,宠物成长!$D$30:$E$129,2,FALSE)-宠物成长!$E$30)*宠物成长!$C$2/宠物成长!$C$3*(1+宠物成长!$H$21+VLOOKUP(宠物属性点预览!X$2,宠物成长!$O$5:$R$10,2,FALSE))</f>
        <v>4748.8294190373963</v>
      </c>
      <c r="Y85" s="9">
        <f>(宠物成长!$C$1+宠物成长!$C$2/宠物成长!$C$3*宠物成长!$E$30)*(1+宠物成长!$I$21+VLOOKUP(宠物属性点预览!Y$2,宠物成长!$O$5:$R$10,3,FALSE))+(VLOOKUP(宠物属性点预览!$B85,宠物成长!$D$30:$E$129,2,FALSE)-宠物成长!$E$30)*宠物成长!$C$2/宠物成长!$C$3*(1+宠物成长!$H$21+VLOOKUP(宠物属性点预览!Y$2,宠物成长!$O$5:$R$10,2,FALSE))</f>
        <v>5264.8294190373954</v>
      </c>
      <c r="Z85" s="9">
        <f>(宠物成长!$C$1+宠物成长!$C$2/宠物成长!$C$3*宠物成长!$E$30)*(1+宠物成长!$I$21+VLOOKUP(宠物属性点预览!Z$2,宠物成长!$O$5:$R$10,3,FALSE))+(VLOOKUP(宠物属性点预览!$B85,宠物成长!$D$30:$E$129,2,FALSE)-宠物成长!$E$30)*宠物成长!$C$2/宠物成长!$C$3*(1+宠物成长!$H$21+VLOOKUP(宠物属性点预览!Z$2,宠物成长!$O$5:$R$10,2,FALSE))</f>
        <v>5780.8294190373954</v>
      </c>
    </row>
    <row r="86" spans="2:26" x14ac:dyDescent="0.15">
      <c r="B86" s="1">
        <v>84</v>
      </c>
      <c r="C86" s="9">
        <f>(宠物成长!$C$1+宠物成长!$C$2/宠物成长!$C$3*宠物成长!$E$30)*(1+VLOOKUP(宠物属性点预览!C$2,宠物成长!$F$4:$K$25,4,FALSE)+0)+(VLOOKUP(宠物属性点预览!$B86,宠物成长!$D$30:$E$129,2,FALSE)-宠物成长!$E$30)*宠物成长!$C$2/宠物成长!$C$3*(1+VLOOKUP(宠物属性点预览!C$2,宠物成长!$F$5:$K$25,3,FALSE)+0)</f>
        <v>352.5</v>
      </c>
      <c r="D86" s="9">
        <f>(宠物成长!$C$1+宠物成长!$C$2/宠物成长!$C$3*宠物成长!$E$30)*(1+VLOOKUP(宠物属性点预览!D$2,宠物成长!$F$4:$K$25,4,FALSE)+0)+(VLOOKUP(宠物属性点预览!$B86,宠物成长!$D$30:$E$129,2,FALSE)-宠物成长!$E$30)*宠物成长!$C$2/宠物成长!$C$3*(1+VLOOKUP(宠物属性点预览!D$2,宠物成长!$F$5:$K$25,3,FALSE)+0)</f>
        <v>399</v>
      </c>
      <c r="E86" s="9">
        <f>(宠物成长!$C$1+宠物成长!$C$2/宠物成长!$C$3*宠物成长!$E$30)*(1+VLOOKUP(宠物属性点预览!E$2,宠物成长!$F$4:$K$25,4,FALSE)+0)+(VLOOKUP(宠物属性点预览!$B86,宠物成长!$D$30:$E$129,2,FALSE)-宠物成长!$E$30)*宠物成长!$C$2/宠物成长!$C$3*(1+VLOOKUP(宠物属性点预览!E$2,宠物成长!$F$5:$K$25,3,FALSE)+0)</f>
        <v>464.1</v>
      </c>
      <c r="F86" s="9">
        <f>(宠物成长!$C$1+宠物成长!$C$2/宠物成长!$C$3*宠物成长!$E$30)*(1+VLOOKUP(宠物属性点预览!F$2,宠物成长!$F$4:$K$25,4,FALSE)+0)+(VLOOKUP(宠物属性点预览!$B86,宠物成长!$D$30:$E$129,2,FALSE)-宠物成长!$E$30)*宠物成长!$C$2/宠物成长!$C$3*(1+VLOOKUP(宠物属性点预览!F$2,宠物成长!$F$5:$K$25,3,FALSE)+0)</f>
        <v>550.90000000000009</v>
      </c>
      <c r="G86" s="9">
        <f>(宠物成长!$C$1+宠物成长!$C$2/宠物成长!$C$3*宠物成长!$E$30)*(1+VLOOKUP(宠物属性点预览!G$2,宠物成长!$F$4:$K$25,4,FALSE)+0)+(VLOOKUP(宠物属性点预览!$B86,宠物成长!$D$30:$E$129,2,FALSE)-宠物成长!$E$30)*宠物成长!$C$2/宠物成长!$C$3*(1+VLOOKUP(宠物属性点预览!G$2,宠物成长!$F$5:$K$25,3,FALSE)+0)</f>
        <v>691.59999999999991</v>
      </c>
      <c r="H86" s="9">
        <f>(宠物成长!$C$1+宠物成长!$C$2/宠物成长!$C$3*宠物成长!$E$30)*(1+VLOOKUP(宠物属性点预览!H$2,宠物成长!$F$4:$K$25,4,FALSE)+0)+(VLOOKUP(宠物属性点预览!$B86,宠物成长!$D$30:$E$129,2,FALSE)-宠物成长!$E$30)*宠物成长!$C$2/宠物成长!$C$3*(1+VLOOKUP(宠物属性点预览!H$2,宠物成长!$F$5:$K$25,3,FALSE)+0)</f>
        <v>881.9</v>
      </c>
      <c r="I86" s="9">
        <f>(宠物成长!$C$1+宠物成长!$C$2/宠物成长!$C$3*宠物成长!$E$30)*(1+VLOOKUP(宠物属性点预览!I$2,宠物成长!$F$4:$K$25,4,FALSE)+0)+(VLOOKUP(宠物属性点预览!$B86,宠物成长!$D$30:$E$129,2,FALSE)-宠物成长!$E$30)*宠物成长!$C$2/宠物成长!$C$3*(1+VLOOKUP(宠物属性点预览!I$2,宠物成长!$F$5:$K$25,3,FALSE)+0)</f>
        <v>1128</v>
      </c>
      <c r="J86" s="9">
        <f>(宠物成长!$C$1+宠物成长!$C$2/宠物成长!$C$3*宠物成长!$E$30)*(1+VLOOKUP(宠物属性点预览!J$2,宠物成长!$F$4:$K$25,4,FALSE)+0)+(VLOOKUP(宠物属性点预览!$B86,宠物成长!$D$30:$E$129,2,FALSE)-宠物成长!$E$30)*宠物成长!$C$2/宠物成长!$C$3*(1+VLOOKUP(宠物属性点预览!J$2,宠物成长!$F$5:$K$25,3,FALSE)+0)</f>
        <v>1399.1296296296296</v>
      </c>
      <c r="K86" s="9">
        <f>(宠物成长!$C$1+宠物成长!$C$2/宠物成长!$C$3*宠物成长!$E$30)*(1+VLOOKUP(宠物属性点预览!K$2,宠物成长!$F$4:$K$25,4,FALSE)+0)+(VLOOKUP(宠物属性点预览!$B86,宠物成长!$D$30:$E$129,2,FALSE)-宠物成长!$E$30)*宠物成长!$C$2/宠物成长!$C$3*(1+VLOOKUP(宠物属性点预览!K$2,宠物成长!$F$5:$K$25,3,FALSE)+0)</f>
        <v>1673.1296296296296</v>
      </c>
      <c r="L86" s="9">
        <f>(宠物成长!$C$1+宠物成长!$C$2/宠物成长!$C$3*宠物成长!$E$30)*(1+VLOOKUP(宠物属性点预览!L$2,宠物成长!$F$4:$K$25,4,FALSE)+0)+(VLOOKUP(宠物属性点预览!$B86,宠物成长!$D$30:$E$129,2,FALSE)-宠物成长!$E$30)*宠物成长!$C$2/宠物成长!$C$3*(1+VLOOKUP(宠物属性点预览!L$2,宠物成长!$F$5:$K$25,3,FALSE)+0)</f>
        <v>1949.2242242242241</v>
      </c>
      <c r="M86" s="9">
        <f>(宠物成长!$C$1+宠物成长!$C$2/宠物成长!$C$3*宠物成长!$E$30)*(1+VLOOKUP(宠物属性点预览!M$2,宠物成长!$F$4:$K$25,4,FALSE)+0)+(VLOOKUP(宠物属性点预览!$B86,宠物成长!$D$30:$E$129,2,FALSE)-宠物成长!$E$30)*宠物成长!$C$2/宠物成长!$C$3*(1+VLOOKUP(宠物属性点预览!M$2,宠物成长!$F$5:$K$25,3,FALSE)+0)</f>
        <v>2226.9147004147003</v>
      </c>
      <c r="N86" s="9">
        <f>(宠物成长!$C$1+宠物成长!$C$2/宠物成长!$C$3*宠物成长!$E$30)*(1+VLOOKUP(宠物属性点预览!N$2,宠物成长!$F$4:$K$25,4,FALSE)+0)+(VLOOKUP(宠物属性点预览!$B86,宠物成长!$D$30:$E$129,2,FALSE)-宠物成长!$E$30)*宠物成长!$C$2/宠物成长!$C$3*(1+VLOOKUP(宠物属性点预览!N$2,宠物成长!$F$5:$K$25,3,FALSE)+0)</f>
        <v>2505.8615089253385</v>
      </c>
      <c r="O86" s="9">
        <f>(宠物成长!$C$1+宠物成长!$C$2/宠物成长!$C$3*宠物成长!$E$30)*(1+VLOOKUP(宠物属性点预览!O$2,宠物成长!$F$4:$K$25,4,FALSE)+0)+(VLOOKUP(宠物属性点预览!$B86,宠物成长!$D$30:$E$129,2,FALSE)-宠物成长!$E$30)*宠物成长!$C$2/宠物成长!$C$3*(1+VLOOKUP(宠物属性点预览!O$2,宠物成长!$F$5:$K$25,3,FALSE)+0)</f>
        <v>2785.8230473868766</v>
      </c>
      <c r="P86" s="9">
        <f>(宠物成长!$C$1+宠物成长!$C$2/宠物成长!$C$3*宠物成长!$E$30)*(1+VLOOKUP(宠物属性点预览!P$2,宠物成长!$F$4:$K$25,4,FALSE)+0)+(VLOOKUP(宠物属性点预览!$B86,宠物成长!$D$30:$E$129,2,FALSE)-宠物成长!$E$30)*宠物成长!$C$2/宠物成长!$C$3*(1+VLOOKUP(宠物属性点预览!P$2,宠物成长!$F$5:$K$25,3,FALSE)+0)</f>
        <v>3066.6212930009119</v>
      </c>
      <c r="Q86" s="9">
        <f>(宠物成长!$C$1+宠物成长!$C$2/宠物成长!$C$3*宠物成长!$E$30)*(1+VLOOKUP(宠物属性点预览!Q$2,宠物成长!$F$4:$K$25,4,FALSE)+0)+(VLOOKUP(宠物属性点预览!$B86,宠物成长!$D$30:$E$129,2,FALSE)-宠物成长!$E$30)*宠物成长!$C$2/宠物成长!$C$3*(1+VLOOKUP(宠物属性点预览!Q$2,宠物成长!$F$5:$K$25,3,FALSE)+0)</f>
        <v>3348.1212930009119</v>
      </c>
      <c r="R86" s="9">
        <f>(宠物成长!$C$1+宠物成长!$C$2/宠物成长!$C$3*宠物成长!$E$30)*(1+VLOOKUP(宠物属性点预览!R$2,宠物成长!$F$4:$K$25,4,FALSE)+0)+(VLOOKUP(宠物属性点预览!$B86,宠物成长!$D$30:$E$129,2,FALSE)-宠物成长!$E$30)*宠物成长!$C$2/宠物成长!$C$3*(1+VLOOKUP(宠物属性点预览!R$2,宠物成长!$F$5:$K$25,3,FALSE)+0)</f>
        <v>3630.218307926285</v>
      </c>
      <c r="S86" s="9">
        <f>(宠物成长!$C$1+宠物成长!$C$2/宠物成长!$C$3*宠物成长!$E$30)*(1+VLOOKUP(宠物属性点预览!S$2,宠物成长!$F$4:$K$25,4,FALSE)+0)+(VLOOKUP(宠物属性点预览!$B86,宠物成长!$D$30:$E$129,2,FALSE)-宠物成长!$E$30)*宠物成长!$C$2/宠物成长!$C$3*(1+VLOOKUP(宠物属性点预览!S$2,宠物成长!$F$5:$K$25,3,FALSE)+0)</f>
        <v>3912.8294190373958</v>
      </c>
      <c r="T86" s="83">
        <f t="shared" si="17"/>
        <v>3912.8294190373958</v>
      </c>
      <c r="V86" s="9">
        <f>(宠物成长!$C$1+宠物成长!$C$2/宠物成长!$C$3*宠物成长!$E$30)*(1+宠物成长!$I$21+VLOOKUP(宠物属性点预览!V$2,宠物成长!$O$5:$R$10,3,FALSE))+(VLOOKUP(宠物属性点预览!$B86,宠物成长!$D$30:$E$129,2,FALSE)-宠物成长!$E$30)*宠物成长!$C$2/宠物成长!$C$3*(1+宠物成长!$H$21+VLOOKUP(宠物属性点预览!V$2,宠物成长!$O$5:$R$10,2,FALSE))</f>
        <v>3912.8294190373958</v>
      </c>
      <c r="W86" s="9">
        <f>(宠物成长!$C$1+宠物成长!$C$2/宠物成长!$C$3*宠物成长!$E$30)*(1+宠物成长!$I$21+VLOOKUP(宠物属性点预览!W$2,宠物成长!$O$5:$R$10,3,FALSE))+(VLOOKUP(宠物属性点预览!$B86,宠物成长!$D$30:$E$129,2,FALSE)-宠物成长!$E$30)*宠物成长!$C$2/宠物成长!$C$3*(1+宠物成长!$H$21+VLOOKUP(宠物属性点预览!W$2,宠物成长!$O$5:$R$10,2,FALSE))</f>
        <v>4305.8294190373963</v>
      </c>
      <c r="X86" s="9">
        <f>(宠物成长!$C$1+宠物成长!$C$2/宠物成长!$C$3*宠物成长!$E$30)*(1+宠物成长!$I$21+VLOOKUP(宠物属性点预览!X$2,宠物成长!$O$5:$R$10,3,FALSE))+(VLOOKUP(宠物属性点预览!$B86,宠物成长!$D$30:$E$129,2,FALSE)-宠物成长!$E$30)*宠物成长!$C$2/宠物成长!$C$3*(1+宠物成长!$H$21+VLOOKUP(宠物属性点预览!X$2,宠物成长!$O$5:$R$10,2,FALSE))</f>
        <v>4760.8294190373963</v>
      </c>
      <c r="Y86" s="9">
        <f>(宠物成长!$C$1+宠物成长!$C$2/宠物成长!$C$3*宠物成长!$E$30)*(1+宠物成长!$I$21+VLOOKUP(宠物属性点预览!Y$2,宠物成长!$O$5:$R$10,3,FALSE))+(VLOOKUP(宠物属性点预览!$B86,宠物成长!$D$30:$E$129,2,FALSE)-宠物成长!$E$30)*宠物成长!$C$2/宠物成长!$C$3*(1+宠物成长!$H$21+VLOOKUP(宠物属性点预览!Y$2,宠物成长!$O$5:$R$10,2,FALSE))</f>
        <v>5277.8294190373954</v>
      </c>
      <c r="Z86" s="9">
        <f>(宠物成长!$C$1+宠物成长!$C$2/宠物成长!$C$3*宠物成长!$E$30)*(1+宠物成长!$I$21+VLOOKUP(宠物属性点预览!Z$2,宠物成长!$O$5:$R$10,3,FALSE))+(VLOOKUP(宠物属性点预览!$B86,宠物成长!$D$30:$E$129,2,FALSE)-宠物成长!$E$30)*宠物成长!$C$2/宠物成长!$C$3*(1+宠物成长!$H$21+VLOOKUP(宠物属性点预览!Z$2,宠物成长!$O$5:$R$10,2,FALSE))</f>
        <v>5794.8294190373954</v>
      </c>
    </row>
    <row r="87" spans="2:26" x14ac:dyDescent="0.15">
      <c r="B87" s="1">
        <v>85</v>
      </c>
      <c r="C87" s="9">
        <f>(宠物成长!$C$1+宠物成长!$C$2/宠物成长!$C$3*宠物成长!$E$30)*(1+VLOOKUP(宠物属性点预览!C$2,宠物成长!$F$4:$K$25,4,FALSE)+0)+(VLOOKUP(宠物属性点预览!$B87,宠物成长!$D$30:$E$129,2,FALSE)-宠物成长!$E$30)*宠物成长!$C$2/宠物成长!$C$3*(1+VLOOKUP(宠物属性点预览!C$2,宠物成长!$F$5:$K$25,3,FALSE)+0)</f>
        <v>356</v>
      </c>
      <c r="D87" s="9">
        <f>(宠物成长!$C$1+宠物成长!$C$2/宠物成长!$C$3*宠物成长!$E$30)*(1+VLOOKUP(宠物属性点预览!D$2,宠物成长!$F$4:$K$25,4,FALSE)+0)+(VLOOKUP(宠物属性点预览!$B87,宠物成长!$D$30:$E$129,2,FALSE)-宠物成长!$E$30)*宠物成长!$C$2/宠物成长!$C$3*(1+VLOOKUP(宠物属性点预览!D$2,宠物成长!$F$5:$K$25,3,FALSE)+0)</f>
        <v>402.5</v>
      </c>
      <c r="E87" s="9">
        <f>(宠物成长!$C$1+宠物成长!$C$2/宠物成长!$C$3*宠物成长!$E$30)*(1+VLOOKUP(宠物属性点预览!E$2,宠物成长!$F$4:$K$25,4,FALSE)+0)+(VLOOKUP(宠物属性点预览!$B87,宠物成长!$D$30:$E$129,2,FALSE)-宠物成长!$E$30)*宠物成长!$C$2/宠物成长!$C$3*(1+VLOOKUP(宠物属性点预览!E$2,宠物成长!$F$5:$K$25,3,FALSE)+0)</f>
        <v>467.6</v>
      </c>
      <c r="F87" s="9">
        <f>(宠物成长!$C$1+宠物成长!$C$2/宠物成长!$C$3*宠物成长!$E$30)*(1+VLOOKUP(宠物属性点预览!F$2,宠物成长!$F$4:$K$25,4,FALSE)+0)+(VLOOKUP(宠物属性点预览!$B87,宠物成长!$D$30:$E$129,2,FALSE)-宠物成长!$E$30)*宠物成长!$C$2/宠物成长!$C$3*(1+VLOOKUP(宠物属性点预览!F$2,宠物成长!$F$5:$K$25,3,FALSE)+0)</f>
        <v>554.40000000000009</v>
      </c>
      <c r="G87" s="9">
        <f>(宠物成长!$C$1+宠物成长!$C$2/宠物成长!$C$3*宠物成长!$E$30)*(1+VLOOKUP(宠物属性点预览!G$2,宠物成长!$F$4:$K$25,4,FALSE)+0)+(VLOOKUP(宠物属性点预览!$B87,宠物成长!$D$30:$E$129,2,FALSE)-宠物成长!$E$30)*宠物成长!$C$2/宠物成长!$C$3*(1+VLOOKUP(宠物属性点预览!G$2,宠物成长!$F$5:$K$25,3,FALSE)+0)</f>
        <v>695.59999999999991</v>
      </c>
      <c r="H87" s="9">
        <f>(宠物成长!$C$1+宠物成长!$C$2/宠物成长!$C$3*宠物成长!$E$30)*(1+VLOOKUP(宠物属性点预览!H$2,宠物成长!$F$4:$K$25,4,FALSE)+0)+(VLOOKUP(宠物属性点预览!$B87,宠物成长!$D$30:$E$129,2,FALSE)-宠物成长!$E$30)*宠物成长!$C$2/宠物成长!$C$3*(1+VLOOKUP(宠物属性点预览!H$2,宠物成长!$F$5:$K$25,3,FALSE)+0)</f>
        <v>886.4</v>
      </c>
      <c r="I87" s="9">
        <f>(宠物成长!$C$1+宠物成长!$C$2/宠物成长!$C$3*宠物成长!$E$30)*(1+VLOOKUP(宠物属性点预览!I$2,宠物成长!$F$4:$K$25,4,FALSE)+0)+(VLOOKUP(宠物属性点预览!$B87,宠物成长!$D$30:$E$129,2,FALSE)-宠物成长!$E$30)*宠物成长!$C$2/宠物成长!$C$3*(1+VLOOKUP(宠物属性点预览!I$2,宠物成长!$F$5:$K$25,3,FALSE)+0)</f>
        <v>1133</v>
      </c>
      <c r="J87" s="9">
        <f>(宠物成长!$C$1+宠物成长!$C$2/宠物成长!$C$3*宠物成长!$E$30)*(1+VLOOKUP(宠物属性点预览!J$2,宠物成长!$F$4:$K$25,4,FALSE)+0)+(VLOOKUP(宠物属性点预览!$B87,宠物成长!$D$30:$E$129,2,FALSE)-宠物成长!$E$30)*宠物成长!$C$2/宠物成长!$C$3*(1+VLOOKUP(宠物属性点预览!J$2,宠物成长!$F$5:$K$25,3,FALSE)+0)</f>
        <v>1404.6296296296296</v>
      </c>
      <c r="K87" s="9">
        <f>(宠物成长!$C$1+宠物成长!$C$2/宠物成长!$C$3*宠物成长!$E$30)*(1+VLOOKUP(宠物属性点预览!K$2,宠物成长!$F$4:$K$25,4,FALSE)+0)+(VLOOKUP(宠物属性点预览!$B87,宠物成长!$D$30:$E$129,2,FALSE)-宠物成长!$E$30)*宠物成长!$C$2/宠物成长!$C$3*(1+VLOOKUP(宠物属性点预览!K$2,宠物成长!$F$5:$K$25,3,FALSE)+0)</f>
        <v>1679.1296296296296</v>
      </c>
      <c r="L87" s="9">
        <f>(宠物成长!$C$1+宠物成长!$C$2/宠物成长!$C$3*宠物成长!$E$30)*(1+VLOOKUP(宠物属性点预览!L$2,宠物成长!$F$4:$K$25,4,FALSE)+0)+(VLOOKUP(宠物属性点预览!$B87,宠物成长!$D$30:$E$129,2,FALSE)-宠物成长!$E$30)*宠物成长!$C$2/宠物成长!$C$3*(1+VLOOKUP(宠物属性点预览!L$2,宠物成长!$F$5:$K$25,3,FALSE)+0)</f>
        <v>1955.7242242242241</v>
      </c>
      <c r="M87" s="9">
        <f>(宠物成长!$C$1+宠物成长!$C$2/宠物成长!$C$3*宠物成长!$E$30)*(1+VLOOKUP(宠物属性点预览!M$2,宠物成长!$F$4:$K$25,4,FALSE)+0)+(VLOOKUP(宠物属性点预览!$B87,宠物成长!$D$30:$E$129,2,FALSE)-宠物成长!$E$30)*宠物成长!$C$2/宠物成长!$C$3*(1+VLOOKUP(宠物属性点预览!M$2,宠物成长!$F$5:$K$25,3,FALSE)+0)</f>
        <v>2233.9147004147003</v>
      </c>
      <c r="N87" s="9">
        <f>(宠物成长!$C$1+宠物成长!$C$2/宠物成长!$C$3*宠物成长!$E$30)*(1+VLOOKUP(宠物属性点预览!N$2,宠物成长!$F$4:$K$25,4,FALSE)+0)+(VLOOKUP(宠物属性点预览!$B87,宠物成长!$D$30:$E$129,2,FALSE)-宠物成长!$E$30)*宠物成长!$C$2/宠物成长!$C$3*(1+VLOOKUP(宠物属性点预览!N$2,宠物成长!$F$5:$K$25,3,FALSE)+0)</f>
        <v>2513.3615089253385</v>
      </c>
      <c r="O87" s="9">
        <f>(宠物成长!$C$1+宠物成长!$C$2/宠物成长!$C$3*宠物成长!$E$30)*(1+VLOOKUP(宠物属性点预览!O$2,宠物成长!$F$4:$K$25,4,FALSE)+0)+(VLOOKUP(宠物属性点预览!$B87,宠物成长!$D$30:$E$129,2,FALSE)-宠物成长!$E$30)*宠物成长!$C$2/宠物成长!$C$3*(1+VLOOKUP(宠物属性点预览!O$2,宠物成长!$F$5:$K$25,3,FALSE)+0)</f>
        <v>2793.8230473868766</v>
      </c>
      <c r="P87" s="9">
        <f>(宠物成长!$C$1+宠物成长!$C$2/宠物成长!$C$3*宠物成长!$E$30)*(1+VLOOKUP(宠物属性点预览!P$2,宠物成长!$F$4:$K$25,4,FALSE)+0)+(VLOOKUP(宠物属性点预览!$B87,宠物成长!$D$30:$E$129,2,FALSE)-宠物成长!$E$30)*宠物成长!$C$2/宠物成长!$C$3*(1+VLOOKUP(宠物属性点预览!P$2,宠物成长!$F$5:$K$25,3,FALSE)+0)</f>
        <v>3075.1212930009119</v>
      </c>
      <c r="Q87" s="9">
        <f>(宠物成长!$C$1+宠物成长!$C$2/宠物成长!$C$3*宠物成长!$E$30)*(1+VLOOKUP(宠物属性点预览!Q$2,宠物成长!$F$4:$K$25,4,FALSE)+0)+(VLOOKUP(宠物属性点预览!$B87,宠物成长!$D$30:$E$129,2,FALSE)-宠物成长!$E$30)*宠物成长!$C$2/宠物成长!$C$3*(1+VLOOKUP(宠物属性点预览!Q$2,宠物成长!$F$5:$K$25,3,FALSE)+0)</f>
        <v>3357.1212930009119</v>
      </c>
      <c r="R87" s="9">
        <f>(宠物成长!$C$1+宠物成长!$C$2/宠物成长!$C$3*宠物成长!$E$30)*(1+VLOOKUP(宠物属性点预览!R$2,宠物成长!$F$4:$K$25,4,FALSE)+0)+(VLOOKUP(宠物属性点预览!$B87,宠物成长!$D$30:$E$129,2,FALSE)-宠物成长!$E$30)*宠物成长!$C$2/宠物成长!$C$3*(1+VLOOKUP(宠物属性点预览!R$2,宠物成长!$F$5:$K$25,3,FALSE)+0)</f>
        <v>3639.718307926285</v>
      </c>
      <c r="S87" s="9">
        <f>(宠物成长!$C$1+宠物成长!$C$2/宠物成长!$C$3*宠物成长!$E$30)*(1+VLOOKUP(宠物属性点预览!S$2,宠物成长!$F$4:$K$25,4,FALSE)+0)+(VLOOKUP(宠物属性点预览!$B87,宠物成长!$D$30:$E$129,2,FALSE)-宠物成长!$E$30)*宠物成长!$C$2/宠物成长!$C$3*(1+VLOOKUP(宠物属性点预览!S$2,宠物成长!$F$5:$K$25,3,FALSE)+0)</f>
        <v>3922.8294190373958</v>
      </c>
      <c r="T87" s="83">
        <f t="shared" si="17"/>
        <v>3922.8294190373958</v>
      </c>
      <c r="V87" s="9">
        <f>(宠物成长!$C$1+宠物成长!$C$2/宠物成长!$C$3*宠物成长!$E$30)*(1+宠物成长!$I$21+VLOOKUP(宠物属性点预览!V$2,宠物成长!$O$5:$R$10,3,FALSE))+(VLOOKUP(宠物属性点预览!$B87,宠物成长!$D$30:$E$129,2,FALSE)-宠物成长!$E$30)*宠物成长!$C$2/宠物成长!$C$3*(1+宠物成长!$H$21+VLOOKUP(宠物属性点预览!V$2,宠物成长!$O$5:$R$10,2,FALSE))</f>
        <v>3922.8294190373958</v>
      </c>
      <c r="W87" s="9">
        <f>(宠物成长!$C$1+宠物成长!$C$2/宠物成长!$C$3*宠物成长!$E$30)*(1+宠物成长!$I$21+VLOOKUP(宠物属性点预览!W$2,宠物成长!$O$5:$R$10,3,FALSE))+(VLOOKUP(宠物属性点预览!$B87,宠物成长!$D$30:$E$129,2,FALSE)-宠物成长!$E$30)*宠物成长!$C$2/宠物成长!$C$3*(1+宠物成长!$H$21+VLOOKUP(宠物属性点预览!W$2,宠物成长!$O$5:$R$10,2,FALSE))</f>
        <v>4316.8294190373963</v>
      </c>
      <c r="X87" s="9">
        <f>(宠物成长!$C$1+宠物成长!$C$2/宠物成长!$C$3*宠物成长!$E$30)*(1+宠物成长!$I$21+VLOOKUP(宠物属性点预览!X$2,宠物成长!$O$5:$R$10,3,FALSE))+(VLOOKUP(宠物属性点预览!$B87,宠物成长!$D$30:$E$129,2,FALSE)-宠物成长!$E$30)*宠物成长!$C$2/宠物成长!$C$3*(1+宠物成长!$H$21+VLOOKUP(宠物属性点预览!X$2,宠物成长!$O$5:$R$10,2,FALSE))</f>
        <v>4772.8294190373963</v>
      </c>
      <c r="Y87" s="9">
        <f>(宠物成长!$C$1+宠物成长!$C$2/宠物成长!$C$3*宠物成长!$E$30)*(1+宠物成长!$I$21+VLOOKUP(宠物属性点预览!Y$2,宠物成长!$O$5:$R$10,3,FALSE))+(VLOOKUP(宠物属性点预览!$B87,宠物成长!$D$30:$E$129,2,FALSE)-宠物成长!$E$30)*宠物成长!$C$2/宠物成长!$C$3*(1+宠物成长!$H$21+VLOOKUP(宠物属性点预览!Y$2,宠物成长!$O$5:$R$10,2,FALSE))</f>
        <v>5290.8294190373954</v>
      </c>
      <c r="Z87" s="9">
        <f>(宠物成长!$C$1+宠物成长!$C$2/宠物成长!$C$3*宠物成长!$E$30)*(1+宠物成长!$I$21+VLOOKUP(宠物属性点预览!Z$2,宠物成长!$O$5:$R$10,3,FALSE))+(VLOOKUP(宠物属性点预览!$B87,宠物成长!$D$30:$E$129,2,FALSE)-宠物成长!$E$30)*宠物成长!$C$2/宠物成长!$C$3*(1+宠物成长!$H$21+VLOOKUP(宠物属性点预览!Z$2,宠物成长!$O$5:$R$10,2,FALSE))</f>
        <v>5808.8294190373954</v>
      </c>
    </row>
    <row r="88" spans="2:26" x14ac:dyDescent="0.15">
      <c r="B88" s="1">
        <v>86</v>
      </c>
      <c r="C88" s="9">
        <f>(宠物成长!$C$1+宠物成长!$C$2/宠物成长!$C$3*宠物成长!$E$30)*(1+VLOOKUP(宠物属性点预览!C$2,宠物成长!$F$4:$K$25,4,FALSE)+0)+(VLOOKUP(宠物属性点预览!$B88,宠物成长!$D$30:$E$129,2,FALSE)-宠物成长!$E$30)*宠物成长!$C$2/宠物成长!$C$3*(1+VLOOKUP(宠物属性点预览!C$2,宠物成长!$F$5:$K$25,3,FALSE)+0)</f>
        <v>359.5</v>
      </c>
      <c r="D88" s="9">
        <f>(宠物成长!$C$1+宠物成长!$C$2/宠物成长!$C$3*宠物成长!$E$30)*(1+VLOOKUP(宠物属性点预览!D$2,宠物成长!$F$4:$K$25,4,FALSE)+0)+(VLOOKUP(宠物属性点预览!$B88,宠物成长!$D$30:$E$129,2,FALSE)-宠物成长!$E$30)*宠物成长!$C$2/宠物成长!$C$3*(1+VLOOKUP(宠物属性点预览!D$2,宠物成长!$F$5:$K$25,3,FALSE)+0)</f>
        <v>406</v>
      </c>
      <c r="E88" s="9">
        <f>(宠物成长!$C$1+宠物成长!$C$2/宠物成长!$C$3*宠物成长!$E$30)*(1+VLOOKUP(宠物属性点预览!E$2,宠物成长!$F$4:$K$25,4,FALSE)+0)+(VLOOKUP(宠物属性点预览!$B88,宠物成长!$D$30:$E$129,2,FALSE)-宠物成长!$E$30)*宠物成长!$C$2/宠物成长!$C$3*(1+VLOOKUP(宠物属性点预览!E$2,宠物成长!$F$5:$K$25,3,FALSE)+0)</f>
        <v>471.1</v>
      </c>
      <c r="F88" s="9">
        <f>(宠物成长!$C$1+宠物成长!$C$2/宠物成长!$C$3*宠物成长!$E$30)*(1+VLOOKUP(宠物属性点预览!F$2,宠物成长!$F$4:$K$25,4,FALSE)+0)+(VLOOKUP(宠物属性点预览!$B88,宠物成长!$D$30:$E$129,2,FALSE)-宠物成长!$E$30)*宠物成长!$C$2/宠物成长!$C$3*(1+VLOOKUP(宠物属性点预览!F$2,宠物成长!$F$5:$K$25,3,FALSE)+0)</f>
        <v>557.90000000000009</v>
      </c>
      <c r="G88" s="9">
        <f>(宠物成长!$C$1+宠物成长!$C$2/宠物成长!$C$3*宠物成长!$E$30)*(1+VLOOKUP(宠物属性点预览!G$2,宠物成长!$F$4:$K$25,4,FALSE)+0)+(VLOOKUP(宠物属性点预览!$B88,宠物成长!$D$30:$E$129,2,FALSE)-宠物成长!$E$30)*宠物成长!$C$2/宠物成长!$C$3*(1+VLOOKUP(宠物属性点预览!G$2,宠物成长!$F$5:$K$25,3,FALSE)+0)</f>
        <v>699.59999999999991</v>
      </c>
      <c r="H88" s="9">
        <f>(宠物成长!$C$1+宠物成长!$C$2/宠物成长!$C$3*宠物成长!$E$30)*(1+VLOOKUP(宠物属性点预览!H$2,宠物成长!$F$4:$K$25,4,FALSE)+0)+(VLOOKUP(宠物属性点预览!$B88,宠物成长!$D$30:$E$129,2,FALSE)-宠物成长!$E$30)*宠物成长!$C$2/宠物成长!$C$3*(1+VLOOKUP(宠物属性点预览!H$2,宠物成长!$F$5:$K$25,3,FALSE)+0)</f>
        <v>890.9</v>
      </c>
      <c r="I88" s="9">
        <f>(宠物成长!$C$1+宠物成长!$C$2/宠物成长!$C$3*宠物成长!$E$30)*(1+VLOOKUP(宠物属性点预览!I$2,宠物成长!$F$4:$K$25,4,FALSE)+0)+(VLOOKUP(宠物属性点预览!$B88,宠物成长!$D$30:$E$129,2,FALSE)-宠物成长!$E$30)*宠物成长!$C$2/宠物成长!$C$3*(1+VLOOKUP(宠物属性点预览!I$2,宠物成长!$F$5:$K$25,3,FALSE)+0)</f>
        <v>1138</v>
      </c>
      <c r="J88" s="9">
        <f>(宠物成长!$C$1+宠物成长!$C$2/宠物成长!$C$3*宠物成长!$E$30)*(1+VLOOKUP(宠物属性点预览!J$2,宠物成长!$F$4:$K$25,4,FALSE)+0)+(VLOOKUP(宠物属性点预览!$B88,宠物成长!$D$30:$E$129,2,FALSE)-宠物成长!$E$30)*宠物成长!$C$2/宠物成长!$C$3*(1+VLOOKUP(宠物属性点预览!J$2,宠物成长!$F$5:$K$25,3,FALSE)+0)</f>
        <v>1410.1296296296296</v>
      </c>
      <c r="K88" s="9">
        <f>(宠物成长!$C$1+宠物成长!$C$2/宠物成长!$C$3*宠物成长!$E$30)*(1+VLOOKUP(宠物属性点预览!K$2,宠物成长!$F$4:$K$25,4,FALSE)+0)+(VLOOKUP(宠物属性点预览!$B88,宠物成长!$D$30:$E$129,2,FALSE)-宠物成长!$E$30)*宠物成长!$C$2/宠物成长!$C$3*(1+VLOOKUP(宠物属性点预览!K$2,宠物成长!$F$5:$K$25,3,FALSE)+0)</f>
        <v>1685.1296296296296</v>
      </c>
      <c r="L88" s="9">
        <f>(宠物成长!$C$1+宠物成长!$C$2/宠物成长!$C$3*宠物成长!$E$30)*(1+VLOOKUP(宠物属性点预览!L$2,宠物成长!$F$4:$K$25,4,FALSE)+0)+(VLOOKUP(宠物属性点预览!$B88,宠物成长!$D$30:$E$129,2,FALSE)-宠物成长!$E$30)*宠物成长!$C$2/宠物成长!$C$3*(1+VLOOKUP(宠物属性点预览!L$2,宠物成长!$F$5:$K$25,3,FALSE)+0)</f>
        <v>1962.2242242242241</v>
      </c>
      <c r="M88" s="9">
        <f>(宠物成长!$C$1+宠物成长!$C$2/宠物成长!$C$3*宠物成长!$E$30)*(1+VLOOKUP(宠物属性点预览!M$2,宠物成长!$F$4:$K$25,4,FALSE)+0)+(VLOOKUP(宠物属性点预览!$B88,宠物成长!$D$30:$E$129,2,FALSE)-宠物成长!$E$30)*宠物成长!$C$2/宠物成长!$C$3*(1+VLOOKUP(宠物属性点预览!M$2,宠物成长!$F$5:$K$25,3,FALSE)+0)</f>
        <v>2240.9147004147003</v>
      </c>
      <c r="N88" s="9">
        <f>(宠物成长!$C$1+宠物成长!$C$2/宠物成长!$C$3*宠物成长!$E$30)*(1+VLOOKUP(宠物属性点预览!N$2,宠物成长!$F$4:$K$25,4,FALSE)+0)+(VLOOKUP(宠物属性点预览!$B88,宠物成长!$D$30:$E$129,2,FALSE)-宠物成长!$E$30)*宠物成长!$C$2/宠物成长!$C$3*(1+VLOOKUP(宠物属性点预览!N$2,宠物成长!$F$5:$K$25,3,FALSE)+0)</f>
        <v>2520.8615089253385</v>
      </c>
      <c r="O88" s="9">
        <f>(宠物成长!$C$1+宠物成长!$C$2/宠物成长!$C$3*宠物成长!$E$30)*(1+VLOOKUP(宠物属性点预览!O$2,宠物成长!$F$4:$K$25,4,FALSE)+0)+(VLOOKUP(宠物属性点预览!$B88,宠物成长!$D$30:$E$129,2,FALSE)-宠物成长!$E$30)*宠物成长!$C$2/宠物成长!$C$3*(1+VLOOKUP(宠物属性点预览!O$2,宠物成长!$F$5:$K$25,3,FALSE)+0)</f>
        <v>2801.8230473868766</v>
      </c>
      <c r="P88" s="9">
        <f>(宠物成长!$C$1+宠物成长!$C$2/宠物成长!$C$3*宠物成长!$E$30)*(1+VLOOKUP(宠物属性点预览!P$2,宠物成长!$F$4:$K$25,4,FALSE)+0)+(VLOOKUP(宠物属性点预览!$B88,宠物成长!$D$30:$E$129,2,FALSE)-宠物成长!$E$30)*宠物成长!$C$2/宠物成长!$C$3*(1+VLOOKUP(宠物属性点预览!P$2,宠物成长!$F$5:$K$25,3,FALSE)+0)</f>
        <v>3083.6212930009119</v>
      </c>
      <c r="Q88" s="9">
        <f>(宠物成长!$C$1+宠物成长!$C$2/宠物成长!$C$3*宠物成长!$E$30)*(1+VLOOKUP(宠物属性点预览!Q$2,宠物成长!$F$4:$K$25,4,FALSE)+0)+(VLOOKUP(宠物属性点预览!$B88,宠物成长!$D$30:$E$129,2,FALSE)-宠物成长!$E$30)*宠物成长!$C$2/宠物成长!$C$3*(1+VLOOKUP(宠物属性点预览!Q$2,宠物成长!$F$5:$K$25,3,FALSE)+0)</f>
        <v>3366.1212930009119</v>
      </c>
      <c r="R88" s="9">
        <f>(宠物成长!$C$1+宠物成长!$C$2/宠物成长!$C$3*宠物成长!$E$30)*(1+VLOOKUP(宠物属性点预览!R$2,宠物成长!$F$4:$K$25,4,FALSE)+0)+(VLOOKUP(宠物属性点预览!$B88,宠物成长!$D$30:$E$129,2,FALSE)-宠物成长!$E$30)*宠物成长!$C$2/宠物成长!$C$3*(1+VLOOKUP(宠物属性点预览!R$2,宠物成长!$F$5:$K$25,3,FALSE)+0)</f>
        <v>3649.218307926285</v>
      </c>
      <c r="S88" s="9">
        <f>(宠物成长!$C$1+宠物成长!$C$2/宠物成长!$C$3*宠物成长!$E$30)*(1+VLOOKUP(宠物属性点预览!S$2,宠物成长!$F$4:$K$25,4,FALSE)+0)+(VLOOKUP(宠物属性点预览!$B88,宠物成长!$D$30:$E$129,2,FALSE)-宠物成长!$E$30)*宠物成长!$C$2/宠物成长!$C$3*(1+VLOOKUP(宠物属性点预览!S$2,宠物成长!$F$5:$K$25,3,FALSE)+0)</f>
        <v>3932.8294190373958</v>
      </c>
      <c r="T88" s="83">
        <f t="shared" si="17"/>
        <v>3932.8294190373958</v>
      </c>
      <c r="V88" s="9">
        <f>(宠物成长!$C$1+宠物成长!$C$2/宠物成长!$C$3*宠物成长!$E$30)*(1+宠物成长!$I$21+VLOOKUP(宠物属性点预览!V$2,宠物成长!$O$5:$R$10,3,FALSE))+(VLOOKUP(宠物属性点预览!$B88,宠物成长!$D$30:$E$129,2,FALSE)-宠物成长!$E$30)*宠物成长!$C$2/宠物成长!$C$3*(1+宠物成长!$H$21+VLOOKUP(宠物属性点预览!V$2,宠物成长!$O$5:$R$10,2,FALSE))</f>
        <v>3932.8294190373958</v>
      </c>
      <c r="W88" s="9">
        <f>(宠物成长!$C$1+宠物成长!$C$2/宠物成长!$C$3*宠物成长!$E$30)*(1+宠物成长!$I$21+VLOOKUP(宠物属性点预览!W$2,宠物成长!$O$5:$R$10,3,FALSE))+(VLOOKUP(宠物属性点预览!$B88,宠物成长!$D$30:$E$129,2,FALSE)-宠物成长!$E$30)*宠物成长!$C$2/宠物成长!$C$3*(1+宠物成长!$H$21+VLOOKUP(宠物属性点预览!W$2,宠物成长!$O$5:$R$10,2,FALSE))</f>
        <v>4327.8294190373963</v>
      </c>
      <c r="X88" s="9">
        <f>(宠物成长!$C$1+宠物成长!$C$2/宠物成长!$C$3*宠物成长!$E$30)*(1+宠物成长!$I$21+VLOOKUP(宠物属性点预览!X$2,宠物成长!$O$5:$R$10,3,FALSE))+(VLOOKUP(宠物属性点预览!$B88,宠物成长!$D$30:$E$129,2,FALSE)-宠物成长!$E$30)*宠物成长!$C$2/宠物成长!$C$3*(1+宠物成长!$H$21+VLOOKUP(宠物属性点预览!X$2,宠物成长!$O$5:$R$10,2,FALSE))</f>
        <v>4784.8294190373963</v>
      </c>
      <c r="Y88" s="9">
        <f>(宠物成长!$C$1+宠物成长!$C$2/宠物成长!$C$3*宠物成长!$E$30)*(1+宠物成长!$I$21+VLOOKUP(宠物属性点预览!Y$2,宠物成长!$O$5:$R$10,3,FALSE))+(VLOOKUP(宠物属性点预览!$B88,宠物成长!$D$30:$E$129,2,FALSE)-宠物成长!$E$30)*宠物成长!$C$2/宠物成长!$C$3*(1+宠物成长!$H$21+VLOOKUP(宠物属性点预览!Y$2,宠物成长!$O$5:$R$10,2,FALSE))</f>
        <v>5303.8294190373954</v>
      </c>
      <c r="Z88" s="9">
        <f>(宠物成长!$C$1+宠物成长!$C$2/宠物成长!$C$3*宠物成长!$E$30)*(1+宠物成长!$I$21+VLOOKUP(宠物属性点预览!Z$2,宠物成长!$O$5:$R$10,3,FALSE))+(VLOOKUP(宠物属性点预览!$B88,宠物成长!$D$30:$E$129,2,FALSE)-宠物成长!$E$30)*宠物成长!$C$2/宠物成长!$C$3*(1+宠物成长!$H$21+VLOOKUP(宠物属性点预览!Z$2,宠物成长!$O$5:$R$10,2,FALSE))</f>
        <v>5822.8294190373954</v>
      </c>
    </row>
    <row r="89" spans="2:26" x14ac:dyDescent="0.15">
      <c r="B89" s="1">
        <v>87</v>
      </c>
      <c r="C89" s="9">
        <f>(宠物成长!$C$1+宠物成长!$C$2/宠物成长!$C$3*宠物成长!$E$30)*(1+VLOOKUP(宠物属性点预览!C$2,宠物成长!$F$4:$K$25,4,FALSE)+0)+(VLOOKUP(宠物属性点预览!$B89,宠物成长!$D$30:$E$129,2,FALSE)-宠物成长!$E$30)*宠物成长!$C$2/宠物成长!$C$3*(1+VLOOKUP(宠物属性点预览!C$2,宠物成长!$F$5:$K$25,3,FALSE)+0)</f>
        <v>363</v>
      </c>
      <c r="D89" s="9">
        <f>(宠物成长!$C$1+宠物成长!$C$2/宠物成长!$C$3*宠物成长!$E$30)*(1+VLOOKUP(宠物属性点预览!D$2,宠物成长!$F$4:$K$25,4,FALSE)+0)+(VLOOKUP(宠物属性点预览!$B89,宠物成长!$D$30:$E$129,2,FALSE)-宠物成长!$E$30)*宠物成长!$C$2/宠物成长!$C$3*(1+VLOOKUP(宠物属性点预览!D$2,宠物成长!$F$5:$K$25,3,FALSE)+0)</f>
        <v>409.5</v>
      </c>
      <c r="E89" s="9">
        <f>(宠物成长!$C$1+宠物成长!$C$2/宠物成长!$C$3*宠物成长!$E$30)*(1+VLOOKUP(宠物属性点预览!E$2,宠物成长!$F$4:$K$25,4,FALSE)+0)+(VLOOKUP(宠物属性点预览!$B89,宠物成长!$D$30:$E$129,2,FALSE)-宠物成长!$E$30)*宠物成长!$C$2/宠物成长!$C$3*(1+VLOOKUP(宠物属性点预览!E$2,宠物成长!$F$5:$K$25,3,FALSE)+0)</f>
        <v>474.6</v>
      </c>
      <c r="F89" s="9">
        <f>(宠物成长!$C$1+宠物成长!$C$2/宠物成长!$C$3*宠物成长!$E$30)*(1+VLOOKUP(宠物属性点预览!F$2,宠物成长!$F$4:$K$25,4,FALSE)+0)+(VLOOKUP(宠物属性点预览!$B89,宠物成长!$D$30:$E$129,2,FALSE)-宠物成长!$E$30)*宠物成长!$C$2/宠物成长!$C$3*(1+VLOOKUP(宠物属性点预览!F$2,宠物成长!$F$5:$K$25,3,FALSE)+0)</f>
        <v>561.40000000000009</v>
      </c>
      <c r="G89" s="9">
        <f>(宠物成长!$C$1+宠物成长!$C$2/宠物成长!$C$3*宠物成长!$E$30)*(1+VLOOKUP(宠物属性点预览!G$2,宠物成长!$F$4:$K$25,4,FALSE)+0)+(VLOOKUP(宠物属性点预览!$B89,宠物成长!$D$30:$E$129,2,FALSE)-宠物成长!$E$30)*宠物成长!$C$2/宠物成长!$C$3*(1+VLOOKUP(宠物属性点预览!G$2,宠物成长!$F$5:$K$25,3,FALSE)+0)</f>
        <v>703.59999999999991</v>
      </c>
      <c r="H89" s="9">
        <f>(宠物成长!$C$1+宠物成长!$C$2/宠物成长!$C$3*宠物成长!$E$30)*(1+VLOOKUP(宠物属性点预览!H$2,宠物成长!$F$4:$K$25,4,FALSE)+0)+(VLOOKUP(宠物属性点预览!$B89,宠物成长!$D$30:$E$129,2,FALSE)-宠物成长!$E$30)*宠物成长!$C$2/宠物成长!$C$3*(1+VLOOKUP(宠物属性点预览!H$2,宠物成长!$F$5:$K$25,3,FALSE)+0)</f>
        <v>895.4</v>
      </c>
      <c r="I89" s="9">
        <f>(宠物成长!$C$1+宠物成长!$C$2/宠物成长!$C$3*宠物成长!$E$30)*(1+VLOOKUP(宠物属性点预览!I$2,宠物成长!$F$4:$K$25,4,FALSE)+0)+(VLOOKUP(宠物属性点预览!$B89,宠物成长!$D$30:$E$129,2,FALSE)-宠物成长!$E$30)*宠物成长!$C$2/宠物成长!$C$3*(1+VLOOKUP(宠物属性点预览!I$2,宠物成长!$F$5:$K$25,3,FALSE)+0)</f>
        <v>1143</v>
      </c>
      <c r="J89" s="9">
        <f>(宠物成长!$C$1+宠物成长!$C$2/宠物成长!$C$3*宠物成长!$E$30)*(1+VLOOKUP(宠物属性点预览!J$2,宠物成长!$F$4:$K$25,4,FALSE)+0)+(VLOOKUP(宠物属性点预览!$B89,宠物成长!$D$30:$E$129,2,FALSE)-宠物成长!$E$30)*宠物成长!$C$2/宠物成长!$C$3*(1+VLOOKUP(宠物属性点预览!J$2,宠物成长!$F$5:$K$25,3,FALSE)+0)</f>
        <v>1415.6296296296296</v>
      </c>
      <c r="K89" s="9">
        <f>(宠物成长!$C$1+宠物成长!$C$2/宠物成长!$C$3*宠物成长!$E$30)*(1+VLOOKUP(宠物属性点预览!K$2,宠物成长!$F$4:$K$25,4,FALSE)+0)+(VLOOKUP(宠物属性点预览!$B89,宠物成长!$D$30:$E$129,2,FALSE)-宠物成长!$E$30)*宠物成长!$C$2/宠物成长!$C$3*(1+VLOOKUP(宠物属性点预览!K$2,宠物成长!$F$5:$K$25,3,FALSE)+0)</f>
        <v>1691.1296296296296</v>
      </c>
      <c r="L89" s="9">
        <f>(宠物成长!$C$1+宠物成长!$C$2/宠物成长!$C$3*宠物成长!$E$30)*(1+VLOOKUP(宠物属性点预览!L$2,宠物成长!$F$4:$K$25,4,FALSE)+0)+(VLOOKUP(宠物属性点预览!$B89,宠物成长!$D$30:$E$129,2,FALSE)-宠物成长!$E$30)*宠物成长!$C$2/宠物成长!$C$3*(1+VLOOKUP(宠物属性点预览!L$2,宠物成长!$F$5:$K$25,3,FALSE)+0)</f>
        <v>1968.7242242242241</v>
      </c>
      <c r="M89" s="9">
        <f>(宠物成长!$C$1+宠物成长!$C$2/宠物成长!$C$3*宠物成长!$E$30)*(1+VLOOKUP(宠物属性点预览!M$2,宠物成长!$F$4:$K$25,4,FALSE)+0)+(VLOOKUP(宠物属性点预览!$B89,宠物成长!$D$30:$E$129,2,FALSE)-宠物成长!$E$30)*宠物成长!$C$2/宠物成长!$C$3*(1+VLOOKUP(宠物属性点预览!M$2,宠物成长!$F$5:$K$25,3,FALSE)+0)</f>
        <v>2247.9147004147003</v>
      </c>
      <c r="N89" s="9">
        <f>(宠物成长!$C$1+宠物成长!$C$2/宠物成长!$C$3*宠物成长!$E$30)*(1+VLOOKUP(宠物属性点预览!N$2,宠物成长!$F$4:$K$25,4,FALSE)+0)+(VLOOKUP(宠物属性点预览!$B89,宠物成长!$D$30:$E$129,2,FALSE)-宠物成长!$E$30)*宠物成长!$C$2/宠物成长!$C$3*(1+VLOOKUP(宠物属性点预览!N$2,宠物成长!$F$5:$K$25,3,FALSE)+0)</f>
        <v>2528.3615089253385</v>
      </c>
      <c r="O89" s="9">
        <f>(宠物成长!$C$1+宠物成长!$C$2/宠物成长!$C$3*宠物成长!$E$30)*(1+VLOOKUP(宠物属性点预览!O$2,宠物成长!$F$4:$K$25,4,FALSE)+0)+(VLOOKUP(宠物属性点预览!$B89,宠物成长!$D$30:$E$129,2,FALSE)-宠物成长!$E$30)*宠物成长!$C$2/宠物成长!$C$3*(1+VLOOKUP(宠物属性点预览!O$2,宠物成长!$F$5:$K$25,3,FALSE)+0)</f>
        <v>2809.8230473868766</v>
      </c>
      <c r="P89" s="9">
        <f>(宠物成长!$C$1+宠物成长!$C$2/宠物成长!$C$3*宠物成长!$E$30)*(1+VLOOKUP(宠物属性点预览!P$2,宠物成长!$F$4:$K$25,4,FALSE)+0)+(VLOOKUP(宠物属性点预览!$B89,宠物成长!$D$30:$E$129,2,FALSE)-宠物成长!$E$30)*宠物成长!$C$2/宠物成长!$C$3*(1+VLOOKUP(宠物属性点预览!P$2,宠物成长!$F$5:$K$25,3,FALSE)+0)</f>
        <v>3092.1212930009119</v>
      </c>
      <c r="Q89" s="9">
        <f>(宠物成长!$C$1+宠物成长!$C$2/宠物成长!$C$3*宠物成长!$E$30)*(1+VLOOKUP(宠物属性点预览!Q$2,宠物成长!$F$4:$K$25,4,FALSE)+0)+(VLOOKUP(宠物属性点预览!$B89,宠物成长!$D$30:$E$129,2,FALSE)-宠物成长!$E$30)*宠物成长!$C$2/宠物成长!$C$3*(1+VLOOKUP(宠物属性点预览!Q$2,宠物成长!$F$5:$K$25,3,FALSE)+0)</f>
        <v>3375.1212930009119</v>
      </c>
      <c r="R89" s="9">
        <f>(宠物成长!$C$1+宠物成长!$C$2/宠物成长!$C$3*宠物成长!$E$30)*(1+VLOOKUP(宠物属性点预览!R$2,宠物成长!$F$4:$K$25,4,FALSE)+0)+(VLOOKUP(宠物属性点预览!$B89,宠物成长!$D$30:$E$129,2,FALSE)-宠物成长!$E$30)*宠物成长!$C$2/宠物成长!$C$3*(1+VLOOKUP(宠物属性点预览!R$2,宠物成长!$F$5:$K$25,3,FALSE)+0)</f>
        <v>3658.718307926285</v>
      </c>
      <c r="S89" s="9">
        <f>(宠物成长!$C$1+宠物成长!$C$2/宠物成长!$C$3*宠物成长!$E$30)*(1+VLOOKUP(宠物属性点预览!S$2,宠物成长!$F$4:$K$25,4,FALSE)+0)+(VLOOKUP(宠物属性点预览!$B89,宠物成长!$D$30:$E$129,2,FALSE)-宠物成长!$E$30)*宠物成长!$C$2/宠物成长!$C$3*(1+VLOOKUP(宠物属性点预览!S$2,宠物成长!$F$5:$K$25,3,FALSE)+0)</f>
        <v>3942.8294190373958</v>
      </c>
      <c r="T89" s="83">
        <f t="shared" si="17"/>
        <v>3942.8294190373958</v>
      </c>
      <c r="V89" s="9">
        <f>(宠物成长!$C$1+宠物成长!$C$2/宠物成长!$C$3*宠物成长!$E$30)*(1+宠物成长!$I$21+VLOOKUP(宠物属性点预览!V$2,宠物成长!$O$5:$R$10,3,FALSE))+(VLOOKUP(宠物属性点预览!$B89,宠物成长!$D$30:$E$129,2,FALSE)-宠物成长!$E$30)*宠物成长!$C$2/宠物成长!$C$3*(1+宠物成长!$H$21+VLOOKUP(宠物属性点预览!V$2,宠物成长!$O$5:$R$10,2,FALSE))</f>
        <v>3942.8294190373958</v>
      </c>
      <c r="W89" s="9">
        <f>(宠物成长!$C$1+宠物成长!$C$2/宠物成长!$C$3*宠物成长!$E$30)*(1+宠物成长!$I$21+VLOOKUP(宠物属性点预览!W$2,宠物成长!$O$5:$R$10,3,FALSE))+(VLOOKUP(宠物属性点预览!$B89,宠物成长!$D$30:$E$129,2,FALSE)-宠物成长!$E$30)*宠物成长!$C$2/宠物成长!$C$3*(1+宠物成长!$H$21+VLOOKUP(宠物属性点预览!W$2,宠物成长!$O$5:$R$10,2,FALSE))</f>
        <v>4338.8294190373963</v>
      </c>
      <c r="X89" s="9">
        <f>(宠物成长!$C$1+宠物成长!$C$2/宠物成长!$C$3*宠物成长!$E$30)*(1+宠物成长!$I$21+VLOOKUP(宠物属性点预览!X$2,宠物成长!$O$5:$R$10,3,FALSE))+(VLOOKUP(宠物属性点预览!$B89,宠物成长!$D$30:$E$129,2,FALSE)-宠物成长!$E$30)*宠物成长!$C$2/宠物成长!$C$3*(1+宠物成长!$H$21+VLOOKUP(宠物属性点预览!X$2,宠物成长!$O$5:$R$10,2,FALSE))</f>
        <v>4796.8294190373963</v>
      </c>
      <c r="Y89" s="9">
        <f>(宠物成长!$C$1+宠物成长!$C$2/宠物成长!$C$3*宠物成长!$E$30)*(1+宠物成长!$I$21+VLOOKUP(宠物属性点预览!Y$2,宠物成长!$O$5:$R$10,3,FALSE))+(VLOOKUP(宠物属性点预览!$B89,宠物成长!$D$30:$E$129,2,FALSE)-宠物成长!$E$30)*宠物成长!$C$2/宠物成长!$C$3*(1+宠物成长!$H$21+VLOOKUP(宠物属性点预览!Y$2,宠物成长!$O$5:$R$10,2,FALSE))</f>
        <v>5316.8294190373954</v>
      </c>
      <c r="Z89" s="9">
        <f>(宠物成长!$C$1+宠物成长!$C$2/宠物成长!$C$3*宠物成长!$E$30)*(1+宠物成长!$I$21+VLOOKUP(宠物属性点预览!Z$2,宠物成长!$O$5:$R$10,3,FALSE))+(VLOOKUP(宠物属性点预览!$B89,宠物成长!$D$30:$E$129,2,FALSE)-宠物成长!$E$30)*宠物成长!$C$2/宠物成长!$C$3*(1+宠物成长!$H$21+VLOOKUP(宠物属性点预览!Z$2,宠物成长!$O$5:$R$10,2,FALSE))</f>
        <v>5836.8294190373954</v>
      </c>
    </row>
    <row r="90" spans="2:26" x14ac:dyDescent="0.15">
      <c r="B90" s="1">
        <v>88</v>
      </c>
      <c r="C90" s="9">
        <f>(宠物成长!$C$1+宠物成长!$C$2/宠物成长!$C$3*宠物成长!$E$30)*(1+VLOOKUP(宠物属性点预览!C$2,宠物成长!$F$4:$K$25,4,FALSE)+0)+(VLOOKUP(宠物属性点预览!$B90,宠物成长!$D$30:$E$129,2,FALSE)-宠物成长!$E$30)*宠物成长!$C$2/宠物成长!$C$3*(1+VLOOKUP(宠物属性点预览!C$2,宠物成长!$F$5:$K$25,3,FALSE)+0)</f>
        <v>366.5</v>
      </c>
      <c r="D90" s="9">
        <f>(宠物成长!$C$1+宠物成长!$C$2/宠物成长!$C$3*宠物成长!$E$30)*(1+VLOOKUP(宠物属性点预览!D$2,宠物成长!$F$4:$K$25,4,FALSE)+0)+(VLOOKUP(宠物属性点预览!$B90,宠物成长!$D$30:$E$129,2,FALSE)-宠物成长!$E$30)*宠物成长!$C$2/宠物成长!$C$3*(1+VLOOKUP(宠物属性点预览!D$2,宠物成长!$F$5:$K$25,3,FALSE)+0)</f>
        <v>413</v>
      </c>
      <c r="E90" s="9">
        <f>(宠物成长!$C$1+宠物成长!$C$2/宠物成长!$C$3*宠物成长!$E$30)*(1+VLOOKUP(宠物属性点预览!E$2,宠物成长!$F$4:$K$25,4,FALSE)+0)+(VLOOKUP(宠物属性点预览!$B90,宠物成长!$D$30:$E$129,2,FALSE)-宠物成长!$E$30)*宠物成长!$C$2/宠物成长!$C$3*(1+VLOOKUP(宠物属性点预览!E$2,宠物成长!$F$5:$K$25,3,FALSE)+0)</f>
        <v>478.1</v>
      </c>
      <c r="F90" s="9">
        <f>(宠物成长!$C$1+宠物成长!$C$2/宠物成长!$C$3*宠物成长!$E$30)*(1+VLOOKUP(宠物属性点预览!F$2,宠物成长!$F$4:$K$25,4,FALSE)+0)+(VLOOKUP(宠物属性点预览!$B90,宠物成长!$D$30:$E$129,2,FALSE)-宠物成长!$E$30)*宠物成长!$C$2/宠物成长!$C$3*(1+VLOOKUP(宠物属性点预览!F$2,宠物成长!$F$5:$K$25,3,FALSE)+0)</f>
        <v>564.90000000000009</v>
      </c>
      <c r="G90" s="9">
        <f>(宠物成长!$C$1+宠物成长!$C$2/宠物成长!$C$3*宠物成长!$E$30)*(1+VLOOKUP(宠物属性点预览!G$2,宠物成长!$F$4:$K$25,4,FALSE)+0)+(VLOOKUP(宠物属性点预览!$B90,宠物成长!$D$30:$E$129,2,FALSE)-宠物成长!$E$30)*宠物成长!$C$2/宠物成长!$C$3*(1+VLOOKUP(宠物属性点预览!G$2,宠物成长!$F$5:$K$25,3,FALSE)+0)</f>
        <v>707.59999999999991</v>
      </c>
      <c r="H90" s="9">
        <f>(宠物成长!$C$1+宠物成长!$C$2/宠物成长!$C$3*宠物成长!$E$30)*(1+VLOOKUP(宠物属性点预览!H$2,宠物成长!$F$4:$K$25,4,FALSE)+0)+(VLOOKUP(宠物属性点预览!$B90,宠物成长!$D$30:$E$129,2,FALSE)-宠物成长!$E$30)*宠物成长!$C$2/宠物成长!$C$3*(1+VLOOKUP(宠物属性点预览!H$2,宠物成长!$F$5:$K$25,3,FALSE)+0)</f>
        <v>899.9</v>
      </c>
      <c r="I90" s="9">
        <f>(宠物成长!$C$1+宠物成长!$C$2/宠物成长!$C$3*宠物成长!$E$30)*(1+VLOOKUP(宠物属性点预览!I$2,宠物成长!$F$4:$K$25,4,FALSE)+0)+(VLOOKUP(宠物属性点预览!$B90,宠物成长!$D$30:$E$129,2,FALSE)-宠物成长!$E$30)*宠物成长!$C$2/宠物成长!$C$3*(1+VLOOKUP(宠物属性点预览!I$2,宠物成长!$F$5:$K$25,3,FALSE)+0)</f>
        <v>1148</v>
      </c>
      <c r="J90" s="9">
        <f>(宠物成长!$C$1+宠物成长!$C$2/宠物成长!$C$3*宠物成长!$E$30)*(1+VLOOKUP(宠物属性点预览!J$2,宠物成长!$F$4:$K$25,4,FALSE)+0)+(VLOOKUP(宠物属性点预览!$B90,宠物成长!$D$30:$E$129,2,FALSE)-宠物成长!$E$30)*宠物成长!$C$2/宠物成长!$C$3*(1+VLOOKUP(宠物属性点预览!J$2,宠物成长!$F$5:$K$25,3,FALSE)+0)</f>
        <v>1421.1296296296296</v>
      </c>
      <c r="K90" s="9">
        <f>(宠物成长!$C$1+宠物成长!$C$2/宠物成长!$C$3*宠物成长!$E$30)*(1+VLOOKUP(宠物属性点预览!K$2,宠物成长!$F$4:$K$25,4,FALSE)+0)+(VLOOKUP(宠物属性点预览!$B90,宠物成长!$D$30:$E$129,2,FALSE)-宠物成长!$E$30)*宠物成长!$C$2/宠物成长!$C$3*(1+VLOOKUP(宠物属性点预览!K$2,宠物成长!$F$5:$K$25,3,FALSE)+0)</f>
        <v>1697.1296296296296</v>
      </c>
      <c r="L90" s="9">
        <f>(宠物成长!$C$1+宠物成长!$C$2/宠物成长!$C$3*宠物成长!$E$30)*(1+VLOOKUP(宠物属性点预览!L$2,宠物成长!$F$4:$K$25,4,FALSE)+0)+(VLOOKUP(宠物属性点预览!$B90,宠物成长!$D$30:$E$129,2,FALSE)-宠物成长!$E$30)*宠物成长!$C$2/宠物成长!$C$3*(1+VLOOKUP(宠物属性点预览!L$2,宠物成长!$F$5:$K$25,3,FALSE)+0)</f>
        <v>1975.2242242242241</v>
      </c>
      <c r="M90" s="9">
        <f>(宠物成长!$C$1+宠物成长!$C$2/宠物成长!$C$3*宠物成长!$E$30)*(1+VLOOKUP(宠物属性点预览!M$2,宠物成长!$F$4:$K$25,4,FALSE)+0)+(VLOOKUP(宠物属性点预览!$B90,宠物成长!$D$30:$E$129,2,FALSE)-宠物成长!$E$30)*宠物成长!$C$2/宠物成长!$C$3*(1+VLOOKUP(宠物属性点预览!M$2,宠物成长!$F$5:$K$25,3,FALSE)+0)</f>
        <v>2254.9147004147003</v>
      </c>
      <c r="N90" s="9">
        <f>(宠物成长!$C$1+宠物成长!$C$2/宠物成长!$C$3*宠物成长!$E$30)*(1+VLOOKUP(宠物属性点预览!N$2,宠物成长!$F$4:$K$25,4,FALSE)+0)+(VLOOKUP(宠物属性点预览!$B90,宠物成长!$D$30:$E$129,2,FALSE)-宠物成长!$E$30)*宠物成长!$C$2/宠物成长!$C$3*(1+VLOOKUP(宠物属性点预览!N$2,宠物成长!$F$5:$K$25,3,FALSE)+0)</f>
        <v>2535.8615089253385</v>
      </c>
      <c r="O90" s="9">
        <f>(宠物成长!$C$1+宠物成长!$C$2/宠物成长!$C$3*宠物成长!$E$30)*(1+VLOOKUP(宠物属性点预览!O$2,宠物成长!$F$4:$K$25,4,FALSE)+0)+(VLOOKUP(宠物属性点预览!$B90,宠物成长!$D$30:$E$129,2,FALSE)-宠物成长!$E$30)*宠物成长!$C$2/宠物成长!$C$3*(1+VLOOKUP(宠物属性点预览!O$2,宠物成长!$F$5:$K$25,3,FALSE)+0)</f>
        <v>2817.8230473868766</v>
      </c>
      <c r="P90" s="9">
        <f>(宠物成长!$C$1+宠物成长!$C$2/宠物成长!$C$3*宠物成长!$E$30)*(1+VLOOKUP(宠物属性点预览!P$2,宠物成长!$F$4:$K$25,4,FALSE)+0)+(VLOOKUP(宠物属性点预览!$B90,宠物成长!$D$30:$E$129,2,FALSE)-宠物成长!$E$30)*宠物成长!$C$2/宠物成长!$C$3*(1+VLOOKUP(宠物属性点预览!P$2,宠物成长!$F$5:$K$25,3,FALSE)+0)</f>
        <v>3100.6212930009119</v>
      </c>
      <c r="Q90" s="9">
        <f>(宠物成长!$C$1+宠物成长!$C$2/宠物成长!$C$3*宠物成长!$E$30)*(1+VLOOKUP(宠物属性点预览!Q$2,宠物成长!$F$4:$K$25,4,FALSE)+0)+(VLOOKUP(宠物属性点预览!$B90,宠物成长!$D$30:$E$129,2,FALSE)-宠物成长!$E$30)*宠物成长!$C$2/宠物成长!$C$3*(1+VLOOKUP(宠物属性点预览!Q$2,宠物成长!$F$5:$K$25,3,FALSE)+0)</f>
        <v>3384.1212930009119</v>
      </c>
      <c r="R90" s="9">
        <f>(宠物成长!$C$1+宠物成长!$C$2/宠物成长!$C$3*宠物成长!$E$30)*(1+VLOOKUP(宠物属性点预览!R$2,宠物成长!$F$4:$K$25,4,FALSE)+0)+(VLOOKUP(宠物属性点预览!$B90,宠物成长!$D$30:$E$129,2,FALSE)-宠物成长!$E$30)*宠物成长!$C$2/宠物成长!$C$3*(1+VLOOKUP(宠物属性点预览!R$2,宠物成长!$F$5:$K$25,3,FALSE)+0)</f>
        <v>3668.218307926285</v>
      </c>
      <c r="S90" s="9">
        <f>(宠物成长!$C$1+宠物成长!$C$2/宠物成长!$C$3*宠物成长!$E$30)*(1+VLOOKUP(宠物属性点预览!S$2,宠物成长!$F$4:$K$25,4,FALSE)+0)+(VLOOKUP(宠物属性点预览!$B90,宠物成长!$D$30:$E$129,2,FALSE)-宠物成长!$E$30)*宠物成长!$C$2/宠物成长!$C$3*(1+VLOOKUP(宠物属性点预览!S$2,宠物成长!$F$5:$K$25,3,FALSE)+0)</f>
        <v>3952.8294190373958</v>
      </c>
      <c r="T90" s="83">
        <f t="shared" si="17"/>
        <v>3952.8294190373958</v>
      </c>
      <c r="V90" s="9">
        <f>(宠物成长!$C$1+宠物成长!$C$2/宠物成长!$C$3*宠物成长!$E$30)*(1+宠物成长!$I$21+VLOOKUP(宠物属性点预览!V$2,宠物成长!$O$5:$R$10,3,FALSE))+(VLOOKUP(宠物属性点预览!$B90,宠物成长!$D$30:$E$129,2,FALSE)-宠物成长!$E$30)*宠物成长!$C$2/宠物成长!$C$3*(1+宠物成长!$H$21+VLOOKUP(宠物属性点预览!V$2,宠物成长!$O$5:$R$10,2,FALSE))</f>
        <v>3952.8294190373958</v>
      </c>
      <c r="W90" s="9">
        <f>(宠物成长!$C$1+宠物成长!$C$2/宠物成长!$C$3*宠物成长!$E$30)*(1+宠物成长!$I$21+VLOOKUP(宠物属性点预览!W$2,宠物成长!$O$5:$R$10,3,FALSE))+(VLOOKUP(宠物属性点预览!$B90,宠物成长!$D$30:$E$129,2,FALSE)-宠物成长!$E$30)*宠物成长!$C$2/宠物成长!$C$3*(1+宠物成长!$H$21+VLOOKUP(宠物属性点预览!W$2,宠物成长!$O$5:$R$10,2,FALSE))</f>
        <v>4349.8294190373963</v>
      </c>
      <c r="X90" s="9">
        <f>(宠物成长!$C$1+宠物成长!$C$2/宠物成长!$C$3*宠物成长!$E$30)*(1+宠物成长!$I$21+VLOOKUP(宠物属性点预览!X$2,宠物成长!$O$5:$R$10,3,FALSE))+(VLOOKUP(宠物属性点预览!$B90,宠物成长!$D$30:$E$129,2,FALSE)-宠物成长!$E$30)*宠物成长!$C$2/宠物成长!$C$3*(1+宠物成长!$H$21+VLOOKUP(宠物属性点预览!X$2,宠物成长!$O$5:$R$10,2,FALSE))</f>
        <v>4808.8294190373963</v>
      </c>
      <c r="Y90" s="9">
        <f>(宠物成长!$C$1+宠物成长!$C$2/宠物成长!$C$3*宠物成长!$E$30)*(1+宠物成长!$I$21+VLOOKUP(宠物属性点预览!Y$2,宠物成长!$O$5:$R$10,3,FALSE))+(VLOOKUP(宠物属性点预览!$B90,宠物成长!$D$30:$E$129,2,FALSE)-宠物成长!$E$30)*宠物成长!$C$2/宠物成长!$C$3*(1+宠物成长!$H$21+VLOOKUP(宠物属性点预览!Y$2,宠物成长!$O$5:$R$10,2,FALSE))</f>
        <v>5329.8294190373954</v>
      </c>
      <c r="Z90" s="9">
        <f>(宠物成长!$C$1+宠物成长!$C$2/宠物成长!$C$3*宠物成长!$E$30)*(1+宠物成长!$I$21+VLOOKUP(宠物属性点预览!Z$2,宠物成长!$O$5:$R$10,3,FALSE))+(VLOOKUP(宠物属性点预览!$B90,宠物成长!$D$30:$E$129,2,FALSE)-宠物成长!$E$30)*宠物成长!$C$2/宠物成长!$C$3*(1+宠物成长!$H$21+VLOOKUP(宠物属性点预览!Z$2,宠物成长!$O$5:$R$10,2,FALSE))</f>
        <v>5850.8294190373954</v>
      </c>
    </row>
    <row r="91" spans="2:26" x14ac:dyDescent="0.15">
      <c r="B91" s="1">
        <v>89</v>
      </c>
      <c r="C91" s="9">
        <f>(宠物成长!$C$1+宠物成长!$C$2/宠物成长!$C$3*宠物成长!$E$30)*(1+VLOOKUP(宠物属性点预览!C$2,宠物成长!$F$4:$K$25,4,FALSE)+0)+(VLOOKUP(宠物属性点预览!$B91,宠物成长!$D$30:$E$129,2,FALSE)-宠物成长!$E$30)*宠物成长!$C$2/宠物成长!$C$3*(1+VLOOKUP(宠物属性点预览!C$2,宠物成长!$F$5:$K$25,3,FALSE)+0)</f>
        <v>370</v>
      </c>
      <c r="D91" s="9">
        <f>(宠物成长!$C$1+宠物成长!$C$2/宠物成长!$C$3*宠物成长!$E$30)*(1+VLOOKUP(宠物属性点预览!D$2,宠物成长!$F$4:$K$25,4,FALSE)+0)+(VLOOKUP(宠物属性点预览!$B91,宠物成长!$D$30:$E$129,2,FALSE)-宠物成长!$E$30)*宠物成长!$C$2/宠物成长!$C$3*(1+VLOOKUP(宠物属性点预览!D$2,宠物成长!$F$5:$K$25,3,FALSE)+0)</f>
        <v>416.5</v>
      </c>
      <c r="E91" s="9">
        <f>(宠物成长!$C$1+宠物成长!$C$2/宠物成长!$C$3*宠物成长!$E$30)*(1+VLOOKUP(宠物属性点预览!E$2,宠物成长!$F$4:$K$25,4,FALSE)+0)+(VLOOKUP(宠物属性点预览!$B91,宠物成长!$D$30:$E$129,2,FALSE)-宠物成长!$E$30)*宠物成长!$C$2/宠物成长!$C$3*(1+VLOOKUP(宠物属性点预览!E$2,宠物成长!$F$5:$K$25,3,FALSE)+0)</f>
        <v>481.6</v>
      </c>
      <c r="F91" s="9">
        <f>(宠物成长!$C$1+宠物成长!$C$2/宠物成长!$C$3*宠物成长!$E$30)*(1+VLOOKUP(宠物属性点预览!F$2,宠物成长!$F$4:$K$25,4,FALSE)+0)+(VLOOKUP(宠物属性点预览!$B91,宠物成长!$D$30:$E$129,2,FALSE)-宠物成长!$E$30)*宠物成长!$C$2/宠物成长!$C$3*(1+VLOOKUP(宠物属性点预览!F$2,宠物成长!$F$5:$K$25,3,FALSE)+0)</f>
        <v>568.40000000000009</v>
      </c>
      <c r="G91" s="9">
        <f>(宠物成长!$C$1+宠物成长!$C$2/宠物成长!$C$3*宠物成长!$E$30)*(1+VLOOKUP(宠物属性点预览!G$2,宠物成长!$F$4:$K$25,4,FALSE)+0)+(VLOOKUP(宠物属性点预览!$B91,宠物成长!$D$30:$E$129,2,FALSE)-宠物成长!$E$30)*宠物成长!$C$2/宠物成长!$C$3*(1+VLOOKUP(宠物属性点预览!G$2,宠物成长!$F$5:$K$25,3,FALSE)+0)</f>
        <v>711.59999999999991</v>
      </c>
      <c r="H91" s="9">
        <f>(宠物成长!$C$1+宠物成长!$C$2/宠物成长!$C$3*宠物成长!$E$30)*(1+VLOOKUP(宠物属性点预览!H$2,宠物成长!$F$4:$K$25,4,FALSE)+0)+(VLOOKUP(宠物属性点预览!$B91,宠物成长!$D$30:$E$129,2,FALSE)-宠物成长!$E$30)*宠物成长!$C$2/宠物成长!$C$3*(1+VLOOKUP(宠物属性点预览!H$2,宠物成长!$F$5:$K$25,3,FALSE)+0)</f>
        <v>904.4</v>
      </c>
      <c r="I91" s="9">
        <f>(宠物成长!$C$1+宠物成长!$C$2/宠物成长!$C$3*宠物成长!$E$30)*(1+VLOOKUP(宠物属性点预览!I$2,宠物成长!$F$4:$K$25,4,FALSE)+0)+(VLOOKUP(宠物属性点预览!$B91,宠物成长!$D$30:$E$129,2,FALSE)-宠物成长!$E$30)*宠物成长!$C$2/宠物成长!$C$3*(1+VLOOKUP(宠物属性点预览!I$2,宠物成长!$F$5:$K$25,3,FALSE)+0)</f>
        <v>1153</v>
      </c>
      <c r="J91" s="9">
        <f>(宠物成长!$C$1+宠物成长!$C$2/宠物成长!$C$3*宠物成长!$E$30)*(1+VLOOKUP(宠物属性点预览!J$2,宠物成长!$F$4:$K$25,4,FALSE)+0)+(VLOOKUP(宠物属性点预览!$B91,宠物成长!$D$30:$E$129,2,FALSE)-宠物成长!$E$30)*宠物成长!$C$2/宠物成长!$C$3*(1+VLOOKUP(宠物属性点预览!J$2,宠物成长!$F$5:$K$25,3,FALSE)+0)</f>
        <v>1426.6296296296296</v>
      </c>
      <c r="K91" s="9">
        <f>(宠物成长!$C$1+宠物成长!$C$2/宠物成长!$C$3*宠物成长!$E$30)*(1+VLOOKUP(宠物属性点预览!K$2,宠物成长!$F$4:$K$25,4,FALSE)+0)+(VLOOKUP(宠物属性点预览!$B91,宠物成长!$D$30:$E$129,2,FALSE)-宠物成长!$E$30)*宠物成长!$C$2/宠物成长!$C$3*(1+VLOOKUP(宠物属性点预览!K$2,宠物成长!$F$5:$K$25,3,FALSE)+0)</f>
        <v>1703.1296296296296</v>
      </c>
      <c r="L91" s="9">
        <f>(宠物成长!$C$1+宠物成长!$C$2/宠物成长!$C$3*宠物成长!$E$30)*(1+VLOOKUP(宠物属性点预览!L$2,宠物成长!$F$4:$K$25,4,FALSE)+0)+(VLOOKUP(宠物属性点预览!$B91,宠物成长!$D$30:$E$129,2,FALSE)-宠物成长!$E$30)*宠物成长!$C$2/宠物成长!$C$3*(1+VLOOKUP(宠物属性点预览!L$2,宠物成长!$F$5:$K$25,3,FALSE)+0)</f>
        <v>1981.7242242242241</v>
      </c>
      <c r="M91" s="9">
        <f>(宠物成长!$C$1+宠物成长!$C$2/宠物成长!$C$3*宠物成长!$E$30)*(1+VLOOKUP(宠物属性点预览!M$2,宠物成长!$F$4:$K$25,4,FALSE)+0)+(VLOOKUP(宠物属性点预览!$B91,宠物成长!$D$30:$E$129,2,FALSE)-宠物成长!$E$30)*宠物成长!$C$2/宠物成长!$C$3*(1+VLOOKUP(宠物属性点预览!M$2,宠物成长!$F$5:$K$25,3,FALSE)+0)</f>
        <v>2261.9147004147003</v>
      </c>
      <c r="N91" s="9">
        <f>(宠物成长!$C$1+宠物成长!$C$2/宠物成长!$C$3*宠物成长!$E$30)*(1+VLOOKUP(宠物属性点预览!N$2,宠物成长!$F$4:$K$25,4,FALSE)+0)+(VLOOKUP(宠物属性点预览!$B91,宠物成长!$D$30:$E$129,2,FALSE)-宠物成长!$E$30)*宠物成长!$C$2/宠物成长!$C$3*(1+VLOOKUP(宠物属性点预览!N$2,宠物成长!$F$5:$K$25,3,FALSE)+0)</f>
        <v>2543.3615089253385</v>
      </c>
      <c r="O91" s="9">
        <f>(宠物成长!$C$1+宠物成长!$C$2/宠物成长!$C$3*宠物成长!$E$30)*(1+VLOOKUP(宠物属性点预览!O$2,宠物成长!$F$4:$K$25,4,FALSE)+0)+(VLOOKUP(宠物属性点预览!$B91,宠物成长!$D$30:$E$129,2,FALSE)-宠物成长!$E$30)*宠物成长!$C$2/宠物成长!$C$3*(1+VLOOKUP(宠物属性点预览!O$2,宠物成长!$F$5:$K$25,3,FALSE)+0)</f>
        <v>2825.8230473868766</v>
      </c>
      <c r="P91" s="9">
        <f>(宠物成长!$C$1+宠物成长!$C$2/宠物成长!$C$3*宠物成长!$E$30)*(1+VLOOKUP(宠物属性点预览!P$2,宠物成长!$F$4:$K$25,4,FALSE)+0)+(VLOOKUP(宠物属性点预览!$B91,宠物成长!$D$30:$E$129,2,FALSE)-宠物成长!$E$30)*宠物成长!$C$2/宠物成长!$C$3*(1+VLOOKUP(宠物属性点预览!P$2,宠物成长!$F$5:$K$25,3,FALSE)+0)</f>
        <v>3109.1212930009119</v>
      </c>
      <c r="Q91" s="9">
        <f>(宠物成长!$C$1+宠物成长!$C$2/宠物成长!$C$3*宠物成长!$E$30)*(1+VLOOKUP(宠物属性点预览!Q$2,宠物成长!$F$4:$K$25,4,FALSE)+0)+(VLOOKUP(宠物属性点预览!$B91,宠物成长!$D$30:$E$129,2,FALSE)-宠物成长!$E$30)*宠物成长!$C$2/宠物成长!$C$3*(1+VLOOKUP(宠物属性点预览!Q$2,宠物成长!$F$5:$K$25,3,FALSE)+0)</f>
        <v>3393.1212930009119</v>
      </c>
      <c r="R91" s="9">
        <f>(宠物成长!$C$1+宠物成长!$C$2/宠物成长!$C$3*宠物成长!$E$30)*(1+VLOOKUP(宠物属性点预览!R$2,宠物成长!$F$4:$K$25,4,FALSE)+0)+(VLOOKUP(宠物属性点预览!$B91,宠物成长!$D$30:$E$129,2,FALSE)-宠物成长!$E$30)*宠物成长!$C$2/宠物成长!$C$3*(1+VLOOKUP(宠物属性点预览!R$2,宠物成长!$F$5:$K$25,3,FALSE)+0)</f>
        <v>3677.718307926285</v>
      </c>
      <c r="S91" s="9">
        <f>(宠物成长!$C$1+宠物成长!$C$2/宠物成长!$C$3*宠物成长!$E$30)*(1+VLOOKUP(宠物属性点预览!S$2,宠物成长!$F$4:$K$25,4,FALSE)+0)+(VLOOKUP(宠物属性点预览!$B91,宠物成长!$D$30:$E$129,2,FALSE)-宠物成长!$E$30)*宠物成长!$C$2/宠物成长!$C$3*(1+VLOOKUP(宠物属性点预览!S$2,宠物成长!$F$5:$K$25,3,FALSE)+0)</f>
        <v>3962.8294190373958</v>
      </c>
      <c r="T91" s="83">
        <f t="shared" si="17"/>
        <v>3962.8294190373958</v>
      </c>
      <c r="V91" s="9">
        <f>(宠物成长!$C$1+宠物成长!$C$2/宠物成长!$C$3*宠物成长!$E$30)*(1+宠物成长!$I$21+VLOOKUP(宠物属性点预览!V$2,宠物成长!$O$5:$R$10,3,FALSE))+(VLOOKUP(宠物属性点预览!$B91,宠物成长!$D$30:$E$129,2,FALSE)-宠物成长!$E$30)*宠物成长!$C$2/宠物成长!$C$3*(1+宠物成长!$H$21+VLOOKUP(宠物属性点预览!V$2,宠物成长!$O$5:$R$10,2,FALSE))</f>
        <v>3962.8294190373958</v>
      </c>
      <c r="W91" s="9">
        <f>(宠物成长!$C$1+宠物成长!$C$2/宠物成长!$C$3*宠物成长!$E$30)*(1+宠物成长!$I$21+VLOOKUP(宠物属性点预览!W$2,宠物成长!$O$5:$R$10,3,FALSE))+(VLOOKUP(宠物属性点预览!$B91,宠物成长!$D$30:$E$129,2,FALSE)-宠物成长!$E$30)*宠物成长!$C$2/宠物成长!$C$3*(1+宠物成长!$H$21+VLOOKUP(宠物属性点预览!W$2,宠物成长!$O$5:$R$10,2,FALSE))</f>
        <v>4360.8294190373963</v>
      </c>
      <c r="X91" s="9">
        <f>(宠物成长!$C$1+宠物成长!$C$2/宠物成长!$C$3*宠物成长!$E$30)*(1+宠物成长!$I$21+VLOOKUP(宠物属性点预览!X$2,宠物成长!$O$5:$R$10,3,FALSE))+(VLOOKUP(宠物属性点预览!$B91,宠物成长!$D$30:$E$129,2,FALSE)-宠物成长!$E$30)*宠物成长!$C$2/宠物成长!$C$3*(1+宠物成长!$H$21+VLOOKUP(宠物属性点预览!X$2,宠物成长!$O$5:$R$10,2,FALSE))</f>
        <v>4820.8294190373963</v>
      </c>
      <c r="Y91" s="9">
        <f>(宠物成长!$C$1+宠物成长!$C$2/宠物成长!$C$3*宠物成长!$E$30)*(1+宠物成长!$I$21+VLOOKUP(宠物属性点预览!Y$2,宠物成长!$O$5:$R$10,3,FALSE))+(VLOOKUP(宠物属性点预览!$B91,宠物成长!$D$30:$E$129,2,FALSE)-宠物成长!$E$30)*宠物成长!$C$2/宠物成长!$C$3*(1+宠物成长!$H$21+VLOOKUP(宠物属性点预览!Y$2,宠物成长!$O$5:$R$10,2,FALSE))</f>
        <v>5342.8294190373954</v>
      </c>
      <c r="Z91" s="9">
        <f>(宠物成长!$C$1+宠物成长!$C$2/宠物成长!$C$3*宠物成长!$E$30)*(1+宠物成长!$I$21+VLOOKUP(宠物属性点预览!Z$2,宠物成长!$O$5:$R$10,3,FALSE))+(VLOOKUP(宠物属性点预览!$B91,宠物成长!$D$30:$E$129,2,FALSE)-宠物成长!$E$30)*宠物成长!$C$2/宠物成长!$C$3*(1+宠物成长!$H$21+VLOOKUP(宠物属性点预览!Z$2,宠物成长!$O$5:$R$10,2,FALSE))</f>
        <v>5864.8294190373954</v>
      </c>
    </row>
    <row r="92" spans="2:26" x14ac:dyDescent="0.15">
      <c r="B92" s="1">
        <v>90</v>
      </c>
      <c r="C92" s="9">
        <f>(宠物成长!$C$1+宠物成长!$C$2/宠物成长!$C$3*宠物成长!$E$30)*(1+VLOOKUP(宠物属性点预览!C$2,宠物成长!$F$4:$K$25,4,FALSE)+0)+(VLOOKUP(宠物属性点预览!$B92,宠物成长!$D$30:$E$129,2,FALSE)-宠物成长!$E$30)*宠物成长!$C$2/宠物成长!$C$3*(1+VLOOKUP(宠物属性点预览!C$2,宠物成长!$F$5:$K$25,3,FALSE)+0)</f>
        <v>373.5</v>
      </c>
      <c r="D92" s="9">
        <f>(宠物成长!$C$1+宠物成长!$C$2/宠物成长!$C$3*宠物成长!$E$30)*(1+VLOOKUP(宠物属性点预览!D$2,宠物成长!$F$4:$K$25,4,FALSE)+0)+(VLOOKUP(宠物属性点预览!$B92,宠物成长!$D$30:$E$129,2,FALSE)-宠物成长!$E$30)*宠物成长!$C$2/宠物成长!$C$3*(1+VLOOKUP(宠物属性点预览!D$2,宠物成长!$F$5:$K$25,3,FALSE)+0)</f>
        <v>420</v>
      </c>
      <c r="E92" s="9">
        <f>(宠物成长!$C$1+宠物成长!$C$2/宠物成长!$C$3*宠物成长!$E$30)*(1+VLOOKUP(宠物属性点预览!E$2,宠物成长!$F$4:$K$25,4,FALSE)+0)+(VLOOKUP(宠物属性点预览!$B92,宠物成长!$D$30:$E$129,2,FALSE)-宠物成长!$E$30)*宠物成长!$C$2/宠物成长!$C$3*(1+VLOOKUP(宠物属性点预览!E$2,宠物成长!$F$5:$K$25,3,FALSE)+0)</f>
        <v>485.1</v>
      </c>
      <c r="F92" s="9">
        <f>(宠物成长!$C$1+宠物成长!$C$2/宠物成长!$C$3*宠物成长!$E$30)*(1+VLOOKUP(宠物属性点预览!F$2,宠物成长!$F$4:$K$25,4,FALSE)+0)+(VLOOKUP(宠物属性点预览!$B92,宠物成长!$D$30:$E$129,2,FALSE)-宠物成长!$E$30)*宠物成长!$C$2/宠物成长!$C$3*(1+VLOOKUP(宠物属性点预览!F$2,宠物成长!$F$5:$K$25,3,FALSE)+0)</f>
        <v>571.90000000000009</v>
      </c>
      <c r="G92" s="9">
        <f>(宠物成长!$C$1+宠物成长!$C$2/宠物成长!$C$3*宠物成长!$E$30)*(1+VLOOKUP(宠物属性点预览!G$2,宠物成长!$F$4:$K$25,4,FALSE)+0)+(VLOOKUP(宠物属性点预览!$B92,宠物成长!$D$30:$E$129,2,FALSE)-宠物成长!$E$30)*宠物成长!$C$2/宠物成长!$C$3*(1+VLOOKUP(宠物属性点预览!G$2,宠物成长!$F$5:$K$25,3,FALSE)+0)</f>
        <v>715.59999999999991</v>
      </c>
      <c r="H92" s="9">
        <f>(宠物成长!$C$1+宠物成长!$C$2/宠物成长!$C$3*宠物成长!$E$30)*(1+VLOOKUP(宠物属性点预览!H$2,宠物成长!$F$4:$K$25,4,FALSE)+0)+(VLOOKUP(宠物属性点预览!$B92,宠物成长!$D$30:$E$129,2,FALSE)-宠物成长!$E$30)*宠物成长!$C$2/宠物成长!$C$3*(1+VLOOKUP(宠物属性点预览!H$2,宠物成长!$F$5:$K$25,3,FALSE)+0)</f>
        <v>908.9</v>
      </c>
      <c r="I92" s="9">
        <f>(宠物成长!$C$1+宠物成长!$C$2/宠物成长!$C$3*宠物成长!$E$30)*(1+VLOOKUP(宠物属性点预览!I$2,宠物成长!$F$4:$K$25,4,FALSE)+0)+(VLOOKUP(宠物属性点预览!$B92,宠物成长!$D$30:$E$129,2,FALSE)-宠物成长!$E$30)*宠物成长!$C$2/宠物成长!$C$3*(1+VLOOKUP(宠物属性点预览!I$2,宠物成长!$F$5:$K$25,3,FALSE)+0)</f>
        <v>1158</v>
      </c>
      <c r="J92" s="9">
        <f>(宠物成长!$C$1+宠物成长!$C$2/宠物成长!$C$3*宠物成长!$E$30)*(1+VLOOKUP(宠物属性点预览!J$2,宠物成长!$F$4:$K$25,4,FALSE)+0)+(VLOOKUP(宠物属性点预览!$B92,宠物成长!$D$30:$E$129,2,FALSE)-宠物成长!$E$30)*宠物成长!$C$2/宠物成长!$C$3*(1+VLOOKUP(宠物属性点预览!J$2,宠物成长!$F$5:$K$25,3,FALSE)+0)</f>
        <v>1432.1296296296296</v>
      </c>
      <c r="K92" s="9">
        <f>(宠物成长!$C$1+宠物成长!$C$2/宠物成长!$C$3*宠物成长!$E$30)*(1+VLOOKUP(宠物属性点预览!K$2,宠物成长!$F$4:$K$25,4,FALSE)+0)+(VLOOKUP(宠物属性点预览!$B92,宠物成长!$D$30:$E$129,2,FALSE)-宠物成长!$E$30)*宠物成长!$C$2/宠物成长!$C$3*(1+VLOOKUP(宠物属性点预览!K$2,宠物成长!$F$5:$K$25,3,FALSE)+0)</f>
        <v>1709.1296296296296</v>
      </c>
      <c r="L92" s="9">
        <f>(宠物成长!$C$1+宠物成长!$C$2/宠物成长!$C$3*宠物成长!$E$30)*(1+VLOOKUP(宠物属性点预览!L$2,宠物成长!$F$4:$K$25,4,FALSE)+0)+(VLOOKUP(宠物属性点预览!$B92,宠物成长!$D$30:$E$129,2,FALSE)-宠物成长!$E$30)*宠物成长!$C$2/宠物成长!$C$3*(1+VLOOKUP(宠物属性点预览!L$2,宠物成长!$F$5:$K$25,3,FALSE)+0)</f>
        <v>1988.2242242242241</v>
      </c>
      <c r="M92" s="9">
        <f>(宠物成长!$C$1+宠物成长!$C$2/宠物成长!$C$3*宠物成长!$E$30)*(1+VLOOKUP(宠物属性点预览!M$2,宠物成长!$F$4:$K$25,4,FALSE)+0)+(VLOOKUP(宠物属性点预览!$B92,宠物成长!$D$30:$E$129,2,FALSE)-宠物成长!$E$30)*宠物成长!$C$2/宠物成长!$C$3*(1+VLOOKUP(宠物属性点预览!M$2,宠物成长!$F$5:$K$25,3,FALSE)+0)</f>
        <v>2268.9147004147003</v>
      </c>
      <c r="N92" s="9">
        <f>(宠物成长!$C$1+宠物成长!$C$2/宠物成长!$C$3*宠物成长!$E$30)*(1+VLOOKUP(宠物属性点预览!N$2,宠物成长!$F$4:$K$25,4,FALSE)+0)+(VLOOKUP(宠物属性点预览!$B92,宠物成长!$D$30:$E$129,2,FALSE)-宠物成长!$E$30)*宠物成长!$C$2/宠物成长!$C$3*(1+VLOOKUP(宠物属性点预览!N$2,宠物成长!$F$5:$K$25,3,FALSE)+0)</f>
        <v>2550.8615089253385</v>
      </c>
      <c r="O92" s="9">
        <f>(宠物成长!$C$1+宠物成长!$C$2/宠物成长!$C$3*宠物成长!$E$30)*(1+VLOOKUP(宠物属性点预览!O$2,宠物成长!$F$4:$K$25,4,FALSE)+0)+(VLOOKUP(宠物属性点预览!$B92,宠物成长!$D$30:$E$129,2,FALSE)-宠物成长!$E$30)*宠物成长!$C$2/宠物成长!$C$3*(1+VLOOKUP(宠物属性点预览!O$2,宠物成长!$F$5:$K$25,3,FALSE)+0)</f>
        <v>2833.8230473868766</v>
      </c>
      <c r="P92" s="9">
        <f>(宠物成长!$C$1+宠物成长!$C$2/宠物成长!$C$3*宠物成长!$E$30)*(1+VLOOKUP(宠物属性点预览!P$2,宠物成长!$F$4:$K$25,4,FALSE)+0)+(VLOOKUP(宠物属性点预览!$B92,宠物成长!$D$30:$E$129,2,FALSE)-宠物成长!$E$30)*宠物成长!$C$2/宠物成长!$C$3*(1+VLOOKUP(宠物属性点预览!P$2,宠物成长!$F$5:$K$25,3,FALSE)+0)</f>
        <v>3117.6212930009119</v>
      </c>
      <c r="Q92" s="9">
        <f>(宠物成长!$C$1+宠物成长!$C$2/宠物成长!$C$3*宠物成长!$E$30)*(1+VLOOKUP(宠物属性点预览!Q$2,宠物成长!$F$4:$K$25,4,FALSE)+0)+(VLOOKUP(宠物属性点预览!$B92,宠物成长!$D$30:$E$129,2,FALSE)-宠物成长!$E$30)*宠物成长!$C$2/宠物成长!$C$3*(1+VLOOKUP(宠物属性点预览!Q$2,宠物成长!$F$5:$K$25,3,FALSE)+0)</f>
        <v>3402.1212930009119</v>
      </c>
      <c r="R92" s="9">
        <f>(宠物成长!$C$1+宠物成长!$C$2/宠物成长!$C$3*宠物成长!$E$30)*(1+VLOOKUP(宠物属性点预览!R$2,宠物成长!$F$4:$K$25,4,FALSE)+0)+(VLOOKUP(宠物属性点预览!$B92,宠物成长!$D$30:$E$129,2,FALSE)-宠物成长!$E$30)*宠物成长!$C$2/宠物成长!$C$3*(1+VLOOKUP(宠物属性点预览!R$2,宠物成长!$F$5:$K$25,3,FALSE)+0)</f>
        <v>3687.218307926285</v>
      </c>
      <c r="S92" s="9">
        <f>(宠物成长!$C$1+宠物成长!$C$2/宠物成长!$C$3*宠物成长!$E$30)*(1+VLOOKUP(宠物属性点预览!S$2,宠物成长!$F$4:$K$25,4,FALSE)+0)+(VLOOKUP(宠物属性点预览!$B92,宠物成长!$D$30:$E$129,2,FALSE)-宠物成长!$E$30)*宠物成长!$C$2/宠物成长!$C$3*(1+VLOOKUP(宠物属性点预览!S$2,宠物成长!$F$5:$K$25,3,FALSE)+0)</f>
        <v>3972.8294190373958</v>
      </c>
      <c r="T92" s="83">
        <f t="shared" si="17"/>
        <v>3972.8294190373958</v>
      </c>
      <c r="V92" s="9">
        <f>(宠物成长!$C$1+宠物成长!$C$2/宠物成长!$C$3*宠物成长!$E$30)*(1+宠物成长!$I$21+VLOOKUP(宠物属性点预览!V$2,宠物成长!$O$5:$R$10,3,FALSE))+(VLOOKUP(宠物属性点预览!$B92,宠物成长!$D$30:$E$129,2,FALSE)-宠物成长!$E$30)*宠物成长!$C$2/宠物成长!$C$3*(1+宠物成长!$H$21+VLOOKUP(宠物属性点预览!V$2,宠物成长!$O$5:$R$10,2,FALSE))</f>
        <v>3972.8294190373958</v>
      </c>
      <c r="W92" s="9">
        <f>(宠物成长!$C$1+宠物成长!$C$2/宠物成长!$C$3*宠物成长!$E$30)*(1+宠物成长!$I$21+VLOOKUP(宠物属性点预览!W$2,宠物成长!$O$5:$R$10,3,FALSE))+(VLOOKUP(宠物属性点预览!$B92,宠物成长!$D$30:$E$129,2,FALSE)-宠物成长!$E$30)*宠物成长!$C$2/宠物成长!$C$3*(1+宠物成长!$H$21+VLOOKUP(宠物属性点预览!W$2,宠物成长!$O$5:$R$10,2,FALSE))</f>
        <v>4371.8294190373963</v>
      </c>
      <c r="X92" s="9">
        <f>(宠物成长!$C$1+宠物成长!$C$2/宠物成长!$C$3*宠物成长!$E$30)*(1+宠物成长!$I$21+VLOOKUP(宠物属性点预览!X$2,宠物成长!$O$5:$R$10,3,FALSE))+(VLOOKUP(宠物属性点预览!$B92,宠物成长!$D$30:$E$129,2,FALSE)-宠物成长!$E$30)*宠物成长!$C$2/宠物成长!$C$3*(1+宠物成长!$H$21+VLOOKUP(宠物属性点预览!X$2,宠物成长!$O$5:$R$10,2,FALSE))</f>
        <v>4832.8294190373963</v>
      </c>
      <c r="Y92" s="9">
        <f>(宠物成长!$C$1+宠物成长!$C$2/宠物成长!$C$3*宠物成长!$E$30)*(1+宠物成长!$I$21+VLOOKUP(宠物属性点预览!Y$2,宠物成长!$O$5:$R$10,3,FALSE))+(VLOOKUP(宠物属性点预览!$B92,宠物成长!$D$30:$E$129,2,FALSE)-宠物成长!$E$30)*宠物成长!$C$2/宠物成长!$C$3*(1+宠物成长!$H$21+VLOOKUP(宠物属性点预览!Y$2,宠物成长!$O$5:$R$10,2,FALSE))</f>
        <v>5355.8294190373954</v>
      </c>
      <c r="Z92" s="9">
        <f>(宠物成长!$C$1+宠物成长!$C$2/宠物成长!$C$3*宠物成长!$E$30)*(1+宠物成长!$I$21+VLOOKUP(宠物属性点预览!Z$2,宠物成长!$O$5:$R$10,3,FALSE))+(VLOOKUP(宠物属性点预览!$B92,宠物成长!$D$30:$E$129,2,FALSE)-宠物成长!$E$30)*宠物成长!$C$2/宠物成长!$C$3*(1+宠物成长!$H$21+VLOOKUP(宠物属性点预览!Z$2,宠物成长!$O$5:$R$10,2,FALSE))</f>
        <v>5878.8294190373954</v>
      </c>
    </row>
    <row r="93" spans="2:26" x14ac:dyDescent="0.15">
      <c r="B93" s="1">
        <v>91</v>
      </c>
      <c r="C93" s="9">
        <f>(宠物成长!$C$1+宠物成长!$C$2/宠物成长!$C$3*宠物成长!$E$30)*(1+VLOOKUP(宠物属性点预览!C$2,宠物成长!$F$4:$K$25,4,FALSE)+0)+(VLOOKUP(宠物属性点预览!$B93,宠物成长!$D$30:$E$129,2,FALSE)-宠物成长!$E$30)*宠物成长!$C$2/宠物成长!$C$3*(1+VLOOKUP(宠物属性点预览!C$2,宠物成长!$F$5:$K$25,3,FALSE)+0)</f>
        <v>377</v>
      </c>
      <c r="D93" s="9">
        <f>(宠物成长!$C$1+宠物成长!$C$2/宠物成长!$C$3*宠物成长!$E$30)*(1+VLOOKUP(宠物属性点预览!D$2,宠物成长!$F$4:$K$25,4,FALSE)+0)+(VLOOKUP(宠物属性点预览!$B93,宠物成长!$D$30:$E$129,2,FALSE)-宠物成长!$E$30)*宠物成长!$C$2/宠物成长!$C$3*(1+VLOOKUP(宠物属性点预览!D$2,宠物成长!$F$5:$K$25,3,FALSE)+0)</f>
        <v>423.5</v>
      </c>
      <c r="E93" s="9">
        <f>(宠物成长!$C$1+宠物成长!$C$2/宠物成长!$C$3*宠物成长!$E$30)*(1+VLOOKUP(宠物属性点预览!E$2,宠物成长!$F$4:$K$25,4,FALSE)+0)+(VLOOKUP(宠物属性点预览!$B93,宠物成长!$D$30:$E$129,2,FALSE)-宠物成长!$E$30)*宠物成长!$C$2/宠物成长!$C$3*(1+VLOOKUP(宠物属性点预览!E$2,宠物成长!$F$5:$K$25,3,FALSE)+0)</f>
        <v>488.6</v>
      </c>
      <c r="F93" s="9">
        <f>(宠物成长!$C$1+宠物成长!$C$2/宠物成长!$C$3*宠物成长!$E$30)*(1+VLOOKUP(宠物属性点预览!F$2,宠物成长!$F$4:$K$25,4,FALSE)+0)+(VLOOKUP(宠物属性点预览!$B93,宠物成长!$D$30:$E$129,2,FALSE)-宠物成长!$E$30)*宠物成长!$C$2/宠物成长!$C$3*(1+VLOOKUP(宠物属性点预览!F$2,宠物成长!$F$5:$K$25,3,FALSE)+0)</f>
        <v>575.40000000000009</v>
      </c>
      <c r="G93" s="9">
        <f>(宠物成长!$C$1+宠物成长!$C$2/宠物成长!$C$3*宠物成长!$E$30)*(1+VLOOKUP(宠物属性点预览!G$2,宠物成长!$F$4:$K$25,4,FALSE)+0)+(VLOOKUP(宠物属性点预览!$B93,宠物成长!$D$30:$E$129,2,FALSE)-宠物成长!$E$30)*宠物成长!$C$2/宠物成长!$C$3*(1+VLOOKUP(宠物属性点预览!G$2,宠物成长!$F$5:$K$25,3,FALSE)+0)</f>
        <v>719.59999999999991</v>
      </c>
      <c r="H93" s="9">
        <f>(宠物成长!$C$1+宠物成长!$C$2/宠物成长!$C$3*宠物成长!$E$30)*(1+VLOOKUP(宠物属性点预览!H$2,宠物成长!$F$4:$K$25,4,FALSE)+0)+(VLOOKUP(宠物属性点预览!$B93,宠物成长!$D$30:$E$129,2,FALSE)-宠物成长!$E$30)*宠物成长!$C$2/宠物成长!$C$3*(1+VLOOKUP(宠物属性点预览!H$2,宠物成长!$F$5:$K$25,3,FALSE)+0)</f>
        <v>913.4</v>
      </c>
      <c r="I93" s="9">
        <f>(宠物成长!$C$1+宠物成长!$C$2/宠物成长!$C$3*宠物成长!$E$30)*(1+VLOOKUP(宠物属性点预览!I$2,宠物成长!$F$4:$K$25,4,FALSE)+0)+(VLOOKUP(宠物属性点预览!$B93,宠物成长!$D$30:$E$129,2,FALSE)-宠物成长!$E$30)*宠物成长!$C$2/宠物成长!$C$3*(1+VLOOKUP(宠物属性点预览!I$2,宠物成长!$F$5:$K$25,3,FALSE)+0)</f>
        <v>1163</v>
      </c>
      <c r="J93" s="9">
        <f>(宠物成长!$C$1+宠物成长!$C$2/宠物成长!$C$3*宠物成长!$E$30)*(1+VLOOKUP(宠物属性点预览!J$2,宠物成长!$F$4:$K$25,4,FALSE)+0)+(VLOOKUP(宠物属性点预览!$B93,宠物成长!$D$30:$E$129,2,FALSE)-宠物成长!$E$30)*宠物成长!$C$2/宠物成长!$C$3*(1+VLOOKUP(宠物属性点预览!J$2,宠物成长!$F$5:$K$25,3,FALSE)+0)</f>
        <v>1437.6296296296296</v>
      </c>
      <c r="K93" s="9">
        <f>(宠物成长!$C$1+宠物成长!$C$2/宠物成长!$C$3*宠物成长!$E$30)*(1+VLOOKUP(宠物属性点预览!K$2,宠物成长!$F$4:$K$25,4,FALSE)+0)+(VLOOKUP(宠物属性点预览!$B93,宠物成长!$D$30:$E$129,2,FALSE)-宠物成长!$E$30)*宠物成长!$C$2/宠物成长!$C$3*(1+VLOOKUP(宠物属性点预览!K$2,宠物成长!$F$5:$K$25,3,FALSE)+0)</f>
        <v>1715.1296296296296</v>
      </c>
      <c r="L93" s="9">
        <f>(宠物成长!$C$1+宠物成长!$C$2/宠物成长!$C$3*宠物成长!$E$30)*(1+VLOOKUP(宠物属性点预览!L$2,宠物成长!$F$4:$K$25,4,FALSE)+0)+(VLOOKUP(宠物属性点预览!$B93,宠物成长!$D$30:$E$129,2,FALSE)-宠物成长!$E$30)*宠物成长!$C$2/宠物成长!$C$3*(1+VLOOKUP(宠物属性点预览!L$2,宠物成长!$F$5:$K$25,3,FALSE)+0)</f>
        <v>1994.7242242242241</v>
      </c>
      <c r="M93" s="9">
        <f>(宠物成长!$C$1+宠物成长!$C$2/宠物成长!$C$3*宠物成长!$E$30)*(1+VLOOKUP(宠物属性点预览!M$2,宠物成长!$F$4:$K$25,4,FALSE)+0)+(VLOOKUP(宠物属性点预览!$B93,宠物成长!$D$30:$E$129,2,FALSE)-宠物成长!$E$30)*宠物成长!$C$2/宠物成长!$C$3*(1+VLOOKUP(宠物属性点预览!M$2,宠物成长!$F$5:$K$25,3,FALSE)+0)</f>
        <v>2275.9147004147003</v>
      </c>
      <c r="N93" s="9">
        <f>(宠物成长!$C$1+宠物成长!$C$2/宠物成长!$C$3*宠物成长!$E$30)*(1+VLOOKUP(宠物属性点预览!N$2,宠物成长!$F$4:$K$25,4,FALSE)+0)+(VLOOKUP(宠物属性点预览!$B93,宠物成长!$D$30:$E$129,2,FALSE)-宠物成长!$E$30)*宠物成长!$C$2/宠物成长!$C$3*(1+VLOOKUP(宠物属性点预览!N$2,宠物成长!$F$5:$K$25,3,FALSE)+0)</f>
        <v>2558.3615089253385</v>
      </c>
      <c r="O93" s="9">
        <f>(宠物成长!$C$1+宠物成长!$C$2/宠物成长!$C$3*宠物成长!$E$30)*(1+VLOOKUP(宠物属性点预览!O$2,宠物成长!$F$4:$K$25,4,FALSE)+0)+(VLOOKUP(宠物属性点预览!$B93,宠物成长!$D$30:$E$129,2,FALSE)-宠物成长!$E$30)*宠物成长!$C$2/宠物成长!$C$3*(1+VLOOKUP(宠物属性点预览!O$2,宠物成长!$F$5:$K$25,3,FALSE)+0)</f>
        <v>2841.8230473868766</v>
      </c>
      <c r="P93" s="9">
        <f>(宠物成长!$C$1+宠物成长!$C$2/宠物成长!$C$3*宠物成长!$E$30)*(1+VLOOKUP(宠物属性点预览!P$2,宠物成长!$F$4:$K$25,4,FALSE)+0)+(VLOOKUP(宠物属性点预览!$B93,宠物成长!$D$30:$E$129,2,FALSE)-宠物成长!$E$30)*宠物成长!$C$2/宠物成长!$C$3*(1+VLOOKUP(宠物属性点预览!P$2,宠物成长!$F$5:$K$25,3,FALSE)+0)</f>
        <v>3126.1212930009119</v>
      </c>
      <c r="Q93" s="9">
        <f>(宠物成长!$C$1+宠物成长!$C$2/宠物成长!$C$3*宠物成长!$E$30)*(1+VLOOKUP(宠物属性点预览!Q$2,宠物成长!$F$4:$K$25,4,FALSE)+0)+(VLOOKUP(宠物属性点预览!$B93,宠物成长!$D$30:$E$129,2,FALSE)-宠物成长!$E$30)*宠物成长!$C$2/宠物成长!$C$3*(1+VLOOKUP(宠物属性点预览!Q$2,宠物成长!$F$5:$K$25,3,FALSE)+0)</f>
        <v>3411.1212930009119</v>
      </c>
      <c r="R93" s="9">
        <f>(宠物成长!$C$1+宠物成长!$C$2/宠物成长!$C$3*宠物成长!$E$30)*(1+VLOOKUP(宠物属性点预览!R$2,宠物成长!$F$4:$K$25,4,FALSE)+0)+(VLOOKUP(宠物属性点预览!$B93,宠物成长!$D$30:$E$129,2,FALSE)-宠物成长!$E$30)*宠物成长!$C$2/宠物成长!$C$3*(1+VLOOKUP(宠物属性点预览!R$2,宠物成长!$F$5:$K$25,3,FALSE)+0)</f>
        <v>3696.718307926285</v>
      </c>
      <c r="S93" s="9">
        <f>(宠物成长!$C$1+宠物成长!$C$2/宠物成长!$C$3*宠物成长!$E$30)*(1+VLOOKUP(宠物属性点预览!S$2,宠物成长!$F$4:$K$25,4,FALSE)+0)+(VLOOKUP(宠物属性点预览!$B93,宠物成长!$D$30:$E$129,2,FALSE)-宠物成长!$E$30)*宠物成长!$C$2/宠物成长!$C$3*(1+VLOOKUP(宠物属性点预览!S$2,宠物成长!$F$5:$K$25,3,FALSE)+0)</f>
        <v>3982.8294190373958</v>
      </c>
      <c r="T93" s="83">
        <f t="shared" si="17"/>
        <v>3982.8294190373958</v>
      </c>
      <c r="V93" s="9">
        <f>(宠物成长!$C$1+宠物成长!$C$2/宠物成长!$C$3*宠物成长!$E$30)*(1+宠物成长!$I$21+VLOOKUP(宠物属性点预览!V$2,宠物成长!$O$5:$R$10,3,FALSE))+(VLOOKUP(宠物属性点预览!$B93,宠物成长!$D$30:$E$129,2,FALSE)-宠物成长!$E$30)*宠物成长!$C$2/宠物成长!$C$3*(1+宠物成长!$H$21+VLOOKUP(宠物属性点预览!V$2,宠物成长!$O$5:$R$10,2,FALSE))</f>
        <v>3982.8294190373958</v>
      </c>
      <c r="W93" s="9">
        <f>(宠物成长!$C$1+宠物成长!$C$2/宠物成长!$C$3*宠物成长!$E$30)*(1+宠物成长!$I$21+VLOOKUP(宠物属性点预览!W$2,宠物成长!$O$5:$R$10,3,FALSE))+(VLOOKUP(宠物属性点预览!$B93,宠物成长!$D$30:$E$129,2,FALSE)-宠物成长!$E$30)*宠物成长!$C$2/宠物成长!$C$3*(1+宠物成长!$H$21+VLOOKUP(宠物属性点预览!W$2,宠物成长!$O$5:$R$10,2,FALSE))</f>
        <v>4382.8294190373963</v>
      </c>
      <c r="X93" s="9">
        <f>(宠物成长!$C$1+宠物成长!$C$2/宠物成长!$C$3*宠物成长!$E$30)*(1+宠物成长!$I$21+VLOOKUP(宠物属性点预览!X$2,宠物成长!$O$5:$R$10,3,FALSE))+(VLOOKUP(宠物属性点预览!$B93,宠物成长!$D$30:$E$129,2,FALSE)-宠物成长!$E$30)*宠物成长!$C$2/宠物成长!$C$3*(1+宠物成长!$H$21+VLOOKUP(宠物属性点预览!X$2,宠物成长!$O$5:$R$10,2,FALSE))</f>
        <v>4844.8294190373963</v>
      </c>
      <c r="Y93" s="9">
        <f>(宠物成长!$C$1+宠物成长!$C$2/宠物成长!$C$3*宠物成长!$E$30)*(1+宠物成长!$I$21+VLOOKUP(宠物属性点预览!Y$2,宠物成长!$O$5:$R$10,3,FALSE))+(VLOOKUP(宠物属性点预览!$B93,宠物成长!$D$30:$E$129,2,FALSE)-宠物成长!$E$30)*宠物成长!$C$2/宠物成长!$C$3*(1+宠物成长!$H$21+VLOOKUP(宠物属性点预览!Y$2,宠物成长!$O$5:$R$10,2,FALSE))</f>
        <v>5368.8294190373954</v>
      </c>
      <c r="Z93" s="9">
        <f>(宠物成长!$C$1+宠物成长!$C$2/宠物成长!$C$3*宠物成长!$E$30)*(1+宠物成长!$I$21+VLOOKUP(宠物属性点预览!Z$2,宠物成长!$O$5:$R$10,3,FALSE))+(VLOOKUP(宠物属性点预览!$B93,宠物成长!$D$30:$E$129,2,FALSE)-宠物成长!$E$30)*宠物成长!$C$2/宠物成长!$C$3*(1+宠物成长!$H$21+VLOOKUP(宠物属性点预览!Z$2,宠物成长!$O$5:$R$10,2,FALSE))</f>
        <v>5892.8294190373954</v>
      </c>
    </row>
    <row r="94" spans="2:26" x14ac:dyDescent="0.15">
      <c r="B94" s="1">
        <v>92</v>
      </c>
      <c r="C94" s="9">
        <f>(宠物成长!$C$1+宠物成长!$C$2/宠物成长!$C$3*宠物成长!$E$30)*(1+VLOOKUP(宠物属性点预览!C$2,宠物成长!$F$4:$K$25,4,FALSE)+0)+(VLOOKUP(宠物属性点预览!$B94,宠物成长!$D$30:$E$129,2,FALSE)-宠物成长!$E$30)*宠物成长!$C$2/宠物成长!$C$3*(1+VLOOKUP(宠物属性点预览!C$2,宠物成长!$F$5:$K$25,3,FALSE)+0)</f>
        <v>380.5</v>
      </c>
      <c r="D94" s="9">
        <f>(宠物成长!$C$1+宠物成长!$C$2/宠物成长!$C$3*宠物成长!$E$30)*(1+VLOOKUP(宠物属性点预览!D$2,宠物成长!$F$4:$K$25,4,FALSE)+0)+(VLOOKUP(宠物属性点预览!$B94,宠物成长!$D$30:$E$129,2,FALSE)-宠物成长!$E$30)*宠物成长!$C$2/宠物成长!$C$3*(1+VLOOKUP(宠物属性点预览!D$2,宠物成长!$F$5:$K$25,3,FALSE)+0)</f>
        <v>427</v>
      </c>
      <c r="E94" s="9">
        <f>(宠物成长!$C$1+宠物成长!$C$2/宠物成长!$C$3*宠物成长!$E$30)*(1+VLOOKUP(宠物属性点预览!E$2,宠物成长!$F$4:$K$25,4,FALSE)+0)+(VLOOKUP(宠物属性点预览!$B94,宠物成长!$D$30:$E$129,2,FALSE)-宠物成长!$E$30)*宠物成长!$C$2/宠物成长!$C$3*(1+VLOOKUP(宠物属性点预览!E$2,宠物成长!$F$5:$K$25,3,FALSE)+0)</f>
        <v>492.1</v>
      </c>
      <c r="F94" s="9">
        <f>(宠物成长!$C$1+宠物成长!$C$2/宠物成长!$C$3*宠物成长!$E$30)*(1+VLOOKUP(宠物属性点预览!F$2,宠物成长!$F$4:$K$25,4,FALSE)+0)+(VLOOKUP(宠物属性点预览!$B94,宠物成长!$D$30:$E$129,2,FALSE)-宠物成长!$E$30)*宠物成长!$C$2/宠物成长!$C$3*(1+VLOOKUP(宠物属性点预览!F$2,宠物成长!$F$5:$K$25,3,FALSE)+0)</f>
        <v>578.90000000000009</v>
      </c>
      <c r="G94" s="9">
        <f>(宠物成长!$C$1+宠物成长!$C$2/宠物成长!$C$3*宠物成长!$E$30)*(1+VLOOKUP(宠物属性点预览!G$2,宠物成长!$F$4:$K$25,4,FALSE)+0)+(VLOOKUP(宠物属性点预览!$B94,宠物成长!$D$30:$E$129,2,FALSE)-宠物成长!$E$30)*宠物成长!$C$2/宠物成长!$C$3*(1+VLOOKUP(宠物属性点预览!G$2,宠物成长!$F$5:$K$25,3,FALSE)+0)</f>
        <v>723.59999999999991</v>
      </c>
      <c r="H94" s="9">
        <f>(宠物成长!$C$1+宠物成长!$C$2/宠物成长!$C$3*宠物成长!$E$30)*(1+VLOOKUP(宠物属性点预览!H$2,宠物成长!$F$4:$K$25,4,FALSE)+0)+(VLOOKUP(宠物属性点预览!$B94,宠物成长!$D$30:$E$129,2,FALSE)-宠物成长!$E$30)*宠物成长!$C$2/宠物成长!$C$3*(1+VLOOKUP(宠物属性点预览!H$2,宠物成长!$F$5:$K$25,3,FALSE)+0)</f>
        <v>917.9</v>
      </c>
      <c r="I94" s="9">
        <f>(宠物成长!$C$1+宠物成长!$C$2/宠物成长!$C$3*宠物成长!$E$30)*(1+VLOOKUP(宠物属性点预览!I$2,宠物成长!$F$4:$K$25,4,FALSE)+0)+(VLOOKUP(宠物属性点预览!$B94,宠物成长!$D$30:$E$129,2,FALSE)-宠物成长!$E$30)*宠物成长!$C$2/宠物成长!$C$3*(1+VLOOKUP(宠物属性点预览!I$2,宠物成长!$F$5:$K$25,3,FALSE)+0)</f>
        <v>1168</v>
      </c>
      <c r="J94" s="9">
        <f>(宠物成长!$C$1+宠物成长!$C$2/宠物成长!$C$3*宠物成长!$E$30)*(1+VLOOKUP(宠物属性点预览!J$2,宠物成长!$F$4:$K$25,4,FALSE)+0)+(VLOOKUP(宠物属性点预览!$B94,宠物成长!$D$30:$E$129,2,FALSE)-宠物成长!$E$30)*宠物成长!$C$2/宠物成长!$C$3*(1+VLOOKUP(宠物属性点预览!J$2,宠物成长!$F$5:$K$25,3,FALSE)+0)</f>
        <v>1443.1296296296296</v>
      </c>
      <c r="K94" s="9">
        <f>(宠物成长!$C$1+宠物成长!$C$2/宠物成长!$C$3*宠物成长!$E$30)*(1+VLOOKUP(宠物属性点预览!K$2,宠物成长!$F$4:$K$25,4,FALSE)+0)+(VLOOKUP(宠物属性点预览!$B94,宠物成长!$D$30:$E$129,2,FALSE)-宠物成长!$E$30)*宠物成长!$C$2/宠物成长!$C$3*(1+VLOOKUP(宠物属性点预览!K$2,宠物成长!$F$5:$K$25,3,FALSE)+0)</f>
        <v>1721.1296296296296</v>
      </c>
      <c r="L94" s="9">
        <f>(宠物成长!$C$1+宠物成长!$C$2/宠物成长!$C$3*宠物成长!$E$30)*(1+VLOOKUP(宠物属性点预览!L$2,宠物成长!$F$4:$K$25,4,FALSE)+0)+(VLOOKUP(宠物属性点预览!$B94,宠物成长!$D$30:$E$129,2,FALSE)-宠物成长!$E$30)*宠物成长!$C$2/宠物成长!$C$3*(1+VLOOKUP(宠物属性点预览!L$2,宠物成长!$F$5:$K$25,3,FALSE)+0)</f>
        <v>2001.2242242242241</v>
      </c>
      <c r="M94" s="9">
        <f>(宠物成长!$C$1+宠物成长!$C$2/宠物成长!$C$3*宠物成长!$E$30)*(1+VLOOKUP(宠物属性点预览!M$2,宠物成长!$F$4:$K$25,4,FALSE)+0)+(VLOOKUP(宠物属性点预览!$B94,宠物成长!$D$30:$E$129,2,FALSE)-宠物成长!$E$30)*宠物成长!$C$2/宠物成长!$C$3*(1+VLOOKUP(宠物属性点预览!M$2,宠物成长!$F$5:$K$25,3,FALSE)+0)</f>
        <v>2282.9147004147003</v>
      </c>
      <c r="N94" s="9">
        <f>(宠物成长!$C$1+宠物成长!$C$2/宠物成长!$C$3*宠物成长!$E$30)*(1+VLOOKUP(宠物属性点预览!N$2,宠物成长!$F$4:$K$25,4,FALSE)+0)+(VLOOKUP(宠物属性点预览!$B94,宠物成长!$D$30:$E$129,2,FALSE)-宠物成长!$E$30)*宠物成长!$C$2/宠物成长!$C$3*(1+VLOOKUP(宠物属性点预览!N$2,宠物成长!$F$5:$K$25,3,FALSE)+0)</f>
        <v>2565.8615089253385</v>
      </c>
      <c r="O94" s="9">
        <f>(宠物成长!$C$1+宠物成长!$C$2/宠物成长!$C$3*宠物成长!$E$30)*(1+VLOOKUP(宠物属性点预览!O$2,宠物成长!$F$4:$K$25,4,FALSE)+0)+(VLOOKUP(宠物属性点预览!$B94,宠物成长!$D$30:$E$129,2,FALSE)-宠物成长!$E$30)*宠物成长!$C$2/宠物成长!$C$3*(1+VLOOKUP(宠物属性点预览!O$2,宠物成长!$F$5:$K$25,3,FALSE)+0)</f>
        <v>2849.8230473868766</v>
      </c>
      <c r="P94" s="9">
        <f>(宠物成长!$C$1+宠物成长!$C$2/宠物成长!$C$3*宠物成长!$E$30)*(1+VLOOKUP(宠物属性点预览!P$2,宠物成长!$F$4:$K$25,4,FALSE)+0)+(VLOOKUP(宠物属性点预览!$B94,宠物成长!$D$30:$E$129,2,FALSE)-宠物成长!$E$30)*宠物成长!$C$2/宠物成长!$C$3*(1+VLOOKUP(宠物属性点预览!P$2,宠物成长!$F$5:$K$25,3,FALSE)+0)</f>
        <v>3134.6212930009119</v>
      </c>
      <c r="Q94" s="9">
        <f>(宠物成长!$C$1+宠物成长!$C$2/宠物成长!$C$3*宠物成长!$E$30)*(1+VLOOKUP(宠物属性点预览!Q$2,宠物成长!$F$4:$K$25,4,FALSE)+0)+(VLOOKUP(宠物属性点预览!$B94,宠物成长!$D$30:$E$129,2,FALSE)-宠物成长!$E$30)*宠物成长!$C$2/宠物成长!$C$3*(1+VLOOKUP(宠物属性点预览!Q$2,宠物成长!$F$5:$K$25,3,FALSE)+0)</f>
        <v>3420.1212930009119</v>
      </c>
      <c r="R94" s="9">
        <f>(宠物成长!$C$1+宠物成长!$C$2/宠物成长!$C$3*宠物成长!$E$30)*(1+VLOOKUP(宠物属性点预览!R$2,宠物成长!$F$4:$K$25,4,FALSE)+0)+(VLOOKUP(宠物属性点预览!$B94,宠物成长!$D$30:$E$129,2,FALSE)-宠物成长!$E$30)*宠物成长!$C$2/宠物成长!$C$3*(1+VLOOKUP(宠物属性点预览!R$2,宠物成长!$F$5:$K$25,3,FALSE)+0)</f>
        <v>3706.218307926285</v>
      </c>
      <c r="S94" s="9">
        <f>(宠物成长!$C$1+宠物成长!$C$2/宠物成长!$C$3*宠物成长!$E$30)*(1+VLOOKUP(宠物属性点预览!S$2,宠物成长!$F$4:$K$25,4,FALSE)+0)+(VLOOKUP(宠物属性点预览!$B94,宠物成长!$D$30:$E$129,2,FALSE)-宠物成长!$E$30)*宠物成长!$C$2/宠物成长!$C$3*(1+VLOOKUP(宠物属性点预览!S$2,宠物成长!$F$5:$K$25,3,FALSE)+0)</f>
        <v>3992.8294190373958</v>
      </c>
      <c r="T94" s="83">
        <f t="shared" si="17"/>
        <v>3992.8294190373958</v>
      </c>
      <c r="V94" s="9">
        <f>(宠物成长!$C$1+宠物成长!$C$2/宠物成长!$C$3*宠物成长!$E$30)*(1+宠物成长!$I$21+VLOOKUP(宠物属性点预览!V$2,宠物成长!$O$5:$R$10,3,FALSE))+(VLOOKUP(宠物属性点预览!$B94,宠物成长!$D$30:$E$129,2,FALSE)-宠物成长!$E$30)*宠物成长!$C$2/宠物成长!$C$3*(1+宠物成长!$H$21+VLOOKUP(宠物属性点预览!V$2,宠物成长!$O$5:$R$10,2,FALSE))</f>
        <v>3992.8294190373958</v>
      </c>
      <c r="W94" s="9">
        <f>(宠物成长!$C$1+宠物成长!$C$2/宠物成长!$C$3*宠物成长!$E$30)*(1+宠物成长!$I$21+VLOOKUP(宠物属性点预览!W$2,宠物成长!$O$5:$R$10,3,FALSE))+(VLOOKUP(宠物属性点预览!$B94,宠物成长!$D$30:$E$129,2,FALSE)-宠物成长!$E$30)*宠物成长!$C$2/宠物成长!$C$3*(1+宠物成长!$H$21+VLOOKUP(宠物属性点预览!W$2,宠物成长!$O$5:$R$10,2,FALSE))</f>
        <v>4393.8294190373963</v>
      </c>
      <c r="X94" s="9">
        <f>(宠物成长!$C$1+宠物成长!$C$2/宠物成长!$C$3*宠物成长!$E$30)*(1+宠物成长!$I$21+VLOOKUP(宠物属性点预览!X$2,宠物成长!$O$5:$R$10,3,FALSE))+(VLOOKUP(宠物属性点预览!$B94,宠物成长!$D$30:$E$129,2,FALSE)-宠物成长!$E$30)*宠物成长!$C$2/宠物成长!$C$3*(1+宠物成长!$H$21+VLOOKUP(宠物属性点预览!X$2,宠物成长!$O$5:$R$10,2,FALSE))</f>
        <v>4856.8294190373963</v>
      </c>
      <c r="Y94" s="9">
        <f>(宠物成长!$C$1+宠物成长!$C$2/宠物成长!$C$3*宠物成长!$E$30)*(1+宠物成长!$I$21+VLOOKUP(宠物属性点预览!Y$2,宠物成长!$O$5:$R$10,3,FALSE))+(VLOOKUP(宠物属性点预览!$B94,宠物成长!$D$30:$E$129,2,FALSE)-宠物成长!$E$30)*宠物成长!$C$2/宠物成长!$C$3*(1+宠物成长!$H$21+VLOOKUP(宠物属性点预览!Y$2,宠物成长!$O$5:$R$10,2,FALSE))</f>
        <v>5381.8294190373954</v>
      </c>
      <c r="Z94" s="9">
        <f>(宠物成长!$C$1+宠物成长!$C$2/宠物成长!$C$3*宠物成长!$E$30)*(1+宠物成长!$I$21+VLOOKUP(宠物属性点预览!Z$2,宠物成长!$O$5:$R$10,3,FALSE))+(VLOOKUP(宠物属性点预览!$B94,宠物成长!$D$30:$E$129,2,FALSE)-宠物成长!$E$30)*宠物成长!$C$2/宠物成长!$C$3*(1+宠物成长!$H$21+VLOOKUP(宠物属性点预览!Z$2,宠物成长!$O$5:$R$10,2,FALSE))</f>
        <v>5906.8294190373954</v>
      </c>
    </row>
    <row r="95" spans="2:26" x14ac:dyDescent="0.15">
      <c r="B95" s="1">
        <v>93</v>
      </c>
      <c r="C95" s="9">
        <f>(宠物成长!$C$1+宠物成长!$C$2/宠物成长!$C$3*宠物成长!$E$30)*(1+VLOOKUP(宠物属性点预览!C$2,宠物成长!$F$4:$K$25,4,FALSE)+0)+(VLOOKUP(宠物属性点预览!$B95,宠物成长!$D$30:$E$129,2,FALSE)-宠物成长!$E$30)*宠物成长!$C$2/宠物成长!$C$3*(1+VLOOKUP(宠物属性点预览!C$2,宠物成长!$F$5:$K$25,3,FALSE)+0)</f>
        <v>384</v>
      </c>
      <c r="D95" s="9">
        <f>(宠物成长!$C$1+宠物成长!$C$2/宠物成长!$C$3*宠物成长!$E$30)*(1+VLOOKUP(宠物属性点预览!D$2,宠物成长!$F$4:$K$25,4,FALSE)+0)+(VLOOKUP(宠物属性点预览!$B95,宠物成长!$D$30:$E$129,2,FALSE)-宠物成长!$E$30)*宠物成长!$C$2/宠物成长!$C$3*(1+VLOOKUP(宠物属性点预览!D$2,宠物成长!$F$5:$K$25,3,FALSE)+0)</f>
        <v>430.5</v>
      </c>
      <c r="E95" s="9">
        <f>(宠物成长!$C$1+宠物成长!$C$2/宠物成长!$C$3*宠物成长!$E$30)*(1+VLOOKUP(宠物属性点预览!E$2,宠物成长!$F$4:$K$25,4,FALSE)+0)+(VLOOKUP(宠物属性点预览!$B95,宠物成长!$D$30:$E$129,2,FALSE)-宠物成长!$E$30)*宠物成长!$C$2/宠物成长!$C$3*(1+VLOOKUP(宠物属性点预览!E$2,宠物成长!$F$5:$K$25,3,FALSE)+0)</f>
        <v>495.6</v>
      </c>
      <c r="F95" s="9">
        <f>(宠物成长!$C$1+宠物成长!$C$2/宠物成长!$C$3*宠物成长!$E$30)*(1+VLOOKUP(宠物属性点预览!F$2,宠物成长!$F$4:$K$25,4,FALSE)+0)+(VLOOKUP(宠物属性点预览!$B95,宠物成长!$D$30:$E$129,2,FALSE)-宠物成长!$E$30)*宠物成长!$C$2/宠物成长!$C$3*(1+VLOOKUP(宠物属性点预览!F$2,宠物成长!$F$5:$K$25,3,FALSE)+0)</f>
        <v>582.40000000000009</v>
      </c>
      <c r="G95" s="9">
        <f>(宠物成长!$C$1+宠物成长!$C$2/宠物成长!$C$3*宠物成长!$E$30)*(1+VLOOKUP(宠物属性点预览!G$2,宠物成长!$F$4:$K$25,4,FALSE)+0)+(VLOOKUP(宠物属性点预览!$B95,宠物成长!$D$30:$E$129,2,FALSE)-宠物成长!$E$30)*宠物成长!$C$2/宠物成长!$C$3*(1+VLOOKUP(宠物属性点预览!G$2,宠物成长!$F$5:$K$25,3,FALSE)+0)</f>
        <v>727.59999999999991</v>
      </c>
      <c r="H95" s="9">
        <f>(宠物成长!$C$1+宠物成长!$C$2/宠物成长!$C$3*宠物成长!$E$30)*(1+VLOOKUP(宠物属性点预览!H$2,宠物成长!$F$4:$K$25,4,FALSE)+0)+(VLOOKUP(宠物属性点预览!$B95,宠物成长!$D$30:$E$129,2,FALSE)-宠物成长!$E$30)*宠物成长!$C$2/宠物成长!$C$3*(1+VLOOKUP(宠物属性点预览!H$2,宠物成长!$F$5:$K$25,3,FALSE)+0)</f>
        <v>922.4</v>
      </c>
      <c r="I95" s="9">
        <f>(宠物成长!$C$1+宠物成长!$C$2/宠物成长!$C$3*宠物成长!$E$30)*(1+VLOOKUP(宠物属性点预览!I$2,宠物成长!$F$4:$K$25,4,FALSE)+0)+(VLOOKUP(宠物属性点预览!$B95,宠物成长!$D$30:$E$129,2,FALSE)-宠物成长!$E$30)*宠物成长!$C$2/宠物成长!$C$3*(1+VLOOKUP(宠物属性点预览!I$2,宠物成长!$F$5:$K$25,3,FALSE)+0)</f>
        <v>1173</v>
      </c>
      <c r="J95" s="9">
        <f>(宠物成长!$C$1+宠物成长!$C$2/宠物成长!$C$3*宠物成长!$E$30)*(1+VLOOKUP(宠物属性点预览!J$2,宠物成长!$F$4:$K$25,4,FALSE)+0)+(VLOOKUP(宠物属性点预览!$B95,宠物成长!$D$30:$E$129,2,FALSE)-宠物成长!$E$30)*宠物成长!$C$2/宠物成长!$C$3*(1+VLOOKUP(宠物属性点预览!J$2,宠物成长!$F$5:$K$25,3,FALSE)+0)</f>
        <v>1448.6296296296296</v>
      </c>
      <c r="K95" s="9">
        <f>(宠物成长!$C$1+宠物成长!$C$2/宠物成长!$C$3*宠物成长!$E$30)*(1+VLOOKUP(宠物属性点预览!K$2,宠物成长!$F$4:$K$25,4,FALSE)+0)+(VLOOKUP(宠物属性点预览!$B95,宠物成长!$D$30:$E$129,2,FALSE)-宠物成长!$E$30)*宠物成长!$C$2/宠物成长!$C$3*(1+VLOOKUP(宠物属性点预览!K$2,宠物成长!$F$5:$K$25,3,FALSE)+0)</f>
        <v>1727.1296296296296</v>
      </c>
      <c r="L95" s="9">
        <f>(宠物成长!$C$1+宠物成长!$C$2/宠物成长!$C$3*宠物成长!$E$30)*(1+VLOOKUP(宠物属性点预览!L$2,宠物成长!$F$4:$K$25,4,FALSE)+0)+(VLOOKUP(宠物属性点预览!$B95,宠物成长!$D$30:$E$129,2,FALSE)-宠物成长!$E$30)*宠物成长!$C$2/宠物成长!$C$3*(1+VLOOKUP(宠物属性点预览!L$2,宠物成长!$F$5:$K$25,3,FALSE)+0)</f>
        <v>2007.7242242242241</v>
      </c>
      <c r="M95" s="9">
        <f>(宠物成长!$C$1+宠物成长!$C$2/宠物成长!$C$3*宠物成长!$E$30)*(1+VLOOKUP(宠物属性点预览!M$2,宠物成长!$F$4:$K$25,4,FALSE)+0)+(VLOOKUP(宠物属性点预览!$B95,宠物成长!$D$30:$E$129,2,FALSE)-宠物成长!$E$30)*宠物成长!$C$2/宠物成长!$C$3*(1+VLOOKUP(宠物属性点预览!M$2,宠物成长!$F$5:$K$25,3,FALSE)+0)</f>
        <v>2289.9147004147003</v>
      </c>
      <c r="N95" s="9">
        <f>(宠物成长!$C$1+宠物成长!$C$2/宠物成长!$C$3*宠物成长!$E$30)*(1+VLOOKUP(宠物属性点预览!N$2,宠物成长!$F$4:$K$25,4,FALSE)+0)+(VLOOKUP(宠物属性点预览!$B95,宠物成长!$D$30:$E$129,2,FALSE)-宠物成长!$E$30)*宠物成长!$C$2/宠物成长!$C$3*(1+VLOOKUP(宠物属性点预览!N$2,宠物成长!$F$5:$K$25,3,FALSE)+0)</f>
        <v>2573.3615089253385</v>
      </c>
      <c r="O95" s="9">
        <f>(宠物成长!$C$1+宠物成长!$C$2/宠物成长!$C$3*宠物成长!$E$30)*(1+VLOOKUP(宠物属性点预览!O$2,宠物成长!$F$4:$K$25,4,FALSE)+0)+(VLOOKUP(宠物属性点预览!$B95,宠物成长!$D$30:$E$129,2,FALSE)-宠物成长!$E$30)*宠物成长!$C$2/宠物成长!$C$3*(1+VLOOKUP(宠物属性点预览!O$2,宠物成长!$F$5:$K$25,3,FALSE)+0)</f>
        <v>2857.8230473868766</v>
      </c>
      <c r="P95" s="9">
        <f>(宠物成长!$C$1+宠物成长!$C$2/宠物成长!$C$3*宠物成长!$E$30)*(1+VLOOKUP(宠物属性点预览!P$2,宠物成长!$F$4:$K$25,4,FALSE)+0)+(VLOOKUP(宠物属性点预览!$B95,宠物成长!$D$30:$E$129,2,FALSE)-宠物成长!$E$30)*宠物成长!$C$2/宠物成长!$C$3*(1+VLOOKUP(宠物属性点预览!P$2,宠物成长!$F$5:$K$25,3,FALSE)+0)</f>
        <v>3143.1212930009119</v>
      </c>
      <c r="Q95" s="9">
        <f>(宠物成长!$C$1+宠物成长!$C$2/宠物成长!$C$3*宠物成长!$E$30)*(1+VLOOKUP(宠物属性点预览!Q$2,宠物成长!$F$4:$K$25,4,FALSE)+0)+(VLOOKUP(宠物属性点预览!$B95,宠物成长!$D$30:$E$129,2,FALSE)-宠物成长!$E$30)*宠物成长!$C$2/宠物成长!$C$3*(1+VLOOKUP(宠物属性点预览!Q$2,宠物成长!$F$5:$K$25,3,FALSE)+0)</f>
        <v>3429.1212930009119</v>
      </c>
      <c r="R95" s="9">
        <f>(宠物成长!$C$1+宠物成长!$C$2/宠物成长!$C$3*宠物成长!$E$30)*(1+VLOOKUP(宠物属性点预览!R$2,宠物成长!$F$4:$K$25,4,FALSE)+0)+(VLOOKUP(宠物属性点预览!$B95,宠物成长!$D$30:$E$129,2,FALSE)-宠物成长!$E$30)*宠物成长!$C$2/宠物成长!$C$3*(1+VLOOKUP(宠物属性点预览!R$2,宠物成长!$F$5:$K$25,3,FALSE)+0)</f>
        <v>3715.718307926285</v>
      </c>
      <c r="S95" s="9">
        <f>(宠物成长!$C$1+宠物成长!$C$2/宠物成长!$C$3*宠物成长!$E$30)*(1+VLOOKUP(宠物属性点预览!S$2,宠物成长!$F$4:$K$25,4,FALSE)+0)+(VLOOKUP(宠物属性点预览!$B95,宠物成长!$D$30:$E$129,2,FALSE)-宠物成长!$E$30)*宠物成长!$C$2/宠物成长!$C$3*(1+VLOOKUP(宠物属性点预览!S$2,宠物成长!$F$5:$K$25,3,FALSE)+0)</f>
        <v>4002.8294190373958</v>
      </c>
      <c r="T95" s="83">
        <f t="shared" si="17"/>
        <v>4002.8294190373958</v>
      </c>
      <c r="V95" s="9">
        <f>(宠物成长!$C$1+宠物成长!$C$2/宠物成长!$C$3*宠物成长!$E$30)*(1+宠物成长!$I$21+VLOOKUP(宠物属性点预览!V$2,宠物成长!$O$5:$R$10,3,FALSE))+(VLOOKUP(宠物属性点预览!$B95,宠物成长!$D$30:$E$129,2,FALSE)-宠物成长!$E$30)*宠物成长!$C$2/宠物成长!$C$3*(1+宠物成长!$H$21+VLOOKUP(宠物属性点预览!V$2,宠物成长!$O$5:$R$10,2,FALSE))</f>
        <v>4002.8294190373958</v>
      </c>
      <c r="W95" s="9">
        <f>(宠物成长!$C$1+宠物成长!$C$2/宠物成长!$C$3*宠物成长!$E$30)*(1+宠物成长!$I$21+VLOOKUP(宠物属性点预览!W$2,宠物成长!$O$5:$R$10,3,FALSE))+(VLOOKUP(宠物属性点预览!$B95,宠物成长!$D$30:$E$129,2,FALSE)-宠物成长!$E$30)*宠物成长!$C$2/宠物成长!$C$3*(1+宠物成长!$H$21+VLOOKUP(宠物属性点预览!W$2,宠物成长!$O$5:$R$10,2,FALSE))</f>
        <v>4404.8294190373963</v>
      </c>
      <c r="X95" s="9">
        <f>(宠物成长!$C$1+宠物成长!$C$2/宠物成长!$C$3*宠物成长!$E$30)*(1+宠物成长!$I$21+VLOOKUP(宠物属性点预览!X$2,宠物成长!$O$5:$R$10,3,FALSE))+(VLOOKUP(宠物属性点预览!$B95,宠物成长!$D$30:$E$129,2,FALSE)-宠物成长!$E$30)*宠物成长!$C$2/宠物成长!$C$3*(1+宠物成长!$H$21+VLOOKUP(宠物属性点预览!X$2,宠物成长!$O$5:$R$10,2,FALSE))</f>
        <v>4868.8294190373963</v>
      </c>
      <c r="Y95" s="9">
        <f>(宠物成长!$C$1+宠物成长!$C$2/宠物成长!$C$3*宠物成长!$E$30)*(1+宠物成长!$I$21+VLOOKUP(宠物属性点预览!Y$2,宠物成长!$O$5:$R$10,3,FALSE))+(VLOOKUP(宠物属性点预览!$B95,宠物成长!$D$30:$E$129,2,FALSE)-宠物成长!$E$30)*宠物成长!$C$2/宠物成长!$C$3*(1+宠物成长!$H$21+VLOOKUP(宠物属性点预览!Y$2,宠物成长!$O$5:$R$10,2,FALSE))</f>
        <v>5394.8294190373954</v>
      </c>
      <c r="Z95" s="9">
        <f>(宠物成长!$C$1+宠物成长!$C$2/宠物成长!$C$3*宠物成长!$E$30)*(1+宠物成长!$I$21+VLOOKUP(宠物属性点预览!Z$2,宠物成长!$O$5:$R$10,3,FALSE))+(VLOOKUP(宠物属性点预览!$B95,宠物成长!$D$30:$E$129,2,FALSE)-宠物成长!$E$30)*宠物成长!$C$2/宠物成长!$C$3*(1+宠物成长!$H$21+VLOOKUP(宠物属性点预览!Z$2,宠物成长!$O$5:$R$10,2,FALSE))</f>
        <v>5920.8294190373954</v>
      </c>
    </row>
    <row r="96" spans="2:26" x14ac:dyDescent="0.15">
      <c r="B96" s="1">
        <v>94</v>
      </c>
      <c r="C96" s="9">
        <f>(宠物成长!$C$1+宠物成长!$C$2/宠物成长!$C$3*宠物成长!$E$30)*(1+VLOOKUP(宠物属性点预览!C$2,宠物成长!$F$4:$K$25,4,FALSE)+0)+(VLOOKUP(宠物属性点预览!$B96,宠物成长!$D$30:$E$129,2,FALSE)-宠物成长!$E$30)*宠物成长!$C$2/宠物成长!$C$3*(1+VLOOKUP(宠物属性点预览!C$2,宠物成长!$F$5:$K$25,3,FALSE)+0)</f>
        <v>387.5</v>
      </c>
      <c r="D96" s="9">
        <f>(宠物成长!$C$1+宠物成长!$C$2/宠物成长!$C$3*宠物成长!$E$30)*(1+VLOOKUP(宠物属性点预览!D$2,宠物成长!$F$4:$K$25,4,FALSE)+0)+(VLOOKUP(宠物属性点预览!$B96,宠物成长!$D$30:$E$129,2,FALSE)-宠物成长!$E$30)*宠物成长!$C$2/宠物成长!$C$3*(1+VLOOKUP(宠物属性点预览!D$2,宠物成长!$F$5:$K$25,3,FALSE)+0)</f>
        <v>434</v>
      </c>
      <c r="E96" s="9">
        <f>(宠物成长!$C$1+宠物成长!$C$2/宠物成长!$C$3*宠物成长!$E$30)*(1+VLOOKUP(宠物属性点预览!E$2,宠物成长!$F$4:$K$25,4,FALSE)+0)+(VLOOKUP(宠物属性点预览!$B96,宠物成长!$D$30:$E$129,2,FALSE)-宠物成长!$E$30)*宠物成长!$C$2/宠物成长!$C$3*(1+VLOOKUP(宠物属性点预览!E$2,宠物成长!$F$5:$K$25,3,FALSE)+0)</f>
        <v>499.1</v>
      </c>
      <c r="F96" s="9">
        <f>(宠物成长!$C$1+宠物成长!$C$2/宠物成长!$C$3*宠物成长!$E$30)*(1+VLOOKUP(宠物属性点预览!F$2,宠物成长!$F$4:$K$25,4,FALSE)+0)+(VLOOKUP(宠物属性点预览!$B96,宠物成长!$D$30:$E$129,2,FALSE)-宠物成长!$E$30)*宠物成长!$C$2/宠物成长!$C$3*(1+VLOOKUP(宠物属性点预览!F$2,宠物成长!$F$5:$K$25,3,FALSE)+0)</f>
        <v>585.90000000000009</v>
      </c>
      <c r="G96" s="9">
        <f>(宠物成长!$C$1+宠物成长!$C$2/宠物成长!$C$3*宠物成长!$E$30)*(1+VLOOKUP(宠物属性点预览!G$2,宠物成长!$F$4:$K$25,4,FALSE)+0)+(VLOOKUP(宠物属性点预览!$B96,宠物成长!$D$30:$E$129,2,FALSE)-宠物成长!$E$30)*宠物成长!$C$2/宠物成长!$C$3*(1+VLOOKUP(宠物属性点预览!G$2,宠物成长!$F$5:$K$25,3,FALSE)+0)</f>
        <v>731.59999999999991</v>
      </c>
      <c r="H96" s="9">
        <f>(宠物成长!$C$1+宠物成长!$C$2/宠物成长!$C$3*宠物成长!$E$30)*(1+VLOOKUP(宠物属性点预览!H$2,宠物成长!$F$4:$K$25,4,FALSE)+0)+(VLOOKUP(宠物属性点预览!$B96,宠物成长!$D$30:$E$129,2,FALSE)-宠物成长!$E$30)*宠物成长!$C$2/宠物成长!$C$3*(1+VLOOKUP(宠物属性点预览!H$2,宠物成长!$F$5:$K$25,3,FALSE)+0)</f>
        <v>926.9</v>
      </c>
      <c r="I96" s="9">
        <f>(宠物成长!$C$1+宠物成长!$C$2/宠物成长!$C$3*宠物成长!$E$30)*(1+VLOOKUP(宠物属性点预览!I$2,宠物成长!$F$4:$K$25,4,FALSE)+0)+(VLOOKUP(宠物属性点预览!$B96,宠物成长!$D$30:$E$129,2,FALSE)-宠物成长!$E$30)*宠物成长!$C$2/宠物成长!$C$3*(1+VLOOKUP(宠物属性点预览!I$2,宠物成长!$F$5:$K$25,3,FALSE)+0)</f>
        <v>1178</v>
      </c>
      <c r="J96" s="9">
        <f>(宠物成长!$C$1+宠物成长!$C$2/宠物成长!$C$3*宠物成长!$E$30)*(1+VLOOKUP(宠物属性点预览!J$2,宠物成长!$F$4:$K$25,4,FALSE)+0)+(VLOOKUP(宠物属性点预览!$B96,宠物成长!$D$30:$E$129,2,FALSE)-宠物成长!$E$30)*宠物成长!$C$2/宠物成长!$C$3*(1+VLOOKUP(宠物属性点预览!J$2,宠物成长!$F$5:$K$25,3,FALSE)+0)</f>
        <v>1454.1296296296296</v>
      </c>
      <c r="K96" s="9">
        <f>(宠物成长!$C$1+宠物成长!$C$2/宠物成长!$C$3*宠物成长!$E$30)*(1+VLOOKUP(宠物属性点预览!K$2,宠物成长!$F$4:$K$25,4,FALSE)+0)+(VLOOKUP(宠物属性点预览!$B96,宠物成长!$D$30:$E$129,2,FALSE)-宠物成长!$E$30)*宠物成长!$C$2/宠物成长!$C$3*(1+VLOOKUP(宠物属性点预览!K$2,宠物成长!$F$5:$K$25,3,FALSE)+0)</f>
        <v>1733.1296296296296</v>
      </c>
      <c r="L96" s="9">
        <f>(宠物成长!$C$1+宠物成长!$C$2/宠物成长!$C$3*宠物成长!$E$30)*(1+VLOOKUP(宠物属性点预览!L$2,宠物成长!$F$4:$K$25,4,FALSE)+0)+(VLOOKUP(宠物属性点预览!$B96,宠物成长!$D$30:$E$129,2,FALSE)-宠物成长!$E$30)*宠物成长!$C$2/宠物成长!$C$3*(1+VLOOKUP(宠物属性点预览!L$2,宠物成长!$F$5:$K$25,3,FALSE)+0)</f>
        <v>2014.2242242242241</v>
      </c>
      <c r="M96" s="9">
        <f>(宠物成长!$C$1+宠物成长!$C$2/宠物成长!$C$3*宠物成长!$E$30)*(1+VLOOKUP(宠物属性点预览!M$2,宠物成长!$F$4:$K$25,4,FALSE)+0)+(VLOOKUP(宠物属性点预览!$B96,宠物成长!$D$30:$E$129,2,FALSE)-宠物成长!$E$30)*宠物成长!$C$2/宠物成长!$C$3*(1+VLOOKUP(宠物属性点预览!M$2,宠物成长!$F$5:$K$25,3,FALSE)+0)</f>
        <v>2296.9147004147003</v>
      </c>
      <c r="N96" s="9">
        <f>(宠物成长!$C$1+宠物成长!$C$2/宠物成长!$C$3*宠物成长!$E$30)*(1+VLOOKUP(宠物属性点预览!N$2,宠物成长!$F$4:$K$25,4,FALSE)+0)+(VLOOKUP(宠物属性点预览!$B96,宠物成长!$D$30:$E$129,2,FALSE)-宠物成长!$E$30)*宠物成长!$C$2/宠物成长!$C$3*(1+VLOOKUP(宠物属性点预览!N$2,宠物成长!$F$5:$K$25,3,FALSE)+0)</f>
        <v>2580.8615089253385</v>
      </c>
      <c r="O96" s="9">
        <f>(宠物成长!$C$1+宠物成长!$C$2/宠物成长!$C$3*宠物成长!$E$30)*(1+VLOOKUP(宠物属性点预览!O$2,宠物成长!$F$4:$K$25,4,FALSE)+0)+(VLOOKUP(宠物属性点预览!$B96,宠物成长!$D$30:$E$129,2,FALSE)-宠物成长!$E$30)*宠物成长!$C$2/宠物成长!$C$3*(1+VLOOKUP(宠物属性点预览!O$2,宠物成长!$F$5:$K$25,3,FALSE)+0)</f>
        <v>2865.8230473868766</v>
      </c>
      <c r="P96" s="9">
        <f>(宠物成长!$C$1+宠物成长!$C$2/宠物成长!$C$3*宠物成长!$E$30)*(1+VLOOKUP(宠物属性点预览!P$2,宠物成长!$F$4:$K$25,4,FALSE)+0)+(VLOOKUP(宠物属性点预览!$B96,宠物成长!$D$30:$E$129,2,FALSE)-宠物成长!$E$30)*宠物成长!$C$2/宠物成长!$C$3*(1+VLOOKUP(宠物属性点预览!P$2,宠物成长!$F$5:$K$25,3,FALSE)+0)</f>
        <v>3151.6212930009119</v>
      </c>
      <c r="Q96" s="9">
        <f>(宠物成长!$C$1+宠物成长!$C$2/宠物成长!$C$3*宠物成长!$E$30)*(1+VLOOKUP(宠物属性点预览!Q$2,宠物成长!$F$4:$K$25,4,FALSE)+0)+(VLOOKUP(宠物属性点预览!$B96,宠物成长!$D$30:$E$129,2,FALSE)-宠物成长!$E$30)*宠物成长!$C$2/宠物成长!$C$3*(1+VLOOKUP(宠物属性点预览!Q$2,宠物成长!$F$5:$K$25,3,FALSE)+0)</f>
        <v>3438.1212930009119</v>
      </c>
      <c r="R96" s="9">
        <f>(宠物成长!$C$1+宠物成长!$C$2/宠物成长!$C$3*宠物成长!$E$30)*(1+VLOOKUP(宠物属性点预览!R$2,宠物成长!$F$4:$K$25,4,FALSE)+0)+(VLOOKUP(宠物属性点预览!$B96,宠物成长!$D$30:$E$129,2,FALSE)-宠物成长!$E$30)*宠物成长!$C$2/宠物成长!$C$3*(1+VLOOKUP(宠物属性点预览!R$2,宠物成长!$F$5:$K$25,3,FALSE)+0)</f>
        <v>3725.218307926285</v>
      </c>
      <c r="S96" s="9">
        <f>(宠物成长!$C$1+宠物成长!$C$2/宠物成长!$C$3*宠物成长!$E$30)*(1+VLOOKUP(宠物属性点预览!S$2,宠物成长!$F$4:$K$25,4,FALSE)+0)+(VLOOKUP(宠物属性点预览!$B96,宠物成长!$D$30:$E$129,2,FALSE)-宠物成长!$E$30)*宠物成长!$C$2/宠物成长!$C$3*(1+VLOOKUP(宠物属性点预览!S$2,宠物成长!$F$5:$K$25,3,FALSE)+0)</f>
        <v>4012.8294190373958</v>
      </c>
      <c r="T96" s="83">
        <f t="shared" si="17"/>
        <v>4012.8294190373958</v>
      </c>
      <c r="V96" s="9">
        <f>(宠物成长!$C$1+宠物成长!$C$2/宠物成长!$C$3*宠物成长!$E$30)*(1+宠物成长!$I$21+VLOOKUP(宠物属性点预览!V$2,宠物成长!$O$5:$R$10,3,FALSE))+(VLOOKUP(宠物属性点预览!$B96,宠物成长!$D$30:$E$129,2,FALSE)-宠物成长!$E$30)*宠物成长!$C$2/宠物成长!$C$3*(1+宠物成长!$H$21+VLOOKUP(宠物属性点预览!V$2,宠物成长!$O$5:$R$10,2,FALSE))</f>
        <v>4012.8294190373958</v>
      </c>
      <c r="W96" s="9">
        <f>(宠物成长!$C$1+宠物成长!$C$2/宠物成长!$C$3*宠物成长!$E$30)*(1+宠物成长!$I$21+VLOOKUP(宠物属性点预览!W$2,宠物成长!$O$5:$R$10,3,FALSE))+(VLOOKUP(宠物属性点预览!$B96,宠物成长!$D$30:$E$129,2,FALSE)-宠物成长!$E$30)*宠物成长!$C$2/宠物成长!$C$3*(1+宠物成长!$H$21+VLOOKUP(宠物属性点预览!W$2,宠物成长!$O$5:$R$10,2,FALSE))</f>
        <v>4415.8294190373963</v>
      </c>
      <c r="X96" s="9">
        <f>(宠物成长!$C$1+宠物成长!$C$2/宠物成长!$C$3*宠物成长!$E$30)*(1+宠物成长!$I$21+VLOOKUP(宠物属性点预览!X$2,宠物成长!$O$5:$R$10,3,FALSE))+(VLOOKUP(宠物属性点预览!$B96,宠物成长!$D$30:$E$129,2,FALSE)-宠物成长!$E$30)*宠物成长!$C$2/宠物成长!$C$3*(1+宠物成长!$H$21+VLOOKUP(宠物属性点预览!X$2,宠物成长!$O$5:$R$10,2,FALSE))</f>
        <v>4880.8294190373963</v>
      </c>
      <c r="Y96" s="9">
        <f>(宠物成长!$C$1+宠物成长!$C$2/宠物成长!$C$3*宠物成长!$E$30)*(1+宠物成长!$I$21+VLOOKUP(宠物属性点预览!Y$2,宠物成长!$O$5:$R$10,3,FALSE))+(VLOOKUP(宠物属性点预览!$B96,宠物成长!$D$30:$E$129,2,FALSE)-宠物成长!$E$30)*宠物成长!$C$2/宠物成长!$C$3*(1+宠物成长!$H$21+VLOOKUP(宠物属性点预览!Y$2,宠物成长!$O$5:$R$10,2,FALSE))</f>
        <v>5407.8294190373954</v>
      </c>
      <c r="Z96" s="9">
        <f>(宠物成长!$C$1+宠物成长!$C$2/宠物成长!$C$3*宠物成长!$E$30)*(1+宠物成长!$I$21+VLOOKUP(宠物属性点预览!Z$2,宠物成长!$O$5:$R$10,3,FALSE))+(VLOOKUP(宠物属性点预览!$B96,宠物成长!$D$30:$E$129,2,FALSE)-宠物成长!$E$30)*宠物成长!$C$2/宠物成长!$C$3*(1+宠物成长!$H$21+VLOOKUP(宠物属性点预览!Z$2,宠物成长!$O$5:$R$10,2,FALSE))</f>
        <v>5934.8294190373954</v>
      </c>
    </row>
    <row r="97" spans="2:26" x14ac:dyDescent="0.15">
      <c r="B97" s="1">
        <v>95</v>
      </c>
      <c r="C97" s="9">
        <f>(宠物成长!$C$1+宠物成长!$C$2/宠物成长!$C$3*宠物成长!$E$30)*(1+VLOOKUP(宠物属性点预览!C$2,宠物成长!$F$4:$K$25,4,FALSE)+0)+(VLOOKUP(宠物属性点预览!$B97,宠物成长!$D$30:$E$129,2,FALSE)-宠物成长!$E$30)*宠物成长!$C$2/宠物成长!$C$3*(1+VLOOKUP(宠物属性点预览!C$2,宠物成长!$F$5:$K$25,3,FALSE)+0)</f>
        <v>391</v>
      </c>
      <c r="D97" s="9">
        <f>(宠物成长!$C$1+宠物成长!$C$2/宠物成长!$C$3*宠物成长!$E$30)*(1+VLOOKUP(宠物属性点预览!D$2,宠物成长!$F$4:$K$25,4,FALSE)+0)+(VLOOKUP(宠物属性点预览!$B97,宠物成长!$D$30:$E$129,2,FALSE)-宠物成长!$E$30)*宠物成长!$C$2/宠物成长!$C$3*(1+VLOOKUP(宠物属性点预览!D$2,宠物成长!$F$5:$K$25,3,FALSE)+0)</f>
        <v>437.5</v>
      </c>
      <c r="E97" s="9">
        <f>(宠物成长!$C$1+宠物成长!$C$2/宠物成长!$C$3*宠物成长!$E$30)*(1+VLOOKUP(宠物属性点预览!E$2,宠物成长!$F$4:$K$25,4,FALSE)+0)+(VLOOKUP(宠物属性点预览!$B97,宠物成长!$D$30:$E$129,2,FALSE)-宠物成长!$E$30)*宠物成长!$C$2/宠物成长!$C$3*(1+VLOOKUP(宠物属性点预览!E$2,宠物成长!$F$5:$K$25,3,FALSE)+0)</f>
        <v>502.6</v>
      </c>
      <c r="F97" s="9">
        <f>(宠物成长!$C$1+宠物成长!$C$2/宠物成长!$C$3*宠物成长!$E$30)*(1+VLOOKUP(宠物属性点预览!F$2,宠物成长!$F$4:$K$25,4,FALSE)+0)+(VLOOKUP(宠物属性点预览!$B97,宠物成长!$D$30:$E$129,2,FALSE)-宠物成长!$E$30)*宠物成长!$C$2/宠物成长!$C$3*(1+VLOOKUP(宠物属性点预览!F$2,宠物成长!$F$5:$K$25,3,FALSE)+0)</f>
        <v>589.40000000000009</v>
      </c>
      <c r="G97" s="9">
        <f>(宠物成长!$C$1+宠物成长!$C$2/宠物成长!$C$3*宠物成长!$E$30)*(1+VLOOKUP(宠物属性点预览!G$2,宠物成长!$F$4:$K$25,4,FALSE)+0)+(VLOOKUP(宠物属性点预览!$B97,宠物成长!$D$30:$E$129,2,FALSE)-宠物成长!$E$30)*宠物成长!$C$2/宠物成长!$C$3*(1+VLOOKUP(宠物属性点预览!G$2,宠物成长!$F$5:$K$25,3,FALSE)+0)</f>
        <v>735.59999999999991</v>
      </c>
      <c r="H97" s="9">
        <f>(宠物成长!$C$1+宠物成长!$C$2/宠物成长!$C$3*宠物成长!$E$30)*(1+VLOOKUP(宠物属性点预览!H$2,宠物成长!$F$4:$K$25,4,FALSE)+0)+(VLOOKUP(宠物属性点预览!$B97,宠物成长!$D$30:$E$129,2,FALSE)-宠物成长!$E$30)*宠物成长!$C$2/宠物成长!$C$3*(1+VLOOKUP(宠物属性点预览!H$2,宠物成长!$F$5:$K$25,3,FALSE)+0)</f>
        <v>931.4</v>
      </c>
      <c r="I97" s="9">
        <f>(宠物成长!$C$1+宠物成长!$C$2/宠物成长!$C$3*宠物成长!$E$30)*(1+VLOOKUP(宠物属性点预览!I$2,宠物成长!$F$4:$K$25,4,FALSE)+0)+(VLOOKUP(宠物属性点预览!$B97,宠物成长!$D$30:$E$129,2,FALSE)-宠物成长!$E$30)*宠物成长!$C$2/宠物成长!$C$3*(1+VLOOKUP(宠物属性点预览!I$2,宠物成长!$F$5:$K$25,3,FALSE)+0)</f>
        <v>1183</v>
      </c>
      <c r="J97" s="9">
        <f>(宠物成长!$C$1+宠物成长!$C$2/宠物成长!$C$3*宠物成长!$E$30)*(1+VLOOKUP(宠物属性点预览!J$2,宠物成长!$F$4:$K$25,4,FALSE)+0)+(VLOOKUP(宠物属性点预览!$B97,宠物成长!$D$30:$E$129,2,FALSE)-宠物成长!$E$30)*宠物成长!$C$2/宠物成长!$C$3*(1+VLOOKUP(宠物属性点预览!J$2,宠物成长!$F$5:$K$25,3,FALSE)+0)</f>
        <v>1459.6296296296296</v>
      </c>
      <c r="K97" s="9">
        <f>(宠物成长!$C$1+宠物成长!$C$2/宠物成长!$C$3*宠物成长!$E$30)*(1+VLOOKUP(宠物属性点预览!K$2,宠物成长!$F$4:$K$25,4,FALSE)+0)+(VLOOKUP(宠物属性点预览!$B97,宠物成长!$D$30:$E$129,2,FALSE)-宠物成长!$E$30)*宠物成长!$C$2/宠物成长!$C$3*(1+VLOOKUP(宠物属性点预览!K$2,宠物成长!$F$5:$K$25,3,FALSE)+0)</f>
        <v>1739.1296296296296</v>
      </c>
      <c r="L97" s="9">
        <f>(宠物成长!$C$1+宠物成长!$C$2/宠物成长!$C$3*宠物成长!$E$30)*(1+VLOOKUP(宠物属性点预览!L$2,宠物成长!$F$4:$K$25,4,FALSE)+0)+(VLOOKUP(宠物属性点预览!$B97,宠物成长!$D$30:$E$129,2,FALSE)-宠物成长!$E$30)*宠物成长!$C$2/宠物成长!$C$3*(1+VLOOKUP(宠物属性点预览!L$2,宠物成长!$F$5:$K$25,3,FALSE)+0)</f>
        <v>2020.7242242242241</v>
      </c>
      <c r="M97" s="9">
        <f>(宠物成长!$C$1+宠物成长!$C$2/宠物成长!$C$3*宠物成长!$E$30)*(1+VLOOKUP(宠物属性点预览!M$2,宠物成长!$F$4:$K$25,4,FALSE)+0)+(VLOOKUP(宠物属性点预览!$B97,宠物成长!$D$30:$E$129,2,FALSE)-宠物成长!$E$30)*宠物成长!$C$2/宠物成长!$C$3*(1+VLOOKUP(宠物属性点预览!M$2,宠物成长!$F$5:$K$25,3,FALSE)+0)</f>
        <v>2303.9147004147003</v>
      </c>
      <c r="N97" s="9">
        <f>(宠物成长!$C$1+宠物成长!$C$2/宠物成长!$C$3*宠物成长!$E$30)*(1+VLOOKUP(宠物属性点预览!N$2,宠物成长!$F$4:$K$25,4,FALSE)+0)+(VLOOKUP(宠物属性点预览!$B97,宠物成长!$D$30:$E$129,2,FALSE)-宠物成长!$E$30)*宠物成长!$C$2/宠物成长!$C$3*(1+VLOOKUP(宠物属性点预览!N$2,宠物成长!$F$5:$K$25,3,FALSE)+0)</f>
        <v>2588.3615089253385</v>
      </c>
      <c r="O97" s="9">
        <f>(宠物成长!$C$1+宠物成长!$C$2/宠物成长!$C$3*宠物成长!$E$30)*(1+VLOOKUP(宠物属性点预览!O$2,宠物成长!$F$4:$K$25,4,FALSE)+0)+(VLOOKUP(宠物属性点预览!$B97,宠物成长!$D$30:$E$129,2,FALSE)-宠物成长!$E$30)*宠物成长!$C$2/宠物成长!$C$3*(1+VLOOKUP(宠物属性点预览!O$2,宠物成长!$F$5:$K$25,3,FALSE)+0)</f>
        <v>2873.8230473868766</v>
      </c>
      <c r="P97" s="9">
        <f>(宠物成长!$C$1+宠物成长!$C$2/宠物成长!$C$3*宠物成长!$E$30)*(1+VLOOKUP(宠物属性点预览!P$2,宠物成长!$F$4:$K$25,4,FALSE)+0)+(VLOOKUP(宠物属性点预览!$B97,宠物成长!$D$30:$E$129,2,FALSE)-宠物成长!$E$30)*宠物成长!$C$2/宠物成长!$C$3*(1+VLOOKUP(宠物属性点预览!P$2,宠物成长!$F$5:$K$25,3,FALSE)+0)</f>
        <v>3160.1212930009119</v>
      </c>
      <c r="Q97" s="9">
        <f>(宠物成长!$C$1+宠物成长!$C$2/宠物成长!$C$3*宠物成长!$E$30)*(1+VLOOKUP(宠物属性点预览!Q$2,宠物成长!$F$4:$K$25,4,FALSE)+0)+(VLOOKUP(宠物属性点预览!$B97,宠物成长!$D$30:$E$129,2,FALSE)-宠物成长!$E$30)*宠物成长!$C$2/宠物成长!$C$3*(1+VLOOKUP(宠物属性点预览!Q$2,宠物成长!$F$5:$K$25,3,FALSE)+0)</f>
        <v>3447.1212930009119</v>
      </c>
      <c r="R97" s="9">
        <f>(宠物成长!$C$1+宠物成长!$C$2/宠物成长!$C$3*宠物成长!$E$30)*(1+VLOOKUP(宠物属性点预览!R$2,宠物成长!$F$4:$K$25,4,FALSE)+0)+(VLOOKUP(宠物属性点预览!$B97,宠物成长!$D$30:$E$129,2,FALSE)-宠物成长!$E$30)*宠物成长!$C$2/宠物成长!$C$3*(1+VLOOKUP(宠物属性点预览!R$2,宠物成长!$F$5:$K$25,3,FALSE)+0)</f>
        <v>3734.718307926285</v>
      </c>
      <c r="S97" s="9">
        <f>(宠物成长!$C$1+宠物成长!$C$2/宠物成长!$C$3*宠物成长!$E$30)*(1+VLOOKUP(宠物属性点预览!S$2,宠物成长!$F$4:$K$25,4,FALSE)+0)+(VLOOKUP(宠物属性点预览!$B97,宠物成长!$D$30:$E$129,2,FALSE)-宠物成长!$E$30)*宠物成长!$C$2/宠物成长!$C$3*(1+VLOOKUP(宠物属性点预览!S$2,宠物成长!$F$5:$K$25,3,FALSE)+0)</f>
        <v>4022.8294190373958</v>
      </c>
      <c r="T97" s="83">
        <f t="shared" si="17"/>
        <v>4022.8294190373958</v>
      </c>
      <c r="V97" s="9">
        <f>(宠物成长!$C$1+宠物成长!$C$2/宠物成长!$C$3*宠物成长!$E$30)*(1+宠物成长!$I$21+VLOOKUP(宠物属性点预览!V$2,宠物成长!$O$5:$R$10,3,FALSE))+(VLOOKUP(宠物属性点预览!$B97,宠物成长!$D$30:$E$129,2,FALSE)-宠物成长!$E$30)*宠物成长!$C$2/宠物成长!$C$3*(1+宠物成长!$H$21+VLOOKUP(宠物属性点预览!V$2,宠物成长!$O$5:$R$10,2,FALSE))</f>
        <v>4022.8294190373958</v>
      </c>
      <c r="W97" s="9">
        <f>(宠物成长!$C$1+宠物成长!$C$2/宠物成长!$C$3*宠物成长!$E$30)*(1+宠物成长!$I$21+VLOOKUP(宠物属性点预览!W$2,宠物成长!$O$5:$R$10,3,FALSE))+(VLOOKUP(宠物属性点预览!$B97,宠物成长!$D$30:$E$129,2,FALSE)-宠物成长!$E$30)*宠物成长!$C$2/宠物成长!$C$3*(1+宠物成长!$H$21+VLOOKUP(宠物属性点预览!W$2,宠物成长!$O$5:$R$10,2,FALSE))</f>
        <v>4426.8294190373963</v>
      </c>
      <c r="X97" s="9">
        <f>(宠物成长!$C$1+宠物成长!$C$2/宠物成长!$C$3*宠物成长!$E$30)*(1+宠物成长!$I$21+VLOOKUP(宠物属性点预览!X$2,宠物成长!$O$5:$R$10,3,FALSE))+(VLOOKUP(宠物属性点预览!$B97,宠物成长!$D$30:$E$129,2,FALSE)-宠物成长!$E$30)*宠物成长!$C$2/宠物成长!$C$3*(1+宠物成长!$H$21+VLOOKUP(宠物属性点预览!X$2,宠物成长!$O$5:$R$10,2,FALSE))</f>
        <v>4892.8294190373963</v>
      </c>
      <c r="Y97" s="9">
        <f>(宠物成长!$C$1+宠物成长!$C$2/宠物成长!$C$3*宠物成长!$E$30)*(1+宠物成长!$I$21+VLOOKUP(宠物属性点预览!Y$2,宠物成长!$O$5:$R$10,3,FALSE))+(VLOOKUP(宠物属性点预览!$B97,宠物成长!$D$30:$E$129,2,FALSE)-宠物成长!$E$30)*宠物成长!$C$2/宠物成长!$C$3*(1+宠物成长!$H$21+VLOOKUP(宠物属性点预览!Y$2,宠物成长!$O$5:$R$10,2,FALSE))</f>
        <v>5420.8294190373954</v>
      </c>
      <c r="Z97" s="9">
        <f>(宠物成长!$C$1+宠物成长!$C$2/宠物成长!$C$3*宠物成长!$E$30)*(1+宠物成长!$I$21+VLOOKUP(宠物属性点预览!Z$2,宠物成长!$O$5:$R$10,3,FALSE))+(VLOOKUP(宠物属性点预览!$B97,宠物成长!$D$30:$E$129,2,FALSE)-宠物成长!$E$30)*宠物成长!$C$2/宠物成长!$C$3*(1+宠物成长!$H$21+VLOOKUP(宠物属性点预览!Z$2,宠物成长!$O$5:$R$10,2,FALSE))</f>
        <v>5948.8294190373954</v>
      </c>
    </row>
    <row r="98" spans="2:26" x14ac:dyDescent="0.15">
      <c r="B98" s="1">
        <v>96</v>
      </c>
      <c r="C98" s="9">
        <f>(宠物成长!$C$1+宠物成长!$C$2/宠物成长!$C$3*宠物成长!$E$30)*(1+VLOOKUP(宠物属性点预览!C$2,宠物成长!$F$4:$K$25,4,FALSE)+0)+(VLOOKUP(宠物属性点预览!$B98,宠物成长!$D$30:$E$129,2,FALSE)-宠物成长!$E$30)*宠物成长!$C$2/宠物成长!$C$3*(1+VLOOKUP(宠物属性点预览!C$2,宠物成长!$F$5:$K$25,3,FALSE)+0)</f>
        <v>394.5</v>
      </c>
      <c r="D98" s="9">
        <f>(宠物成长!$C$1+宠物成长!$C$2/宠物成长!$C$3*宠物成长!$E$30)*(1+VLOOKUP(宠物属性点预览!D$2,宠物成长!$F$4:$K$25,4,FALSE)+0)+(VLOOKUP(宠物属性点预览!$B98,宠物成长!$D$30:$E$129,2,FALSE)-宠物成长!$E$30)*宠物成长!$C$2/宠物成长!$C$3*(1+VLOOKUP(宠物属性点预览!D$2,宠物成长!$F$5:$K$25,3,FALSE)+0)</f>
        <v>441</v>
      </c>
      <c r="E98" s="9">
        <f>(宠物成长!$C$1+宠物成长!$C$2/宠物成长!$C$3*宠物成长!$E$30)*(1+VLOOKUP(宠物属性点预览!E$2,宠物成长!$F$4:$K$25,4,FALSE)+0)+(VLOOKUP(宠物属性点预览!$B98,宠物成长!$D$30:$E$129,2,FALSE)-宠物成长!$E$30)*宠物成长!$C$2/宠物成长!$C$3*(1+VLOOKUP(宠物属性点预览!E$2,宠物成长!$F$5:$K$25,3,FALSE)+0)</f>
        <v>506.1</v>
      </c>
      <c r="F98" s="9">
        <f>(宠物成长!$C$1+宠物成长!$C$2/宠物成长!$C$3*宠物成长!$E$30)*(1+VLOOKUP(宠物属性点预览!F$2,宠物成长!$F$4:$K$25,4,FALSE)+0)+(VLOOKUP(宠物属性点预览!$B98,宠物成长!$D$30:$E$129,2,FALSE)-宠物成长!$E$30)*宠物成长!$C$2/宠物成长!$C$3*(1+VLOOKUP(宠物属性点预览!F$2,宠物成长!$F$5:$K$25,3,FALSE)+0)</f>
        <v>592.90000000000009</v>
      </c>
      <c r="G98" s="9">
        <f>(宠物成长!$C$1+宠物成长!$C$2/宠物成长!$C$3*宠物成长!$E$30)*(1+VLOOKUP(宠物属性点预览!G$2,宠物成长!$F$4:$K$25,4,FALSE)+0)+(VLOOKUP(宠物属性点预览!$B98,宠物成长!$D$30:$E$129,2,FALSE)-宠物成长!$E$30)*宠物成长!$C$2/宠物成长!$C$3*(1+VLOOKUP(宠物属性点预览!G$2,宠物成长!$F$5:$K$25,3,FALSE)+0)</f>
        <v>739.59999999999991</v>
      </c>
      <c r="H98" s="9">
        <f>(宠物成长!$C$1+宠物成长!$C$2/宠物成长!$C$3*宠物成长!$E$30)*(1+VLOOKUP(宠物属性点预览!H$2,宠物成长!$F$4:$K$25,4,FALSE)+0)+(VLOOKUP(宠物属性点预览!$B98,宠物成长!$D$30:$E$129,2,FALSE)-宠物成长!$E$30)*宠物成长!$C$2/宠物成长!$C$3*(1+VLOOKUP(宠物属性点预览!H$2,宠物成长!$F$5:$K$25,3,FALSE)+0)</f>
        <v>935.9</v>
      </c>
      <c r="I98" s="9">
        <f>(宠物成长!$C$1+宠物成长!$C$2/宠物成长!$C$3*宠物成长!$E$30)*(1+VLOOKUP(宠物属性点预览!I$2,宠物成长!$F$4:$K$25,4,FALSE)+0)+(VLOOKUP(宠物属性点预览!$B98,宠物成长!$D$30:$E$129,2,FALSE)-宠物成长!$E$30)*宠物成长!$C$2/宠物成长!$C$3*(1+VLOOKUP(宠物属性点预览!I$2,宠物成长!$F$5:$K$25,3,FALSE)+0)</f>
        <v>1188</v>
      </c>
      <c r="J98" s="9">
        <f>(宠物成长!$C$1+宠物成长!$C$2/宠物成长!$C$3*宠物成长!$E$30)*(1+VLOOKUP(宠物属性点预览!J$2,宠物成长!$F$4:$K$25,4,FALSE)+0)+(VLOOKUP(宠物属性点预览!$B98,宠物成长!$D$30:$E$129,2,FALSE)-宠物成长!$E$30)*宠物成长!$C$2/宠物成长!$C$3*(1+VLOOKUP(宠物属性点预览!J$2,宠物成长!$F$5:$K$25,3,FALSE)+0)</f>
        <v>1465.1296296296296</v>
      </c>
      <c r="K98" s="9">
        <f>(宠物成长!$C$1+宠物成长!$C$2/宠物成长!$C$3*宠物成长!$E$30)*(1+VLOOKUP(宠物属性点预览!K$2,宠物成长!$F$4:$K$25,4,FALSE)+0)+(VLOOKUP(宠物属性点预览!$B98,宠物成长!$D$30:$E$129,2,FALSE)-宠物成长!$E$30)*宠物成长!$C$2/宠物成长!$C$3*(1+VLOOKUP(宠物属性点预览!K$2,宠物成长!$F$5:$K$25,3,FALSE)+0)</f>
        <v>1745.1296296296296</v>
      </c>
      <c r="L98" s="9">
        <f>(宠物成长!$C$1+宠物成长!$C$2/宠物成长!$C$3*宠物成长!$E$30)*(1+VLOOKUP(宠物属性点预览!L$2,宠物成长!$F$4:$K$25,4,FALSE)+0)+(VLOOKUP(宠物属性点预览!$B98,宠物成长!$D$30:$E$129,2,FALSE)-宠物成长!$E$30)*宠物成长!$C$2/宠物成长!$C$3*(1+VLOOKUP(宠物属性点预览!L$2,宠物成长!$F$5:$K$25,3,FALSE)+0)</f>
        <v>2027.2242242242241</v>
      </c>
      <c r="M98" s="9">
        <f>(宠物成长!$C$1+宠物成长!$C$2/宠物成长!$C$3*宠物成长!$E$30)*(1+VLOOKUP(宠物属性点预览!M$2,宠物成长!$F$4:$K$25,4,FALSE)+0)+(VLOOKUP(宠物属性点预览!$B98,宠物成长!$D$30:$E$129,2,FALSE)-宠物成长!$E$30)*宠物成长!$C$2/宠物成长!$C$3*(1+VLOOKUP(宠物属性点预览!M$2,宠物成长!$F$5:$K$25,3,FALSE)+0)</f>
        <v>2310.9147004147003</v>
      </c>
      <c r="N98" s="9">
        <f>(宠物成长!$C$1+宠物成长!$C$2/宠物成长!$C$3*宠物成长!$E$30)*(1+VLOOKUP(宠物属性点预览!N$2,宠物成长!$F$4:$K$25,4,FALSE)+0)+(VLOOKUP(宠物属性点预览!$B98,宠物成长!$D$30:$E$129,2,FALSE)-宠物成长!$E$30)*宠物成长!$C$2/宠物成长!$C$3*(1+VLOOKUP(宠物属性点预览!N$2,宠物成长!$F$5:$K$25,3,FALSE)+0)</f>
        <v>2595.8615089253385</v>
      </c>
      <c r="O98" s="9">
        <f>(宠物成长!$C$1+宠物成长!$C$2/宠物成长!$C$3*宠物成长!$E$30)*(1+VLOOKUP(宠物属性点预览!O$2,宠物成长!$F$4:$K$25,4,FALSE)+0)+(VLOOKUP(宠物属性点预览!$B98,宠物成长!$D$30:$E$129,2,FALSE)-宠物成长!$E$30)*宠物成长!$C$2/宠物成长!$C$3*(1+VLOOKUP(宠物属性点预览!O$2,宠物成长!$F$5:$K$25,3,FALSE)+0)</f>
        <v>2881.8230473868766</v>
      </c>
      <c r="P98" s="9">
        <f>(宠物成长!$C$1+宠物成长!$C$2/宠物成长!$C$3*宠物成长!$E$30)*(1+VLOOKUP(宠物属性点预览!P$2,宠物成长!$F$4:$K$25,4,FALSE)+0)+(VLOOKUP(宠物属性点预览!$B98,宠物成长!$D$30:$E$129,2,FALSE)-宠物成长!$E$30)*宠物成长!$C$2/宠物成长!$C$3*(1+VLOOKUP(宠物属性点预览!P$2,宠物成长!$F$5:$K$25,3,FALSE)+0)</f>
        <v>3168.6212930009119</v>
      </c>
      <c r="Q98" s="9">
        <f>(宠物成长!$C$1+宠物成长!$C$2/宠物成长!$C$3*宠物成长!$E$30)*(1+VLOOKUP(宠物属性点预览!Q$2,宠物成长!$F$4:$K$25,4,FALSE)+0)+(VLOOKUP(宠物属性点预览!$B98,宠物成长!$D$30:$E$129,2,FALSE)-宠物成长!$E$30)*宠物成长!$C$2/宠物成长!$C$3*(1+VLOOKUP(宠物属性点预览!Q$2,宠物成长!$F$5:$K$25,3,FALSE)+0)</f>
        <v>3456.1212930009119</v>
      </c>
      <c r="R98" s="9">
        <f>(宠物成长!$C$1+宠物成长!$C$2/宠物成长!$C$3*宠物成长!$E$30)*(1+VLOOKUP(宠物属性点预览!R$2,宠物成长!$F$4:$K$25,4,FALSE)+0)+(VLOOKUP(宠物属性点预览!$B98,宠物成长!$D$30:$E$129,2,FALSE)-宠物成长!$E$30)*宠物成长!$C$2/宠物成长!$C$3*(1+VLOOKUP(宠物属性点预览!R$2,宠物成长!$F$5:$K$25,3,FALSE)+0)</f>
        <v>3744.218307926285</v>
      </c>
      <c r="S98" s="9">
        <f>(宠物成长!$C$1+宠物成长!$C$2/宠物成长!$C$3*宠物成长!$E$30)*(1+VLOOKUP(宠物属性点预览!S$2,宠物成长!$F$4:$K$25,4,FALSE)+0)+(VLOOKUP(宠物属性点预览!$B98,宠物成长!$D$30:$E$129,2,FALSE)-宠物成长!$E$30)*宠物成长!$C$2/宠物成长!$C$3*(1+VLOOKUP(宠物属性点预览!S$2,宠物成长!$F$5:$K$25,3,FALSE)+0)</f>
        <v>4032.8294190373958</v>
      </c>
      <c r="T98" s="83">
        <f t="shared" si="17"/>
        <v>4032.8294190373958</v>
      </c>
      <c r="V98" s="9">
        <f>(宠物成长!$C$1+宠物成长!$C$2/宠物成长!$C$3*宠物成长!$E$30)*(1+宠物成长!$I$21+VLOOKUP(宠物属性点预览!V$2,宠物成长!$O$5:$R$10,3,FALSE))+(VLOOKUP(宠物属性点预览!$B98,宠物成长!$D$30:$E$129,2,FALSE)-宠物成长!$E$30)*宠物成长!$C$2/宠物成长!$C$3*(1+宠物成长!$H$21+VLOOKUP(宠物属性点预览!V$2,宠物成长!$O$5:$R$10,2,FALSE))</f>
        <v>4032.8294190373958</v>
      </c>
      <c r="W98" s="9">
        <f>(宠物成长!$C$1+宠物成长!$C$2/宠物成长!$C$3*宠物成长!$E$30)*(1+宠物成长!$I$21+VLOOKUP(宠物属性点预览!W$2,宠物成长!$O$5:$R$10,3,FALSE))+(VLOOKUP(宠物属性点预览!$B98,宠物成长!$D$30:$E$129,2,FALSE)-宠物成长!$E$30)*宠物成长!$C$2/宠物成长!$C$3*(1+宠物成长!$H$21+VLOOKUP(宠物属性点预览!W$2,宠物成长!$O$5:$R$10,2,FALSE))</f>
        <v>4437.8294190373963</v>
      </c>
      <c r="X98" s="9">
        <f>(宠物成长!$C$1+宠物成长!$C$2/宠物成长!$C$3*宠物成长!$E$30)*(1+宠物成长!$I$21+VLOOKUP(宠物属性点预览!X$2,宠物成长!$O$5:$R$10,3,FALSE))+(VLOOKUP(宠物属性点预览!$B98,宠物成长!$D$30:$E$129,2,FALSE)-宠物成长!$E$30)*宠物成长!$C$2/宠物成长!$C$3*(1+宠物成长!$H$21+VLOOKUP(宠物属性点预览!X$2,宠物成长!$O$5:$R$10,2,FALSE))</f>
        <v>4904.8294190373963</v>
      </c>
      <c r="Y98" s="9">
        <f>(宠物成长!$C$1+宠物成长!$C$2/宠物成长!$C$3*宠物成长!$E$30)*(1+宠物成长!$I$21+VLOOKUP(宠物属性点预览!Y$2,宠物成长!$O$5:$R$10,3,FALSE))+(VLOOKUP(宠物属性点预览!$B98,宠物成长!$D$30:$E$129,2,FALSE)-宠物成长!$E$30)*宠物成长!$C$2/宠物成长!$C$3*(1+宠物成长!$H$21+VLOOKUP(宠物属性点预览!Y$2,宠物成长!$O$5:$R$10,2,FALSE))</f>
        <v>5433.8294190373954</v>
      </c>
      <c r="Z98" s="9">
        <f>(宠物成长!$C$1+宠物成长!$C$2/宠物成长!$C$3*宠物成长!$E$30)*(1+宠物成长!$I$21+VLOOKUP(宠物属性点预览!Z$2,宠物成长!$O$5:$R$10,3,FALSE))+(VLOOKUP(宠物属性点预览!$B98,宠物成长!$D$30:$E$129,2,FALSE)-宠物成长!$E$30)*宠物成长!$C$2/宠物成长!$C$3*(1+宠物成长!$H$21+VLOOKUP(宠物属性点预览!Z$2,宠物成长!$O$5:$R$10,2,FALSE))</f>
        <v>5962.8294190373954</v>
      </c>
    </row>
    <row r="99" spans="2:26" x14ac:dyDescent="0.15">
      <c r="B99" s="1">
        <v>97</v>
      </c>
      <c r="C99" s="9">
        <f>(宠物成长!$C$1+宠物成长!$C$2/宠物成长!$C$3*宠物成长!$E$30)*(1+VLOOKUP(宠物属性点预览!C$2,宠物成长!$F$4:$K$25,4,FALSE)+0)+(VLOOKUP(宠物属性点预览!$B99,宠物成长!$D$30:$E$129,2,FALSE)-宠物成长!$E$30)*宠物成长!$C$2/宠物成长!$C$3*(1+VLOOKUP(宠物属性点预览!C$2,宠物成长!$F$5:$K$25,3,FALSE)+0)</f>
        <v>398</v>
      </c>
      <c r="D99" s="9">
        <f>(宠物成长!$C$1+宠物成长!$C$2/宠物成长!$C$3*宠物成长!$E$30)*(1+VLOOKUP(宠物属性点预览!D$2,宠物成长!$F$4:$K$25,4,FALSE)+0)+(VLOOKUP(宠物属性点预览!$B99,宠物成长!$D$30:$E$129,2,FALSE)-宠物成长!$E$30)*宠物成长!$C$2/宠物成长!$C$3*(1+VLOOKUP(宠物属性点预览!D$2,宠物成长!$F$5:$K$25,3,FALSE)+0)</f>
        <v>444.5</v>
      </c>
      <c r="E99" s="9">
        <f>(宠物成长!$C$1+宠物成长!$C$2/宠物成长!$C$3*宠物成长!$E$30)*(1+VLOOKUP(宠物属性点预览!E$2,宠物成长!$F$4:$K$25,4,FALSE)+0)+(VLOOKUP(宠物属性点预览!$B99,宠物成长!$D$30:$E$129,2,FALSE)-宠物成长!$E$30)*宠物成长!$C$2/宠物成长!$C$3*(1+VLOOKUP(宠物属性点预览!E$2,宠物成长!$F$5:$K$25,3,FALSE)+0)</f>
        <v>509.6</v>
      </c>
      <c r="F99" s="9">
        <f>(宠物成长!$C$1+宠物成长!$C$2/宠物成长!$C$3*宠物成长!$E$30)*(1+VLOOKUP(宠物属性点预览!F$2,宠物成长!$F$4:$K$25,4,FALSE)+0)+(VLOOKUP(宠物属性点预览!$B99,宠物成长!$D$30:$E$129,2,FALSE)-宠物成长!$E$30)*宠物成长!$C$2/宠物成长!$C$3*(1+VLOOKUP(宠物属性点预览!F$2,宠物成长!$F$5:$K$25,3,FALSE)+0)</f>
        <v>596.40000000000009</v>
      </c>
      <c r="G99" s="9">
        <f>(宠物成长!$C$1+宠物成长!$C$2/宠物成长!$C$3*宠物成长!$E$30)*(1+VLOOKUP(宠物属性点预览!G$2,宠物成长!$F$4:$K$25,4,FALSE)+0)+(VLOOKUP(宠物属性点预览!$B99,宠物成长!$D$30:$E$129,2,FALSE)-宠物成长!$E$30)*宠物成长!$C$2/宠物成长!$C$3*(1+VLOOKUP(宠物属性点预览!G$2,宠物成长!$F$5:$K$25,3,FALSE)+0)</f>
        <v>743.59999999999991</v>
      </c>
      <c r="H99" s="9">
        <f>(宠物成长!$C$1+宠物成长!$C$2/宠物成长!$C$3*宠物成长!$E$30)*(1+VLOOKUP(宠物属性点预览!H$2,宠物成长!$F$4:$K$25,4,FALSE)+0)+(VLOOKUP(宠物属性点预览!$B99,宠物成长!$D$30:$E$129,2,FALSE)-宠物成长!$E$30)*宠物成长!$C$2/宠物成长!$C$3*(1+VLOOKUP(宠物属性点预览!H$2,宠物成长!$F$5:$K$25,3,FALSE)+0)</f>
        <v>940.4</v>
      </c>
      <c r="I99" s="9">
        <f>(宠物成长!$C$1+宠物成长!$C$2/宠物成长!$C$3*宠物成长!$E$30)*(1+VLOOKUP(宠物属性点预览!I$2,宠物成长!$F$4:$K$25,4,FALSE)+0)+(VLOOKUP(宠物属性点预览!$B99,宠物成长!$D$30:$E$129,2,FALSE)-宠物成长!$E$30)*宠物成长!$C$2/宠物成长!$C$3*(1+VLOOKUP(宠物属性点预览!I$2,宠物成长!$F$5:$K$25,3,FALSE)+0)</f>
        <v>1193</v>
      </c>
      <c r="J99" s="9">
        <f>(宠物成长!$C$1+宠物成长!$C$2/宠物成长!$C$3*宠物成长!$E$30)*(1+VLOOKUP(宠物属性点预览!J$2,宠物成长!$F$4:$K$25,4,FALSE)+0)+(VLOOKUP(宠物属性点预览!$B99,宠物成长!$D$30:$E$129,2,FALSE)-宠物成长!$E$30)*宠物成长!$C$2/宠物成长!$C$3*(1+VLOOKUP(宠物属性点预览!J$2,宠物成长!$F$5:$K$25,3,FALSE)+0)</f>
        <v>1470.6296296296296</v>
      </c>
      <c r="K99" s="9">
        <f>(宠物成长!$C$1+宠物成长!$C$2/宠物成长!$C$3*宠物成长!$E$30)*(1+VLOOKUP(宠物属性点预览!K$2,宠物成长!$F$4:$K$25,4,FALSE)+0)+(VLOOKUP(宠物属性点预览!$B99,宠物成长!$D$30:$E$129,2,FALSE)-宠物成长!$E$30)*宠物成长!$C$2/宠物成长!$C$3*(1+VLOOKUP(宠物属性点预览!K$2,宠物成长!$F$5:$K$25,3,FALSE)+0)</f>
        <v>1751.1296296296296</v>
      </c>
      <c r="L99" s="9">
        <f>(宠物成长!$C$1+宠物成长!$C$2/宠物成长!$C$3*宠物成长!$E$30)*(1+VLOOKUP(宠物属性点预览!L$2,宠物成长!$F$4:$K$25,4,FALSE)+0)+(VLOOKUP(宠物属性点预览!$B99,宠物成长!$D$30:$E$129,2,FALSE)-宠物成长!$E$30)*宠物成长!$C$2/宠物成长!$C$3*(1+VLOOKUP(宠物属性点预览!L$2,宠物成长!$F$5:$K$25,3,FALSE)+0)</f>
        <v>2033.7242242242241</v>
      </c>
      <c r="M99" s="9">
        <f>(宠物成长!$C$1+宠物成长!$C$2/宠物成长!$C$3*宠物成长!$E$30)*(1+VLOOKUP(宠物属性点预览!M$2,宠物成长!$F$4:$K$25,4,FALSE)+0)+(VLOOKUP(宠物属性点预览!$B99,宠物成长!$D$30:$E$129,2,FALSE)-宠物成长!$E$30)*宠物成长!$C$2/宠物成长!$C$3*(1+VLOOKUP(宠物属性点预览!M$2,宠物成长!$F$5:$K$25,3,FALSE)+0)</f>
        <v>2317.9147004147003</v>
      </c>
      <c r="N99" s="9">
        <f>(宠物成长!$C$1+宠物成长!$C$2/宠物成长!$C$3*宠物成长!$E$30)*(1+VLOOKUP(宠物属性点预览!N$2,宠物成长!$F$4:$K$25,4,FALSE)+0)+(VLOOKUP(宠物属性点预览!$B99,宠物成长!$D$30:$E$129,2,FALSE)-宠物成长!$E$30)*宠物成长!$C$2/宠物成长!$C$3*(1+VLOOKUP(宠物属性点预览!N$2,宠物成长!$F$5:$K$25,3,FALSE)+0)</f>
        <v>2603.3615089253385</v>
      </c>
      <c r="O99" s="9">
        <f>(宠物成长!$C$1+宠物成长!$C$2/宠物成长!$C$3*宠物成长!$E$30)*(1+VLOOKUP(宠物属性点预览!O$2,宠物成长!$F$4:$K$25,4,FALSE)+0)+(VLOOKUP(宠物属性点预览!$B99,宠物成长!$D$30:$E$129,2,FALSE)-宠物成长!$E$30)*宠物成长!$C$2/宠物成长!$C$3*(1+VLOOKUP(宠物属性点预览!O$2,宠物成长!$F$5:$K$25,3,FALSE)+0)</f>
        <v>2889.8230473868766</v>
      </c>
      <c r="P99" s="9">
        <f>(宠物成长!$C$1+宠物成长!$C$2/宠物成长!$C$3*宠物成长!$E$30)*(1+VLOOKUP(宠物属性点预览!P$2,宠物成长!$F$4:$K$25,4,FALSE)+0)+(VLOOKUP(宠物属性点预览!$B99,宠物成长!$D$30:$E$129,2,FALSE)-宠物成长!$E$30)*宠物成长!$C$2/宠物成长!$C$3*(1+VLOOKUP(宠物属性点预览!P$2,宠物成长!$F$5:$K$25,3,FALSE)+0)</f>
        <v>3177.1212930009119</v>
      </c>
      <c r="Q99" s="9">
        <f>(宠物成长!$C$1+宠物成长!$C$2/宠物成长!$C$3*宠物成长!$E$30)*(1+VLOOKUP(宠物属性点预览!Q$2,宠物成长!$F$4:$K$25,4,FALSE)+0)+(VLOOKUP(宠物属性点预览!$B99,宠物成长!$D$30:$E$129,2,FALSE)-宠物成长!$E$30)*宠物成长!$C$2/宠物成长!$C$3*(1+VLOOKUP(宠物属性点预览!Q$2,宠物成长!$F$5:$K$25,3,FALSE)+0)</f>
        <v>3465.1212930009119</v>
      </c>
      <c r="R99" s="9">
        <f>(宠物成长!$C$1+宠物成长!$C$2/宠物成长!$C$3*宠物成长!$E$30)*(1+VLOOKUP(宠物属性点预览!R$2,宠物成长!$F$4:$K$25,4,FALSE)+0)+(VLOOKUP(宠物属性点预览!$B99,宠物成长!$D$30:$E$129,2,FALSE)-宠物成长!$E$30)*宠物成长!$C$2/宠物成长!$C$3*(1+VLOOKUP(宠物属性点预览!R$2,宠物成长!$F$5:$K$25,3,FALSE)+0)</f>
        <v>3753.718307926285</v>
      </c>
      <c r="S99" s="9">
        <f>(宠物成长!$C$1+宠物成长!$C$2/宠物成长!$C$3*宠物成长!$E$30)*(1+VLOOKUP(宠物属性点预览!S$2,宠物成长!$F$4:$K$25,4,FALSE)+0)+(VLOOKUP(宠物属性点预览!$B99,宠物成长!$D$30:$E$129,2,FALSE)-宠物成长!$E$30)*宠物成长!$C$2/宠物成长!$C$3*(1+VLOOKUP(宠物属性点预览!S$2,宠物成长!$F$5:$K$25,3,FALSE)+0)</f>
        <v>4042.8294190373958</v>
      </c>
      <c r="T99" s="83">
        <f t="shared" si="17"/>
        <v>4042.8294190373958</v>
      </c>
      <c r="V99" s="9">
        <f>(宠物成长!$C$1+宠物成长!$C$2/宠物成长!$C$3*宠物成长!$E$30)*(1+宠物成长!$I$21+VLOOKUP(宠物属性点预览!V$2,宠物成长!$O$5:$R$10,3,FALSE))+(VLOOKUP(宠物属性点预览!$B99,宠物成长!$D$30:$E$129,2,FALSE)-宠物成长!$E$30)*宠物成长!$C$2/宠物成长!$C$3*(1+宠物成长!$H$21+VLOOKUP(宠物属性点预览!V$2,宠物成长!$O$5:$R$10,2,FALSE))</f>
        <v>4042.8294190373958</v>
      </c>
      <c r="W99" s="9">
        <f>(宠物成长!$C$1+宠物成长!$C$2/宠物成长!$C$3*宠物成长!$E$30)*(1+宠物成长!$I$21+VLOOKUP(宠物属性点预览!W$2,宠物成长!$O$5:$R$10,3,FALSE))+(VLOOKUP(宠物属性点预览!$B99,宠物成长!$D$30:$E$129,2,FALSE)-宠物成长!$E$30)*宠物成长!$C$2/宠物成长!$C$3*(1+宠物成长!$H$21+VLOOKUP(宠物属性点预览!W$2,宠物成长!$O$5:$R$10,2,FALSE))</f>
        <v>4448.8294190373963</v>
      </c>
      <c r="X99" s="9">
        <f>(宠物成长!$C$1+宠物成长!$C$2/宠物成长!$C$3*宠物成长!$E$30)*(1+宠物成长!$I$21+VLOOKUP(宠物属性点预览!X$2,宠物成长!$O$5:$R$10,3,FALSE))+(VLOOKUP(宠物属性点预览!$B99,宠物成长!$D$30:$E$129,2,FALSE)-宠物成长!$E$30)*宠物成长!$C$2/宠物成长!$C$3*(1+宠物成长!$H$21+VLOOKUP(宠物属性点预览!X$2,宠物成长!$O$5:$R$10,2,FALSE))</f>
        <v>4916.8294190373963</v>
      </c>
      <c r="Y99" s="9">
        <f>(宠物成长!$C$1+宠物成长!$C$2/宠物成长!$C$3*宠物成长!$E$30)*(1+宠物成长!$I$21+VLOOKUP(宠物属性点预览!Y$2,宠物成长!$O$5:$R$10,3,FALSE))+(VLOOKUP(宠物属性点预览!$B99,宠物成长!$D$30:$E$129,2,FALSE)-宠物成长!$E$30)*宠物成长!$C$2/宠物成长!$C$3*(1+宠物成长!$H$21+VLOOKUP(宠物属性点预览!Y$2,宠物成长!$O$5:$R$10,2,FALSE))</f>
        <v>5446.8294190373954</v>
      </c>
      <c r="Z99" s="9">
        <f>(宠物成长!$C$1+宠物成长!$C$2/宠物成长!$C$3*宠物成长!$E$30)*(1+宠物成长!$I$21+VLOOKUP(宠物属性点预览!Z$2,宠物成长!$O$5:$R$10,3,FALSE))+(VLOOKUP(宠物属性点预览!$B99,宠物成长!$D$30:$E$129,2,FALSE)-宠物成长!$E$30)*宠物成长!$C$2/宠物成长!$C$3*(1+宠物成长!$H$21+VLOOKUP(宠物属性点预览!Z$2,宠物成长!$O$5:$R$10,2,FALSE))</f>
        <v>5976.8294190373954</v>
      </c>
    </row>
    <row r="100" spans="2:26" x14ac:dyDescent="0.15">
      <c r="B100" s="1">
        <v>98</v>
      </c>
      <c r="C100" s="9">
        <f>(宠物成长!$C$1+宠物成长!$C$2/宠物成长!$C$3*宠物成长!$E$30)*(1+VLOOKUP(宠物属性点预览!C$2,宠物成长!$F$4:$K$25,4,FALSE)+0)+(VLOOKUP(宠物属性点预览!$B100,宠物成长!$D$30:$E$129,2,FALSE)-宠物成长!$E$30)*宠物成长!$C$2/宠物成长!$C$3*(1+VLOOKUP(宠物属性点预览!C$2,宠物成长!$F$5:$K$25,3,FALSE)+0)</f>
        <v>401.5</v>
      </c>
      <c r="D100" s="9">
        <f>(宠物成长!$C$1+宠物成长!$C$2/宠物成长!$C$3*宠物成长!$E$30)*(1+VLOOKUP(宠物属性点预览!D$2,宠物成长!$F$4:$K$25,4,FALSE)+0)+(VLOOKUP(宠物属性点预览!$B100,宠物成长!$D$30:$E$129,2,FALSE)-宠物成长!$E$30)*宠物成长!$C$2/宠物成长!$C$3*(1+VLOOKUP(宠物属性点预览!D$2,宠物成长!$F$5:$K$25,3,FALSE)+0)</f>
        <v>448</v>
      </c>
      <c r="E100" s="9">
        <f>(宠物成长!$C$1+宠物成长!$C$2/宠物成长!$C$3*宠物成长!$E$30)*(1+VLOOKUP(宠物属性点预览!E$2,宠物成长!$F$4:$K$25,4,FALSE)+0)+(VLOOKUP(宠物属性点预览!$B100,宠物成长!$D$30:$E$129,2,FALSE)-宠物成长!$E$30)*宠物成长!$C$2/宠物成长!$C$3*(1+VLOOKUP(宠物属性点预览!E$2,宠物成长!$F$5:$K$25,3,FALSE)+0)</f>
        <v>513.1</v>
      </c>
      <c r="F100" s="9">
        <f>(宠物成长!$C$1+宠物成长!$C$2/宠物成长!$C$3*宠物成长!$E$30)*(1+VLOOKUP(宠物属性点预览!F$2,宠物成长!$F$4:$K$25,4,FALSE)+0)+(VLOOKUP(宠物属性点预览!$B100,宠物成长!$D$30:$E$129,2,FALSE)-宠物成长!$E$30)*宠物成长!$C$2/宠物成长!$C$3*(1+VLOOKUP(宠物属性点预览!F$2,宠物成长!$F$5:$K$25,3,FALSE)+0)</f>
        <v>599.90000000000009</v>
      </c>
      <c r="G100" s="9">
        <f>(宠物成长!$C$1+宠物成长!$C$2/宠物成长!$C$3*宠物成长!$E$30)*(1+VLOOKUP(宠物属性点预览!G$2,宠物成长!$F$4:$K$25,4,FALSE)+0)+(VLOOKUP(宠物属性点预览!$B100,宠物成长!$D$30:$E$129,2,FALSE)-宠物成长!$E$30)*宠物成长!$C$2/宠物成长!$C$3*(1+VLOOKUP(宠物属性点预览!G$2,宠物成长!$F$5:$K$25,3,FALSE)+0)</f>
        <v>747.59999999999991</v>
      </c>
      <c r="H100" s="9">
        <f>(宠物成长!$C$1+宠物成长!$C$2/宠物成长!$C$3*宠物成长!$E$30)*(1+VLOOKUP(宠物属性点预览!H$2,宠物成长!$F$4:$K$25,4,FALSE)+0)+(VLOOKUP(宠物属性点预览!$B100,宠物成长!$D$30:$E$129,2,FALSE)-宠物成长!$E$30)*宠物成长!$C$2/宠物成长!$C$3*(1+VLOOKUP(宠物属性点预览!H$2,宠物成长!$F$5:$K$25,3,FALSE)+0)</f>
        <v>944.9</v>
      </c>
      <c r="I100" s="9">
        <f>(宠物成长!$C$1+宠物成长!$C$2/宠物成长!$C$3*宠物成长!$E$30)*(1+VLOOKUP(宠物属性点预览!I$2,宠物成长!$F$4:$K$25,4,FALSE)+0)+(VLOOKUP(宠物属性点预览!$B100,宠物成长!$D$30:$E$129,2,FALSE)-宠物成长!$E$30)*宠物成长!$C$2/宠物成长!$C$3*(1+VLOOKUP(宠物属性点预览!I$2,宠物成长!$F$5:$K$25,3,FALSE)+0)</f>
        <v>1198</v>
      </c>
      <c r="J100" s="9">
        <f>(宠物成长!$C$1+宠物成长!$C$2/宠物成长!$C$3*宠物成长!$E$30)*(1+VLOOKUP(宠物属性点预览!J$2,宠物成长!$F$4:$K$25,4,FALSE)+0)+(VLOOKUP(宠物属性点预览!$B100,宠物成长!$D$30:$E$129,2,FALSE)-宠物成长!$E$30)*宠物成长!$C$2/宠物成长!$C$3*(1+VLOOKUP(宠物属性点预览!J$2,宠物成长!$F$5:$K$25,3,FALSE)+0)</f>
        <v>1476.1296296296296</v>
      </c>
      <c r="K100" s="9">
        <f>(宠物成长!$C$1+宠物成长!$C$2/宠物成长!$C$3*宠物成长!$E$30)*(1+VLOOKUP(宠物属性点预览!K$2,宠物成长!$F$4:$K$25,4,FALSE)+0)+(VLOOKUP(宠物属性点预览!$B100,宠物成长!$D$30:$E$129,2,FALSE)-宠物成长!$E$30)*宠物成长!$C$2/宠物成长!$C$3*(1+VLOOKUP(宠物属性点预览!K$2,宠物成长!$F$5:$K$25,3,FALSE)+0)</f>
        <v>1757.1296296296296</v>
      </c>
      <c r="L100" s="9">
        <f>(宠物成长!$C$1+宠物成长!$C$2/宠物成长!$C$3*宠物成长!$E$30)*(1+VLOOKUP(宠物属性点预览!L$2,宠物成长!$F$4:$K$25,4,FALSE)+0)+(VLOOKUP(宠物属性点预览!$B100,宠物成长!$D$30:$E$129,2,FALSE)-宠物成长!$E$30)*宠物成长!$C$2/宠物成长!$C$3*(1+VLOOKUP(宠物属性点预览!L$2,宠物成长!$F$5:$K$25,3,FALSE)+0)</f>
        <v>2040.2242242242241</v>
      </c>
      <c r="M100" s="9">
        <f>(宠物成长!$C$1+宠物成长!$C$2/宠物成长!$C$3*宠物成长!$E$30)*(1+VLOOKUP(宠物属性点预览!M$2,宠物成长!$F$4:$K$25,4,FALSE)+0)+(VLOOKUP(宠物属性点预览!$B100,宠物成长!$D$30:$E$129,2,FALSE)-宠物成长!$E$30)*宠物成长!$C$2/宠物成长!$C$3*(1+VLOOKUP(宠物属性点预览!M$2,宠物成长!$F$5:$K$25,3,FALSE)+0)</f>
        <v>2324.9147004147003</v>
      </c>
      <c r="N100" s="9">
        <f>(宠物成长!$C$1+宠物成长!$C$2/宠物成长!$C$3*宠物成长!$E$30)*(1+VLOOKUP(宠物属性点预览!N$2,宠物成长!$F$4:$K$25,4,FALSE)+0)+(VLOOKUP(宠物属性点预览!$B100,宠物成长!$D$30:$E$129,2,FALSE)-宠物成长!$E$30)*宠物成长!$C$2/宠物成长!$C$3*(1+VLOOKUP(宠物属性点预览!N$2,宠物成长!$F$5:$K$25,3,FALSE)+0)</f>
        <v>2610.8615089253385</v>
      </c>
      <c r="O100" s="9">
        <f>(宠物成长!$C$1+宠物成长!$C$2/宠物成长!$C$3*宠物成长!$E$30)*(1+VLOOKUP(宠物属性点预览!O$2,宠物成长!$F$4:$K$25,4,FALSE)+0)+(VLOOKUP(宠物属性点预览!$B100,宠物成长!$D$30:$E$129,2,FALSE)-宠物成长!$E$30)*宠物成长!$C$2/宠物成长!$C$3*(1+VLOOKUP(宠物属性点预览!O$2,宠物成长!$F$5:$K$25,3,FALSE)+0)</f>
        <v>2897.8230473868766</v>
      </c>
      <c r="P100" s="9">
        <f>(宠物成长!$C$1+宠物成长!$C$2/宠物成长!$C$3*宠物成长!$E$30)*(1+VLOOKUP(宠物属性点预览!P$2,宠物成长!$F$4:$K$25,4,FALSE)+0)+(VLOOKUP(宠物属性点预览!$B100,宠物成长!$D$30:$E$129,2,FALSE)-宠物成长!$E$30)*宠物成长!$C$2/宠物成长!$C$3*(1+VLOOKUP(宠物属性点预览!P$2,宠物成长!$F$5:$K$25,3,FALSE)+0)</f>
        <v>3185.6212930009119</v>
      </c>
      <c r="Q100" s="9">
        <f>(宠物成长!$C$1+宠物成长!$C$2/宠物成长!$C$3*宠物成长!$E$30)*(1+VLOOKUP(宠物属性点预览!Q$2,宠物成长!$F$4:$K$25,4,FALSE)+0)+(VLOOKUP(宠物属性点预览!$B100,宠物成长!$D$30:$E$129,2,FALSE)-宠物成长!$E$30)*宠物成长!$C$2/宠物成长!$C$3*(1+VLOOKUP(宠物属性点预览!Q$2,宠物成长!$F$5:$K$25,3,FALSE)+0)</f>
        <v>3474.1212930009119</v>
      </c>
      <c r="R100" s="9">
        <f>(宠物成长!$C$1+宠物成长!$C$2/宠物成长!$C$3*宠物成长!$E$30)*(1+VLOOKUP(宠物属性点预览!R$2,宠物成长!$F$4:$K$25,4,FALSE)+0)+(VLOOKUP(宠物属性点预览!$B100,宠物成长!$D$30:$E$129,2,FALSE)-宠物成长!$E$30)*宠物成长!$C$2/宠物成长!$C$3*(1+VLOOKUP(宠物属性点预览!R$2,宠物成长!$F$5:$K$25,3,FALSE)+0)</f>
        <v>3763.218307926285</v>
      </c>
      <c r="S100" s="9">
        <f>(宠物成长!$C$1+宠物成长!$C$2/宠物成长!$C$3*宠物成长!$E$30)*(1+VLOOKUP(宠物属性点预览!S$2,宠物成长!$F$4:$K$25,4,FALSE)+0)+(VLOOKUP(宠物属性点预览!$B100,宠物成长!$D$30:$E$129,2,FALSE)-宠物成长!$E$30)*宠物成长!$C$2/宠物成长!$C$3*(1+VLOOKUP(宠物属性点预览!S$2,宠物成长!$F$5:$K$25,3,FALSE)+0)</f>
        <v>4052.8294190373958</v>
      </c>
      <c r="T100" s="83">
        <f t="shared" si="17"/>
        <v>4052.8294190373958</v>
      </c>
      <c r="V100" s="9">
        <f>(宠物成长!$C$1+宠物成长!$C$2/宠物成长!$C$3*宠物成长!$E$30)*(1+宠物成长!$I$21+VLOOKUP(宠物属性点预览!V$2,宠物成长!$O$5:$R$10,3,FALSE))+(VLOOKUP(宠物属性点预览!$B100,宠物成长!$D$30:$E$129,2,FALSE)-宠物成长!$E$30)*宠物成长!$C$2/宠物成长!$C$3*(1+宠物成长!$H$21+VLOOKUP(宠物属性点预览!V$2,宠物成长!$O$5:$R$10,2,FALSE))</f>
        <v>4052.8294190373958</v>
      </c>
      <c r="W100" s="9">
        <f>(宠物成长!$C$1+宠物成长!$C$2/宠物成长!$C$3*宠物成长!$E$30)*(1+宠物成长!$I$21+VLOOKUP(宠物属性点预览!W$2,宠物成长!$O$5:$R$10,3,FALSE))+(VLOOKUP(宠物属性点预览!$B100,宠物成长!$D$30:$E$129,2,FALSE)-宠物成长!$E$30)*宠物成长!$C$2/宠物成长!$C$3*(1+宠物成长!$H$21+VLOOKUP(宠物属性点预览!W$2,宠物成长!$O$5:$R$10,2,FALSE))</f>
        <v>4459.8294190373963</v>
      </c>
      <c r="X100" s="9">
        <f>(宠物成长!$C$1+宠物成长!$C$2/宠物成长!$C$3*宠物成长!$E$30)*(1+宠物成长!$I$21+VLOOKUP(宠物属性点预览!X$2,宠物成长!$O$5:$R$10,3,FALSE))+(VLOOKUP(宠物属性点预览!$B100,宠物成长!$D$30:$E$129,2,FALSE)-宠物成长!$E$30)*宠物成长!$C$2/宠物成长!$C$3*(1+宠物成长!$H$21+VLOOKUP(宠物属性点预览!X$2,宠物成长!$O$5:$R$10,2,FALSE))</f>
        <v>4928.8294190373963</v>
      </c>
      <c r="Y100" s="9">
        <f>(宠物成长!$C$1+宠物成长!$C$2/宠物成长!$C$3*宠物成长!$E$30)*(1+宠物成长!$I$21+VLOOKUP(宠物属性点预览!Y$2,宠物成长!$O$5:$R$10,3,FALSE))+(VLOOKUP(宠物属性点预览!$B100,宠物成长!$D$30:$E$129,2,FALSE)-宠物成长!$E$30)*宠物成长!$C$2/宠物成长!$C$3*(1+宠物成长!$H$21+VLOOKUP(宠物属性点预览!Y$2,宠物成长!$O$5:$R$10,2,FALSE))</f>
        <v>5459.8294190373954</v>
      </c>
      <c r="Z100" s="9">
        <f>(宠物成长!$C$1+宠物成长!$C$2/宠物成长!$C$3*宠物成长!$E$30)*(1+宠物成长!$I$21+VLOOKUP(宠物属性点预览!Z$2,宠物成长!$O$5:$R$10,3,FALSE))+(VLOOKUP(宠物属性点预览!$B100,宠物成长!$D$30:$E$129,2,FALSE)-宠物成长!$E$30)*宠物成长!$C$2/宠物成长!$C$3*(1+宠物成长!$H$21+VLOOKUP(宠物属性点预览!Z$2,宠物成长!$O$5:$R$10,2,FALSE))</f>
        <v>5990.8294190373954</v>
      </c>
    </row>
    <row r="101" spans="2:26" x14ac:dyDescent="0.15">
      <c r="B101" s="1">
        <v>99</v>
      </c>
      <c r="C101" s="9">
        <f>(宠物成长!$C$1+宠物成长!$C$2/宠物成长!$C$3*宠物成长!$E$30)*(1+VLOOKUP(宠物属性点预览!C$2,宠物成长!$F$4:$K$25,4,FALSE)+0)+(VLOOKUP(宠物属性点预览!$B101,宠物成长!$D$30:$E$129,2,FALSE)-宠物成长!$E$30)*宠物成长!$C$2/宠物成长!$C$3*(1+VLOOKUP(宠物属性点预览!C$2,宠物成长!$F$5:$K$25,3,FALSE)+0)</f>
        <v>405</v>
      </c>
      <c r="D101" s="9">
        <f>(宠物成长!$C$1+宠物成长!$C$2/宠物成长!$C$3*宠物成长!$E$30)*(1+VLOOKUP(宠物属性点预览!D$2,宠物成长!$F$4:$K$25,4,FALSE)+0)+(VLOOKUP(宠物属性点预览!$B101,宠物成长!$D$30:$E$129,2,FALSE)-宠物成长!$E$30)*宠物成长!$C$2/宠物成长!$C$3*(1+VLOOKUP(宠物属性点预览!D$2,宠物成长!$F$5:$K$25,3,FALSE)+0)</f>
        <v>451.5</v>
      </c>
      <c r="E101" s="9">
        <f>(宠物成长!$C$1+宠物成长!$C$2/宠物成长!$C$3*宠物成长!$E$30)*(1+VLOOKUP(宠物属性点预览!E$2,宠物成长!$F$4:$K$25,4,FALSE)+0)+(VLOOKUP(宠物属性点预览!$B101,宠物成长!$D$30:$E$129,2,FALSE)-宠物成长!$E$30)*宠物成长!$C$2/宠物成长!$C$3*(1+VLOOKUP(宠物属性点预览!E$2,宠物成长!$F$5:$K$25,3,FALSE)+0)</f>
        <v>516.6</v>
      </c>
      <c r="F101" s="9">
        <f>(宠物成长!$C$1+宠物成长!$C$2/宠物成长!$C$3*宠物成长!$E$30)*(1+VLOOKUP(宠物属性点预览!F$2,宠物成长!$F$4:$K$25,4,FALSE)+0)+(VLOOKUP(宠物属性点预览!$B101,宠物成长!$D$30:$E$129,2,FALSE)-宠物成长!$E$30)*宠物成长!$C$2/宠物成长!$C$3*(1+VLOOKUP(宠物属性点预览!F$2,宠物成长!$F$5:$K$25,3,FALSE)+0)</f>
        <v>603.40000000000009</v>
      </c>
      <c r="G101" s="9">
        <f>(宠物成长!$C$1+宠物成长!$C$2/宠物成长!$C$3*宠物成长!$E$30)*(1+VLOOKUP(宠物属性点预览!G$2,宠物成长!$F$4:$K$25,4,FALSE)+0)+(VLOOKUP(宠物属性点预览!$B101,宠物成长!$D$30:$E$129,2,FALSE)-宠物成长!$E$30)*宠物成长!$C$2/宠物成长!$C$3*(1+VLOOKUP(宠物属性点预览!G$2,宠物成长!$F$5:$K$25,3,FALSE)+0)</f>
        <v>751.59999999999991</v>
      </c>
      <c r="H101" s="9">
        <f>(宠物成长!$C$1+宠物成长!$C$2/宠物成长!$C$3*宠物成长!$E$30)*(1+VLOOKUP(宠物属性点预览!H$2,宠物成长!$F$4:$K$25,4,FALSE)+0)+(VLOOKUP(宠物属性点预览!$B101,宠物成长!$D$30:$E$129,2,FALSE)-宠物成长!$E$30)*宠物成长!$C$2/宠物成长!$C$3*(1+VLOOKUP(宠物属性点预览!H$2,宠物成长!$F$5:$K$25,3,FALSE)+0)</f>
        <v>949.4</v>
      </c>
      <c r="I101" s="9">
        <f>(宠物成长!$C$1+宠物成长!$C$2/宠物成长!$C$3*宠物成长!$E$30)*(1+VLOOKUP(宠物属性点预览!I$2,宠物成长!$F$4:$K$25,4,FALSE)+0)+(VLOOKUP(宠物属性点预览!$B101,宠物成长!$D$30:$E$129,2,FALSE)-宠物成长!$E$30)*宠物成长!$C$2/宠物成长!$C$3*(1+VLOOKUP(宠物属性点预览!I$2,宠物成长!$F$5:$K$25,3,FALSE)+0)</f>
        <v>1203</v>
      </c>
      <c r="J101" s="9">
        <f>(宠物成长!$C$1+宠物成长!$C$2/宠物成长!$C$3*宠物成长!$E$30)*(1+VLOOKUP(宠物属性点预览!J$2,宠物成长!$F$4:$K$25,4,FALSE)+0)+(VLOOKUP(宠物属性点预览!$B101,宠物成长!$D$30:$E$129,2,FALSE)-宠物成长!$E$30)*宠物成长!$C$2/宠物成长!$C$3*(1+VLOOKUP(宠物属性点预览!J$2,宠物成长!$F$5:$K$25,3,FALSE)+0)</f>
        <v>1481.6296296296296</v>
      </c>
      <c r="K101" s="9">
        <f>(宠物成长!$C$1+宠物成长!$C$2/宠物成长!$C$3*宠物成长!$E$30)*(1+VLOOKUP(宠物属性点预览!K$2,宠物成长!$F$4:$K$25,4,FALSE)+0)+(VLOOKUP(宠物属性点预览!$B101,宠物成长!$D$30:$E$129,2,FALSE)-宠物成长!$E$30)*宠物成长!$C$2/宠物成长!$C$3*(1+VLOOKUP(宠物属性点预览!K$2,宠物成长!$F$5:$K$25,3,FALSE)+0)</f>
        <v>1763.1296296296296</v>
      </c>
      <c r="L101" s="9">
        <f>(宠物成长!$C$1+宠物成长!$C$2/宠物成长!$C$3*宠物成长!$E$30)*(1+VLOOKUP(宠物属性点预览!L$2,宠物成长!$F$4:$K$25,4,FALSE)+0)+(VLOOKUP(宠物属性点预览!$B101,宠物成长!$D$30:$E$129,2,FALSE)-宠物成长!$E$30)*宠物成长!$C$2/宠物成长!$C$3*(1+VLOOKUP(宠物属性点预览!L$2,宠物成长!$F$5:$K$25,3,FALSE)+0)</f>
        <v>2046.7242242242241</v>
      </c>
      <c r="M101" s="9">
        <f>(宠物成长!$C$1+宠物成长!$C$2/宠物成长!$C$3*宠物成长!$E$30)*(1+VLOOKUP(宠物属性点预览!M$2,宠物成长!$F$4:$K$25,4,FALSE)+0)+(VLOOKUP(宠物属性点预览!$B101,宠物成长!$D$30:$E$129,2,FALSE)-宠物成长!$E$30)*宠物成长!$C$2/宠物成长!$C$3*(1+VLOOKUP(宠物属性点预览!M$2,宠物成长!$F$5:$K$25,3,FALSE)+0)</f>
        <v>2331.9147004147003</v>
      </c>
      <c r="N101" s="9">
        <f>(宠物成长!$C$1+宠物成长!$C$2/宠物成长!$C$3*宠物成长!$E$30)*(1+VLOOKUP(宠物属性点预览!N$2,宠物成长!$F$4:$K$25,4,FALSE)+0)+(VLOOKUP(宠物属性点预览!$B101,宠物成长!$D$30:$E$129,2,FALSE)-宠物成长!$E$30)*宠物成长!$C$2/宠物成长!$C$3*(1+VLOOKUP(宠物属性点预览!N$2,宠物成长!$F$5:$K$25,3,FALSE)+0)</f>
        <v>2618.3615089253385</v>
      </c>
      <c r="O101" s="9">
        <f>(宠物成长!$C$1+宠物成长!$C$2/宠物成长!$C$3*宠物成长!$E$30)*(1+VLOOKUP(宠物属性点预览!O$2,宠物成长!$F$4:$K$25,4,FALSE)+0)+(VLOOKUP(宠物属性点预览!$B101,宠物成长!$D$30:$E$129,2,FALSE)-宠物成长!$E$30)*宠物成长!$C$2/宠物成长!$C$3*(1+VLOOKUP(宠物属性点预览!O$2,宠物成长!$F$5:$K$25,3,FALSE)+0)</f>
        <v>2905.8230473868766</v>
      </c>
      <c r="P101" s="9">
        <f>(宠物成长!$C$1+宠物成长!$C$2/宠物成长!$C$3*宠物成长!$E$30)*(1+VLOOKUP(宠物属性点预览!P$2,宠物成长!$F$4:$K$25,4,FALSE)+0)+(VLOOKUP(宠物属性点预览!$B101,宠物成长!$D$30:$E$129,2,FALSE)-宠物成长!$E$30)*宠物成长!$C$2/宠物成长!$C$3*(1+VLOOKUP(宠物属性点预览!P$2,宠物成长!$F$5:$K$25,3,FALSE)+0)</f>
        <v>3194.1212930009119</v>
      </c>
      <c r="Q101" s="9">
        <f>(宠物成长!$C$1+宠物成长!$C$2/宠物成长!$C$3*宠物成长!$E$30)*(1+VLOOKUP(宠物属性点预览!Q$2,宠物成长!$F$4:$K$25,4,FALSE)+0)+(VLOOKUP(宠物属性点预览!$B101,宠物成长!$D$30:$E$129,2,FALSE)-宠物成长!$E$30)*宠物成长!$C$2/宠物成长!$C$3*(1+VLOOKUP(宠物属性点预览!Q$2,宠物成长!$F$5:$K$25,3,FALSE)+0)</f>
        <v>3483.1212930009119</v>
      </c>
      <c r="R101" s="9">
        <f>(宠物成长!$C$1+宠物成长!$C$2/宠物成长!$C$3*宠物成长!$E$30)*(1+VLOOKUP(宠物属性点预览!R$2,宠物成长!$F$4:$K$25,4,FALSE)+0)+(VLOOKUP(宠物属性点预览!$B101,宠物成长!$D$30:$E$129,2,FALSE)-宠物成长!$E$30)*宠物成长!$C$2/宠物成长!$C$3*(1+VLOOKUP(宠物属性点预览!R$2,宠物成长!$F$5:$K$25,3,FALSE)+0)</f>
        <v>3772.718307926285</v>
      </c>
      <c r="S101" s="9">
        <f>(宠物成长!$C$1+宠物成长!$C$2/宠物成长!$C$3*宠物成长!$E$30)*(1+VLOOKUP(宠物属性点预览!S$2,宠物成长!$F$4:$K$25,4,FALSE)+0)+(VLOOKUP(宠物属性点预览!$B101,宠物成长!$D$30:$E$129,2,FALSE)-宠物成长!$E$30)*宠物成长!$C$2/宠物成长!$C$3*(1+VLOOKUP(宠物属性点预览!S$2,宠物成长!$F$5:$K$25,3,FALSE)+0)</f>
        <v>4062.8294190373958</v>
      </c>
      <c r="T101" s="83">
        <f t="shared" si="17"/>
        <v>4062.8294190373958</v>
      </c>
      <c r="V101" s="9">
        <f>(宠物成长!$C$1+宠物成长!$C$2/宠物成长!$C$3*宠物成长!$E$30)*(1+宠物成长!$I$21+VLOOKUP(宠物属性点预览!V$2,宠物成长!$O$5:$R$10,3,FALSE))+(VLOOKUP(宠物属性点预览!$B101,宠物成长!$D$30:$E$129,2,FALSE)-宠物成长!$E$30)*宠物成长!$C$2/宠物成长!$C$3*(1+宠物成长!$H$21+VLOOKUP(宠物属性点预览!V$2,宠物成长!$O$5:$R$10,2,FALSE))</f>
        <v>4062.8294190373958</v>
      </c>
      <c r="W101" s="9">
        <f>(宠物成长!$C$1+宠物成长!$C$2/宠物成长!$C$3*宠物成长!$E$30)*(1+宠物成长!$I$21+VLOOKUP(宠物属性点预览!W$2,宠物成长!$O$5:$R$10,3,FALSE))+(VLOOKUP(宠物属性点预览!$B101,宠物成长!$D$30:$E$129,2,FALSE)-宠物成长!$E$30)*宠物成长!$C$2/宠物成长!$C$3*(1+宠物成长!$H$21+VLOOKUP(宠物属性点预览!W$2,宠物成长!$O$5:$R$10,2,FALSE))</f>
        <v>4470.8294190373963</v>
      </c>
      <c r="X101" s="9">
        <f>(宠物成长!$C$1+宠物成长!$C$2/宠物成长!$C$3*宠物成长!$E$30)*(1+宠物成长!$I$21+VLOOKUP(宠物属性点预览!X$2,宠物成长!$O$5:$R$10,3,FALSE))+(VLOOKUP(宠物属性点预览!$B101,宠物成长!$D$30:$E$129,2,FALSE)-宠物成长!$E$30)*宠物成长!$C$2/宠物成长!$C$3*(1+宠物成长!$H$21+VLOOKUP(宠物属性点预览!X$2,宠物成长!$O$5:$R$10,2,FALSE))</f>
        <v>4940.8294190373963</v>
      </c>
      <c r="Y101" s="9">
        <f>(宠物成长!$C$1+宠物成长!$C$2/宠物成长!$C$3*宠物成长!$E$30)*(1+宠物成长!$I$21+VLOOKUP(宠物属性点预览!Y$2,宠物成长!$O$5:$R$10,3,FALSE))+(VLOOKUP(宠物属性点预览!$B101,宠物成长!$D$30:$E$129,2,FALSE)-宠物成长!$E$30)*宠物成长!$C$2/宠物成长!$C$3*(1+宠物成长!$H$21+VLOOKUP(宠物属性点预览!Y$2,宠物成长!$O$5:$R$10,2,FALSE))</f>
        <v>5472.8294190373954</v>
      </c>
      <c r="Z101" s="9">
        <f>(宠物成长!$C$1+宠物成长!$C$2/宠物成长!$C$3*宠物成长!$E$30)*(1+宠物成长!$I$21+VLOOKUP(宠物属性点预览!Z$2,宠物成长!$O$5:$R$10,3,FALSE))+(VLOOKUP(宠物属性点预览!$B101,宠物成长!$D$30:$E$129,2,FALSE)-宠物成长!$E$30)*宠物成长!$C$2/宠物成长!$C$3*(1+宠物成长!$H$21+VLOOKUP(宠物属性点预览!Z$2,宠物成长!$O$5:$R$10,2,FALSE))</f>
        <v>6004.8294190373954</v>
      </c>
    </row>
    <row r="102" spans="2:26" x14ac:dyDescent="0.15">
      <c r="B102" s="1">
        <v>100</v>
      </c>
      <c r="C102" s="9">
        <f>(宠物成长!$C$1+宠物成长!$C$2/宠物成长!$C$3*宠物成长!$E$30)*(1+VLOOKUP(宠物属性点预览!C$2,宠物成长!$F$4:$K$25,4,FALSE)+0)+(VLOOKUP(宠物属性点预览!$B102,宠物成长!$D$30:$E$129,2,FALSE)-宠物成长!$E$30)*宠物成长!$C$2/宠物成长!$C$3*(1+VLOOKUP(宠物属性点预览!C$2,宠物成长!$F$5:$K$25,3,FALSE)+0)</f>
        <v>408.5</v>
      </c>
      <c r="D102" s="9">
        <f>(宠物成长!$C$1+宠物成长!$C$2/宠物成长!$C$3*宠物成长!$E$30)*(1+VLOOKUP(宠物属性点预览!D$2,宠物成长!$F$4:$K$25,4,FALSE)+0)+(VLOOKUP(宠物属性点预览!$B102,宠物成长!$D$30:$E$129,2,FALSE)-宠物成长!$E$30)*宠物成长!$C$2/宠物成长!$C$3*(1+VLOOKUP(宠物属性点预览!D$2,宠物成长!$F$5:$K$25,3,FALSE)+0)</f>
        <v>455</v>
      </c>
      <c r="E102" s="9">
        <f>(宠物成长!$C$1+宠物成长!$C$2/宠物成长!$C$3*宠物成长!$E$30)*(1+VLOOKUP(宠物属性点预览!E$2,宠物成长!$F$4:$K$25,4,FALSE)+0)+(VLOOKUP(宠物属性点预览!$B102,宠物成长!$D$30:$E$129,2,FALSE)-宠物成长!$E$30)*宠物成长!$C$2/宠物成长!$C$3*(1+VLOOKUP(宠物属性点预览!E$2,宠物成长!$F$5:$K$25,3,FALSE)+0)</f>
        <v>520.1</v>
      </c>
      <c r="F102" s="9">
        <f>(宠物成长!$C$1+宠物成长!$C$2/宠物成长!$C$3*宠物成长!$E$30)*(1+VLOOKUP(宠物属性点预览!F$2,宠物成长!$F$4:$K$25,4,FALSE)+0)+(VLOOKUP(宠物属性点预览!$B102,宠物成长!$D$30:$E$129,2,FALSE)-宠物成长!$E$30)*宠物成长!$C$2/宠物成长!$C$3*(1+VLOOKUP(宠物属性点预览!F$2,宠物成长!$F$5:$K$25,3,FALSE)+0)</f>
        <v>606.90000000000009</v>
      </c>
      <c r="G102" s="9">
        <f>(宠物成长!$C$1+宠物成长!$C$2/宠物成长!$C$3*宠物成长!$E$30)*(1+VLOOKUP(宠物属性点预览!G$2,宠物成长!$F$4:$K$25,4,FALSE)+0)+(VLOOKUP(宠物属性点预览!$B102,宠物成长!$D$30:$E$129,2,FALSE)-宠物成长!$E$30)*宠物成长!$C$2/宠物成长!$C$3*(1+VLOOKUP(宠物属性点预览!G$2,宠物成长!$F$5:$K$25,3,FALSE)+0)</f>
        <v>755.59999999999991</v>
      </c>
      <c r="H102" s="9">
        <f>(宠物成长!$C$1+宠物成长!$C$2/宠物成长!$C$3*宠物成长!$E$30)*(1+VLOOKUP(宠物属性点预览!H$2,宠物成长!$F$4:$K$25,4,FALSE)+0)+(VLOOKUP(宠物属性点预览!$B102,宠物成长!$D$30:$E$129,2,FALSE)-宠物成长!$E$30)*宠物成长!$C$2/宠物成长!$C$3*(1+VLOOKUP(宠物属性点预览!H$2,宠物成长!$F$5:$K$25,3,FALSE)+0)</f>
        <v>953.9</v>
      </c>
      <c r="I102" s="9">
        <f>(宠物成长!$C$1+宠物成长!$C$2/宠物成长!$C$3*宠物成长!$E$30)*(1+VLOOKUP(宠物属性点预览!I$2,宠物成长!$F$4:$K$25,4,FALSE)+0)+(VLOOKUP(宠物属性点预览!$B102,宠物成长!$D$30:$E$129,2,FALSE)-宠物成长!$E$30)*宠物成长!$C$2/宠物成长!$C$3*(1+VLOOKUP(宠物属性点预览!I$2,宠物成长!$F$5:$K$25,3,FALSE)+0)</f>
        <v>1208</v>
      </c>
      <c r="J102" s="9">
        <f>(宠物成长!$C$1+宠物成长!$C$2/宠物成长!$C$3*宠物成长!$E$30)*(1+VLOOKUP(宠物属性点预览!J$2,宠物成长!$F$4:$K$25,4,FALSE)+0)+(VLOOKUP(宠物属性点预览!$B102,宠物成长!$D$30:$E$129,2,FALSE)-宠物成长!$E$30)*宠物成长!$C$2/宠物成长!$C$3*(1+VLOOKUP(宠物属性点预览!J$2,宠物成长!$F$5:$K$25,3,FALSE)+0)</f>
        <v>1487.1296296296296</v>
      </c>
      <c r="K102" s="9">
        <f>(宠物成长!$C$1+宠物成长!$C$2/宠物成长!$C$3*宠物成长!$E$30)*(1+VLOOKUP(宠物属性点预览!K$2,宠物成长!$F$4:$K$25,4,FALSE)+0)+(VLOOKUP(宠物属性点预览!$B102,宠物成长!$D$30:$E$129,2,FALSE)-宠物成长!$E$30)*宠物成长!$C$2/宠物成长!$C$3*(1+VLOOKUP(宠物属性点预览!K$2,宠物成长!$F$5:$K$25,3,FALSE)+0)</f>
        <v>1769.1296296296296</v>
      </c>
      <c r="L102" s="9">
        <f>(宠物成长!$C$1+宠物成长!$C$2/宠物成长!$C$3*宠物成长!$E$30)*(1+VLOOKUP(宠物属性点预览!L$2,宠物成长!$F$4:$K$25,4,FALSE)+0)+(VLOOKUP(宠物属性点预览!$B102,宠物成长!$D$30:$E$129,2,FALSE)-宠物成长!$E$30)*宠物成长!$C$2/宠物成长!$C$3*(1+VLOOKUP(宠物属性点预览!L$2,宠物成长!$F$5:$K$25,3,FALSE)+0)</f>
        <v>2053.2242242242241</v>
      </c>
      <c r="M102" s="9">
        <f>(宠物成长!$C$1+宠物成长!$C$2/宠物成长!$C$3*宠物成长!$E$30)*(1+VLOOKUP(宠物属性点预览!M$2,宠物成长!$F$4:$K$25,4,FALSE)+0)+(VLOOKUP(宠物属性点预览!$B102,宠物成长!$D$30:$E$129,2,FALSE)-宠物成长!$E$30)*宠物成长!$C$2/宠物成长!$C$3*(1+VLOOKUP(宠物属性点预览!M$2,宠物成长!$F$5:$K$25,3,FALSE)+0)</f>
        <v>2338.9147004147003</v>
      </c>
      <c r="N102" s="9">
        <f>(宠物成长!$C$1+宠物成长!$C$2/宠物成长!$C$3*宠物成长!$E$30)*(1+VLOOKUP(宠物属性点预览!N$2,宠物成长!$F$4:$K$25,4,FALSE)+0)+(VLOOKUP(宠物属性点预览!$B102,宠物成长!$D$30:$E$129,2,FALSE)-宠物成长!$E$30)*宠物成长!$C$2/宠物成长!$C$3*(1+VLOOKUP(宠物属性点预览!N$2,宠物成长!$F$5:$K$25,3,FALSE)+0)</f>
        <v>2625.8615089253385</v>
      </c>
      <c r="O102" s="9">
        <f>(宠物成长!$C$1+宠物成长!$C$2/宠物成长!$C$3*宠物成长!$E$30)*(1+VLOOKUP(宠物属性点预览!O$2,宠物成长!$F$4:$K$25,4,FALSE)+0)+(VLOOKUP(宠物属性点预览!$B102,宠物成长!$D$30:$E$129,2,FALSE)-宠物成长!$E$30)*宠物成长!$C$2/宠物成长!$C$3*(1+VLOOKUP(宠物属性点预览!O$2,宠物成长!$F$5:$K$25,3,FALSE)+0)</f>
        <v>2913.8230473868766</v>
      </c>
      <c r="P102" s="9">
        <f>(宠物成长!$C$1+宠物成长!$C$2/宠物成长!$C$3*宠物成长!$E$30)*(1+VLOOKUP(宠物属性点预览!P$2,宠物成长!$F$4:$K$25,4,FALSE)+0)+(VLOOKUP(宠物属性点预览!$B102,宠物成长!$D$30:$E$129,2,FALSE)-宠物成长!$E$30)*宠物成长!$C$2/宠物成长!$C$3*(1+VLOOKUP(宠物属性点预览!P$2,宠物成长!$F$5:$K$25,3,FALSE)+0)</f>
        <v>3202.6212930009119</v>
      </c>
      <c r="Q102" s="9">
        <f>(宠物成长!$C$1+宠物成长!$C$2/宠物成长!$C$3*宠物成长!$E$30)*(1+VLOOKUP(宠物属性点预览!Q$2,宠物成长!$F$4:$K$25,4,FALSE)+0)+(VLOOKUP(宠物属性点预览!$B102,宠物成长!$D$30:$E$129,2,FALSE)-宠物成长!$E$30)*宠物成长!$C$2/宠物成长!$C$3*(1+VLOOKUP(宠物属性点预览!Q$2,宠物成长!$F$5:$K$25,3,FALSE)+0)</f>
        <v>3492.1212930009119</v>
      </c>
      <c r="R102" s="9">
        <f>(宠物成长!$C$1+宠物成长!$C$2/宠物成长!$C$3*宠物成长!$E$30)*(1+VLOOKUP(宠物属性点预览!R$2,宠物成长!$F$4:$K$25,4,FALSE)+0)+(VLOOKUP(宠物属性点预览!$B102,宠物成长!$D$30:$E$129,2,FALSE)-宠物成长!$E$30)*宠物成长!$C$2/宠物成长!$C$3*(1+VLOOKUP(宠物属性点预览!R$2,宠物成长!$F$5:$K$25,3,FALSE)+0)</f>
        <v>3782.218307926285</v>
      </c>
      <c r="S102" s="9">
        <f>(宠物成长!$C$1+宠物成长!$C$2/宠物成长!$C$3*宠物成长!$E$30)*(1+VLOOKUP(宠物属性点预览!S$2,宠物成长!$F$4:$K$25,4,FALSE)+0)+(VLOOKUP(宠物属性点预览!$B102,宠物成长!$D$30:$E$129,2,FALSE)-宠物成长!$E$30)*宠物成长!$C$2/宠物成长!$C$3*(1+VLOOKUP(宠物属性点预览!S$2,宠物成长!$F$5:$K$25,3,FALSE)+0)</f>
        <v>4072.8294190373958</v>
      </c>
      <c r="T102" s="83">
        <f t="shared" si="17"/>
        <v>4072.8294190373958</v>
      </c>
      <c r="V102" s="9">
        <f>(宠物成长!$C$1+宠物成长!$C$2/宠物成长!$C$3*宠物成长!$E$30)*(1+宠物成长!$I$21+VLOOKUP(宠物属性点预览!V$2,宠物成长!$O$5:$R$10,3,FALSE))+(VLOOKUP(宠物属性点预览!$B102,宠物成长!$D$30:$E$129,2,FALSE)-宠物成长!$E$30)*宠物成长!$C$2/宠物成长!$C$3*(1+宠物成长!$H$21+VLOOKUP(宠物属性点预览!V$2,宠物成长!$O$5:$R$10,2,FALSE))</f>
        <v>4072.8294190373958</v>
      </c>
      <c r="W102" s="9">
        <f>(宠物成长!$C$1+宠物成长!$C$2/宠物成长!$C$3*宠物成长!$E$30)*(1+宠物成长!$I$21+VLOOKUP(宠物属性点预览!W$2,宠物成长!$O$5:$R$10,3,FALSE))+(VLOOKUP(宠物属性点预览!$B102,宠物成长!$D$30:$E$129,2,FALSE)-宠物成长!$E$30)*宠物成长!$C$2/宠物成长!$C$3*(1+宠物成长!$H$21+VLOOKUP(宠物属性点预览!W$2,宠物成长!$O$5:$R$10,2,FALSE))</f>
        <v>4481.8294190373963</v>
      </c>
      <c r="X102" s="9">
        <f>(宠物成长!$C$1+宠物成长!$C$2/宠物成长!$C$3*宠物成长!$E$30)*(1+宠物成长!$I$21+VLOOKUP(宠物属性点预览!X$2,宠物成长!$O$5:$R$10,3,FALSE))+(VLOOKUP(宠物属性点预览!$B102,宠物成长!$D$30:$E$129,2,FALSE)-宠物成长!$E$30)*宠物成长!$C$2/宠物成长!$C$3*(1+宠物成长!$H$21+VLOOKUP(宠物属性点预览!X$2,宠物成长!$O$5:$R$10,2,FALSE))</f>
        <v>4952.8294190373963</v>
      </c>
      <c r="Y102" s="9">
        <f>(宠物成长!$C$1+宠物成长!$C$2/宠物成长!$C$3*宠物成长!$E$30)*(1+宠物成长!$I$21+VLOOKUP(宠物属性点预览!Y$2,宠物成长!$O$5:$R$10,3,FALSE))+(VLOOKUP(宠物属性点预览!$B102,宠物成长!$D$30:$E$129,2,FALSE)-宠物成长!$E$30)*宠物成长!$C$2/宠物成长!$C$3*(1+宠物成长!$H$21+VLOOKUP(宠物属性点预览!Y$2,宠物成长!$O$5:$R$10,2,FALSE))</f>
        <v>5485.8294190373954</v>
      </c>
      <c r="Z102" s="9">
        <f>(宠物成长!$C$1+宠物成长!$C$2/宠物成长!$C$3*宠物成长!$E$30)*(1+宠物成长!$I$21+VLOOKUP(宠物属性点预览!Z$2,宠物成长!$O$5:$R$10,3,FALSE))+(VLOOKUP(宠物属性点预览!$B102,宠物成长!$D$30:$E$129,2,FALSE)-宠物成长!$E$30)*宠物成长!$C$2/宠物成长!$C$3*(1+宠物成长!$H$21+VLOOKUP(宠物属性点预览!Z$2,宠物成长!$O$5:$R$10,2,FALSE))</f>
        <v>6018.8294190373954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2:L25"/>
  <sheetViews>
    <sheetView workbookViewId="0">
      <selection activeCell="M34" sqref="M34"/>
    </sheetView>
  </sheetViews>
  <sheetFormatPr defaultRowHeight="11.25" x14ac:dyDescent="0.15"/>
  <cols>
    <col min="1" max="16384" width="9" style="1"/>
  </cols>
  <sheetData>
    <row r="2" spans="1:12" x14ac:dyDescent="0.15">
      <c r="B2" s="11" t="s">
        <v>150</v>
      </c>
      <c r="C2" s="11" t="s">
        <v>151</v>
      </c>
      <c r="D2" s="11" t="s">
        <v>154</v>
      </c>
      <c r="E2" s="11" t="s">
        <v>155</v>
      </c>
      <c r="F2" s="122" t="s">
        <v>156</v>
      </c>
      <c r="G2" s="122"/>
      <c r="H2" s="11" t="s">
        <v>218</v>
      </c>
      <c r="I2" s="11" t="s">
        <v>219</v>
      </c>
      <c r="J2" s="11"/>
      <c r="K2" s="122" t="s">
        <v>220</v>
      </c>
      <c r="L2" s="122"/>
    </row>
    <row r="3" spans="1:12" x14ac:dyDescent="0.15">
      <c r="A3" s="1">
        <f>COUNTIF($F$3:$G$25,B3)</f>
        <v>2</v>
      </c>
      <c r="B3" s="3" t="s">
        <v>152</v>
      </c>
      <c r="C3" s="3" t="s">
        <v>153</v>
      </c>
      <c r="D3" s="3" t="s">
        <v>157</v>
      </c>
      <c r="E3" s="3" t="s">
        <v>158</v>
      </c>
      <c r="F3" s="3" t="s">
        <v>159</v>
      </c>
      <c r="G3" s="3" t="s">
        <v>160</v>
      </c>
      <c r="H3" s="3" t="e">
        <f>VLOOKUP(D3,$B$3:$C$25,2,FALSE)</f>
        <v>#N/A</v>
      </c>
      <c r="I3" s="3" t="str">
        <f t="shared" ref="I3" si="0">VLOOKUP(E3,$B$3:$C$25,2,FALSE)</f>
        <v>物攻</v>
      </c>
      <c r="J3" s="3" t="str">
        <f>C3</f>
        <v>辅助</v>
      </c>
      <c r="K3" s="3" t="str">
        <f>VLOOKUP(F3,$B$3:$C$25,2,FALSE)</f>
        <v>防御</v>
      </c>
      <c r="L3" s="3" t="str">
        <f>VLOOKUP(G3,$B$3:$C$25,2,FALSE)</f>
        <v>物攻</v>
      </c>
    </row>
    <row r="4" spans="1:12" x14ac:dyDescent="0.15">
      <c r="A4" s="1">
        <f t="shared" ref="A4:A25" si="1">COUNTIF($F$3:$G$25,B4)</f>
        <v>2</v>
      </c>
      <c r="B4" s="3" t="s">
        <v>161</v>
      </c>
      <c r="C4" s="3" t="s">
        <v>162</v>
      </c>
      <c r="D4" s="3" t="s">
        <v>163</v>
      </c>
      <c r="E4" s="3" t="s">
        <v>164</v>
      </c>
      <c r="F4" s="3" t="s">
        <v>165</v>
      </c>
      <c r="G4" s="3" t="s">
        <v>166</v>
      </c>
      <c r="H4" s="3" t="str">
        <f t="shared" ref="H4:H25" si="2">VLOOKUP(D4,$B$3:$C$25,2,FALSE)</f>
        <v>法攻</v>
      </c>
      <c r="I4" s="3" t="e">
        <f t="shared" ref="I4:I25" si="3">VLOOKUP(E4,$B$3:$C$25,2,FALSE)</f>
        <v>#N/A</v>
      </c>
      <c r="J4" s="3" t="str">
        <f t="shared" ref="J4:J25" si="4">C4</f>
        <v>法攻</v>
      </c>
      <c r="K4" s="3" t="str">
        <f t="shared" ref="K4:K25" si="5">VLOOKUP(F4,$B$3:$C$25,2,FALSE)</f>
        <v>防御</v>
      </c>
      <c r="L4" s="3" t="str">
        <f t="shared" ref="L4:L25" si="6">VLOOKUP(G4,$B$3:$C$25,2,FALSE)</f>
        <v>物攻</v>
      </c>
    </row>
    <row r="5" spans="1:12" x14ac:dyDescent="0.15">
      <c r="A5" s="1">
        <f t="shared" si="1"/>
        <v>1</v>
      </c>
      <c r="B5" s="3" t="s">
        <v>167</v>
      </c>
      <c r="C5" s="3" t="s">
        <v>168</v>
      </c>
      <c r="D5" s="3" t="s">
        <v>169</v>
      </c>
      <c r="E5" s="3" t="s">
        <v>166</v>
      </c>
      <c r="F5" s="3" t="s">
        <v>170</v>
      </c>
      <c r="G5" s="3" t="s">
        <v>171</v>
      </c>
      <c r="H5" s="3" t="str">
        <f t="shared" si="2"/>
        <v>物攻</v>
      </c>
      <c r="I5" s="3" t="str">
        <f t="shared" si="3"/>
        <v>物攻</v>
      </c>
      <c r="J5" s="3" t="str">
        <f t="shared" si="4"/>
        <v>防御</v>
      </c>
      <c r="K5" s="3" t="str">
        <f t="shared" si="5"/>
        <v>物攻</v>
      </c>
      <c r="L5" s="3" t="e">
        <f t="shared" si="6"/>
        <v>#N/A</v>
      </c>
    </row>
    <row r="6" spans="1:12" x14ac:dyDescent="0.15">
      <c r="A6" s="1">
        <f t="shared" si="1"/>
        <v>2</v>
      </c>
      <c r="B6" s="3" t="s">
        <v>165</v>
      </c>
      <c r="C6" s="3" t="s">
        <v>168</v>
      </c>
      <c r="D6" s="3" t="s">
        <v>172</v>
      </c>
      <c r="E6" s="3" t="s">
        <v>159</v>
      </c>
      <c r="F6" s="3" t="s">
        <v>161</v>
      </c>
      <c r="G6" s="3" t="s">
        <v>166</v>
      </c>
      <c r="H6" s="3" t="e">
        <f t="shared" si="2"/>
        <v>#N/A</v>
      </c>
      <c r="I6" s="3" t="str">
        <f t="shared" si="3"/>
        <v>防御</v>
      </c>
      <c r="J6" s="3" t="str">
        <f t="shared" si="4"/>
        <v>防御</v>
      </c>
      <c r="K6" s="3" t="str">
        <f t="shared" si="5"/>
        <v>法攻</v>
      </c>
      <c r="L6" s="3" t="str">
        <f t="shared" si="6"/>
        <v>物攻</v>
      </c>
    </row>
    <row r="7" spans="1:12" x14ac:dyDescent="0.15">
      <c r="A7" s="1">
        <f t="shared" si="1"/>
        <v>2</v>
      </c>
      <c r="B7" s="3" t="s">
        <v>160</v>
      </c>
      <c r="C7" s="3" t="s">
        <v>173</v>
      </c>
      <c r="D7" s="3" t="s">
        <v>174</v>
      </c>
      <c r="E7" s="3" t="s">
        <v>175</v>
      </c>
      <c r="F7" s="3" t="s">
        <v>159</v>
      </c>
      <c r="G7" s="3" t="s">
        <v>152</v>
      </c>
      <c r="H7" s="3" t="e">
        <f t="shared" si="2"/>
        <v>#N/A</v>
      </c>
      <c r="I7" s="3" t="str">
        <f t="shared" si="3"/>
        <v>辅助</v>
      </c>
      <c r="J7" s="3" t="str">
        <f t="shared" si="4"/>
        <v>物攻</v>
      </c>
      <c r="K7" s="3" t="str">
        <f t="shared" si="5"/>
        <v>防御</v>
      </c>
      <c r="L7" s="3" t="str">
        <f t="shared" si="6"/>
        <v>辅助</v>
      </c>
    </row>
    <row r="8" spans="1:12" x14ac:dyDescent="0.15">
      <c r="A8" s="1">
        <f t="shared" si="1"/>
        <v>2</v>
      </c>
      <c r="B8" s="3" t="s">
        <v>163</v>
      </c>
      <c r="C8" s="3" t="s">
        <v>162</v>
      </c>
      <c r="D8" s="3" t="s">
        <v>176</v>
      </c>
      <c r="E8" s="3" t="s">
        <v>161</v>
      </c>
      <c r="F8" s="3" t="s">
        <v>177</v>
      </c>
      <c r="G8" s="3" t="s">
        <v>175</v>
      </c>
      <c r="H8" s="3" t="e">
        <f t="shared" si="2"/>
        <v>#N/A</v>
      </c>
      <c r="I8" s="3" t="str">
        <f t="shared" si="3"/>
        <v>法攻</v>
      </c>
      <c r="J8" s="3" t="str">
        <f t="shared" si="4"/>
        <v>法攻</v>
      </c>
      <c r="K8" s="3" t="str">
        <f t="shared" si="5"/>
        <v>防御</v>
      </c>
      <c r="L8" s="3" t="str">
        <f t="shared" si="6"/>
        <v>辅助</v>
      </c>
    </row>
    <row r="9" spans="1:12" x14ac:dyDescent="0.15">
      <c r="A9" s="1">
        <f t="shared" si="1"/>
        <v>2</v>
      </c>
      <c r="B9" s="3" t="s">
        <v>169</v>
      </c>
      <c r="C9" s="3" t="s">
        <v>173</v>
      </c>
      <c r="D9" s="3" t="s">
        <v>178</v>
      </c>
      <c r="E9" s="3" t="s">
        <v>166</v>
      </c>
      <c r="F9" s="3" t="s">
        <v>179</v>
      </c>
      <c r="G9" s="3" t="s">
        <v>180</v>
      </c>
      <c r="H9" s="3" t="str">
        <f t="shared" si="2"/>
        <v>防御</v>
      </c>
      <c r="I9" s="3" t="str">
        <f t="shared" si="3"/>
        <v>物攻</v>
      </c>
      <c r="J9" s="3" t="str">
        <f t="shared" si="4"/>
        <v>物攻</v>
      </c>
      <c r="K9" s="3" t="str">
        <f t="shared" si="5"/>
        <v>防御</v>
      </c>
      <c r="L9" s="3" t="str">
        <f t="shared" si="6"/>
        <v>辅助</v>
      </c>
    </row>
    <row r="10" spans="1:12" x14ac:dyDescent="0.15">
      <c r="A10" s="1">
        <f t="shared" si="1"/>
        <v>2</v>
      </c>
      <c r="B10" s="3" t="s">
        <v>181</v>
      </c>
      <c r="C10" s="3" t="s">
        <v>173</v>
      </c>
      <c r="D10" s="3" t="s">
        <v>152</v>
      </c>
      <c r="E10" s="3" t="s">
        <v>182</v>
      </c>
      <c r="F10" s="3" t="s">
        <v>183</v>
      </c>
      <c r="G10" s="3" t="s">
        <v>184</v>
      </c>
      <c r="H10" s="3" t="str">
        <f t="shared" si="2"/>
        <v>辅助</v>
      </c>
      <c r="I10" s="3" t="e">
        <f t="shared" si="3"/>
        <v>#N/A</v>
      </c>
      <c r="J10" s="3" t="str">
        <f t="shared" si="4"/>
        <v>物攻</v>
      </c>
      <c r="K10" s="3" t="str">
        <f t="shared" si="5"/>
        <v>防御</v>
      </c>
      <c r="L10" s="3" t="str">
        <f t="shared" si="6"/>
        <v>防御</v>
      </c>
    </row>
    <row r="11" spans="1:12" x14ac:dyDescent="0.15">
      <c r="A11" s="1">
        <f t="shared" si="1"/>
        <v>2</v>
      </c>
      <c r="B11" s="3" t="s">
        <v>185</v>
      </c>
      <c r="C11" s="3" t="s">
        <v>162</v>
      </c>
      <c r="D11" s="3" t="s">
        <v>186</v>
      </c>
      <c r="E11" s="3" t="s">
        <v>187</v>
      </c>
      <c r="F11" s="3" t="s">
        <v>188</v>
      </c>
      <c r="G11" s="3" t="s">
        <v>189</v>
      </c>
      <c r="H11" s="3" t="str">
        <f t="shared" si="2"/>
        <v>法攻</v>
      </c>
      <c r="I11" s="3" t="e">
        <f t="shared" si="3"/>
        <v>#N/A</v>
      </c>
      <c r="J11" s="3" t="str">
        <f t="shared" si="4"/>
        <v>法攻</v>
      </c>
      <c r="K11" s="3" t="str">
        <f t="shared" si="5"/>
        <v>防御</v>
      </c>
      <c r="L11" s="3" t="str">
        <f t="shared" si="6"/>
        <v>辅助</v>
      </c>
    </row>
    <row r="12" spans="1:12" x14ac:dyDescent="0.15">
      <c r="A12" s="1">
        <f t="shared" si="1"/>
        <v>2</v>
      </c>
      <c r="B12" s="3" t="s">
        <v>183</v>
      </c>
      <c r="C12" s="3" t="s">
        <v>168</v>
      </c>
      <c r="D12" s="3" t="s">
        <v>189</v>
      </c>
      <c r="E12" s="3" t="s">
        <v>190</v>
      </c>
      <c r="F12" s="3" t="s">
        <v>158</v>
      </c>
      <c r="G12" s="3" t="s">
        <v>191</v>
      </c>
      <c r="H12" s="3" t="str">
        <f t="shared" si="2"/>
        <v>辅助</v>
      </c>
      <c r="I12" s="3" t="str">
        <f t="shared" si="3"/>
        <v>辅助</v>
      </c>
      <c r="J12" s="3" t="str">
        <f t="shared" si="4"/>
        <v>防御</v>
      </c>
      <c r="K12" s="3" t="str">
        <f t="shared" si="5"/>
        <v>物攻</v>
      </c>
      <c r="L12" s="3" t="str">
        <f t="shared" si="6"/>
        <v>防御</v>
      </c>
    </row>
    <row r="13" spans="1:12" x14ac:dyDescent="0.15">
      <c r="A13" s="1">
        <f t="shared" si="1"/>
        <v>2</v>
      </c>
      <c r="B13" s="3" t="s">
        <v>192</v>
      </c>
      <c r="C13" s="3" t="s">
        <v>193</v>
      </c>
      <c r="D13" s="3" t="s">
        <v>185</v>
      </c>
      <c r="E13" s="3" t="s">
        <v>194</v>
      </c>
      <c r="F13" s="3" t="s">
        <v>190</v>
      </c>
      <c r="G13" s="3" t="s">
        <v>195</v>
      </c>
      <c r="H13" s="3" t="str">
        <f t="shared" si="2"/>
        <v>法攻</v>
      </c>
      <c r="I13" s="3" t="e">
        <f t="shared" si="3"/>
        <v>#N/A</v>
      </c>
      <c r="J13" s="3" t="str">
        <f t="shared" si="4"/>
        <v>法攻</v>
      </c>
      <c r="K13" s="3" t="str">
        <f t="shared" si="5"/>
        <v>辅助</v>
      </c>
      <c r="L13" s="3" t="str">
        <f t="shared" si="6"/>
        <v>法攻</v>
      </c>
    </row>
    <row r="14" spans="1:12" x14ac:dyDescent="0.15">
      <c r="A14" s="1">
        <f t="shared" si="1"/>
        <v>2</v>
      </c>
      <c r="B14" s="3" t="s">
        <v>196</v>
      </c>
      <c r="C14" s="3" t="s">
        <v>153</v>
      </c>
      <c r="D14" s="3" t="s">
        <v>197</v>
      </c>
      <c r="E14" s="3" t="s">
        <v>198</v>
      </c>
      <c r="F14" s="3" t="s">
        <v>199</v>
      </c>
      <c r="G14" s="3" t="s">
        <v>200</v>
      </c>
      <c r="H14" s="3" t="str">
        <f t="shared" si="2"/>
        <v>物攻</v>
      </c>
      <c r="I14" s="3" t="e">
        <f t="shared" si="3"/>
        <v>#N/A</v>
      </c>
      <c r="J14" s="3" t="str">
        <f t="shared" si="4"/>
        <v>辅助</v>
      </c>
      <c r="K14" s="3" t="str">
        <f t="shared" si="5"/>
        <v>防御</v>
      </c>
      <c r="L14" s="3" t="str">
        <f t="shared" si="6"/>
        <v>法攻</v>
      </c>
    </row>
    <row r="15" spans="1:12" x14ac:dyDescent="0.15">
      <c r="A15" s="1">
        <f t="shared" si="1"/>
        <v>2</v>
      </c>
      <c r="B15" s="3" t="s">
        <v>201</v>
      </c>
      <c r="C15" s="3" t="s">
        <v>168</v>
      </c>
      <c r="D15" s="3" t="s">
        <v>165</v>
      </c>
      <c r="E15" s="3" t="s">
        <v>202</v>
      </c>
      <c r="F15" s="3" t="s">
        <v>203</v>
      </c>
      <c r="G15" s="3" t="s">
        <v>160</v>
      </c>
      <c r="H15" s="3" t="str">
        <f t="shared" si="2"/>
        <v>防御</v>
      </c>
      <c r="I15" s="3" t="e">
        <f t="shared" si="3"/>
        <v>#N/A</v>
      </c>
      <c r="J15" s="3" t="str">
        <f t="shared" si="4"/>
        <v>防御</v>
      </c>
      <c r="K15" s="3" t="str">
        <f t="shared" si="5"/>
        <v>辅助</v>
      </c>
      <c r="L15" s="3" t="str">
        <f t="shared" si="6"/>
        <v>物攻</v>
      </c>
    </row>
    <row r="16" spans="1:12" x14ac:dyDescent="0.15">
      <c r="A16" s="1">
        <f t="shared" si="1"/>
        <v>2</v>
      </c>
      <c r="B16" s="3" t="s">
        <v>189</v>
      </c>
      <c r="C16" s="3" t="s">
        <v>153</v>
      </c>
      <c r="D16" s="3" t="s">
        <v>183</v>
      </c>
      <c r="E16" s="3" t="s">
        <v>180</v>
      </c>
      <c r="F16" s="3" t="s">
        <v>185</v>
      </c>
      <c r="G16" s="3" t="s">
        <v>204</v>
      </c>
      <c r="H16" s="3" t="str">
        <f t="shared" si="2"/>
        <v>防御</v>
      </c>
      <c r="I16" s="3" t="str">
        <f t="shared" si="3"/>
        <v>辅助</v>
      </c>
      <c r="J16" s="3" t="str">
        <f t="shared" si="4"/>
        <v>辅助</v>
      </c>
      <c r="K16" s="3" t="str">
        <f t="shared" si="5"/>
        <v>法攻</v>
      </c>
      <c r="L16" s="3" t="str">
        <f t="shared" si="6"/>
        <v>防御</v>
      </c>
    </row>
    <row r="17" spans="1:12" x14ac:dyDescent="0.15">
      <c r="A17" s="1">
        <f t="shared" si="1"/>
        <v>2</v>
      </c>
      <c r="B17" s="3" t="s">
        <v>205</v>
      </c>
      <c r="C17" s="3" t="s">
        <v>206</v>
      </c>
      <c r="D17" s="3" t="s">
        <v>207</v>
      </c>
      <c r="E17" s="3" t="s">
        <v>208</v>
      </c>
      <c r="F17" s="3" t="s">
        <v>209</v>
      </c>
      <c r="G17" s="3" t="s">
        <v>195</v>
      </c>
      <c r="H17" s="3" t="str">
        <f t="shared" si="2"/>
        <v>防御</v>
      </c>
      <c r="I17" s="3" t="str">
        <f t="shared" si="3"/>
        <v>辅助</v>
      </c>
      <c r="J17" s="3" t="str">
        <f t="shared" si="4"/>
        <v>辅助</v>
      </c>
      <c r="K17" s="3" t="str">
        <f t="shared" si="5"/>
        <v>法攻</v>
      </c>
      <c r="L17" s="3" t="str">
        <f t="shared" si="6"/>
        <v>法攻</v>
      </c>
    </row>
    <row r="18" spans="1:12" x14ac:dyDescent="0.15">
      <c r="A18" s="1">
        <f t="shared" si="1"/>
        <v>2</v>
      </c>
      <c r="B18" s="3" t="s">
        <v>191</v>
      </c>
      <c r="C18" s="3" t="s">
        <v>168</v>
      </c>
      <c r="D18" s="3" t="s">
        <v>210</v>
      </c>
      <c r="E18" s="3" t="s">
        <v>211</v>
      </c>
      <c r="F18" s="3" t="s">
        <v>212</v>
      </c>
      <c r="G18" s="3" t="s">
        <v>183</v>
      </c>
      <c r="H18" s="3" t="e">
        <f t="shared" si="2"/>
        <v>#N/A</v>
      </c>
      <c r="I18" s="3" t="str">
        <f t="shared" si="3"/>
        <v>防御</v>
      </c>
      <c r="J18" s="3" t="str">
        <f t="shared" si="4"/>
        <v>防御</v>
      </c>
      <c r="K18" s="3" t="str">
        <f t="shared" si="5"/>
        <v>物攻</v>
      </c>
      <c r="L18" s="3" t="str">
        <f t="shared" si="6"/>
        <v>防御</v>
      </c>
    </row>
    <row r="19" spans="1:12" x14ac:dyDescent="0.15">
      <c r="A19" s="1">
        <f t="shared" si="1"/>
        <v>1</v>
      </c>
      <c r="B19" s="3" t="s">
        <v>170</v>
      </c>
      <c r="C19" s="3" t="s">
        <v>213</v>
      </c>
      <c r="D19" s="3" t="s">
        <v>214</v>
      </c>
      <c r="E19" s="3" t="s">
        <v>215</v>
      </c>
      <c r="F19" s="3" t="s">
        <v>167</v>
      </c>
      <c r="G19" s="3" t="s">
        <v>171</v>
      </c>
      <c r="H19" s="3" t="str">
        <f t="shared" si="2"/>
        <v>法攻</v>
      </c>
      <c r="I19" s="3" t="str">
        <f t="shared" si="3"/>
        <v>辅助</v>
      </c>
      <c r="J19" s="3" t="str">
        <f t="shared" si="4"/>
        <v>物攻</v>
      </c>
      <c r="K19" s="3" t="str">
        <f t="shared" si="5"/>
        <v>防御</v>
      </c>
      <c r="L19" s="3" t="e">
        <f t="shared" si="6"/>
        <v>#N/A</v>
      </c>
    </row>
    <row r="20" spans="1:12" x14ac:dyDescent="0.15">
      <c r="A20" s="1">
        <f t="shared" si="1"/>
        <v>2</v>
      </c>
      <c r="B20" s="3" t="s">
        <v>177</v>
      </c>
      <c r="C20" s="3" t="s">
        <v>168</v>
      </c>
      <c r="D20" s="3" t="s">
        <v>216</v>
      </c>
      <c r="E20" s="3" t="s">
        <v>191</v>
      </c>
      <c r="F20" s="3" t="s">
        <v>163</v>
      </c>
      <c r="G20" s="3" t="s">
        <v>175</v>
      </c>
      <c r="H20" s="3" t="e">
        <f t="shared" si="2"/>
        <v>#N/A</v>
      </c>
      <c r="I20" s="3" t="str">
        <f t="shared" si="3"/>
        <v>防御</v>
      </c>
      <c r="J20" s="3" t="str">
        <f t="shared" si="4"/>
        <v>防御</v>
      </c>
      <c r="K20" s="3" t="str">
        <f t="shared" si="5"/>
        <v>法攻</v>
      </c>
      <c r="L20" s="3" t="str">
        <f t="shared" si="6"/>
        <v>辅助</v>
      </c>
    </row>
    <row r="21" spans="1:12" x14ac:dyDescent="0.15">
      <c r="A21" s="1">
        <f t="shared" si="1"/>
        <v>2</v>
      </c>
      <c r="B21" s="3" t="s">
        <v>217</v>
      </c>
      <c r="C21" s="3" t="s">
        <v>168</v>
      </c>
      <c r="D21" s="3" t="s">
        <v>171</v>
      </c>
      <c r="E21" s="3" t="s">
        <v>170</v>
      </c>
      <c r="F21" s="3" t="s">
        <v>185</v>
      </c>
      <c r="G21" s="3" t="s">
        <v>189</v>
      </c>
      <c r="H21" s="3" t="e">
        <f t="shared" si="2"/>
        <v>#N/A</v>
      </c>
      <c r="I21" s="3" t="str">
        <f t="shared" si="3"/>
        <v>物攻</v>
      </c>
      <c r="J21" s="3" t="str">
        <f t="shared" si="4"/>
        <v>防御</v>
      </c>
      <c r="K21" s="3" t="str">
        <f t="shared" si="5"/>
        <v>法攻</v>
      </c>
      <c r="L21" s="3" t="str">
        <f t="shared" si="6"/>
        <v>辅助</v>
      </c>
    </row>
    <row r="22" spans="1:12" x14ac:dyDescent="0.15">
      <c r="A22" s="1">
        <f t="shared" si="1"/>
        <v>2</v>
      </c>
      <c r="B22" s="3" t="s">
        <v>179</v>
      </c>
      <c r="C22" s="3" t="s">
        <v>168</v>
      </c>
      <c r="D22" s="3" t="s">
        <v>171</v>
      </c>
      <c r="E22" s="3" t="s">
        <v>217</v>
      </c>
      <c r="F22" s="3" t="s">
        <v>169</v>
      </c>
      <c r="G22" s="3" t="s">
        <v>180</v>
      </c>
      <c r="H22" s="3" t="e">
        <f t="shared" si="2"/>
        <v>#N/A</v>
      </c>
      <c r="I22" s="3" t="str">
        <f t="shared" si="3"/>
        <v>防御</v>
      </c>
      <c r="J22" s="3" t="str">
        <f t="shared" si="4"/>
        <v>防御</v>
      </c>
      <c r="K22" s="3" t="str">
        <f t="shared" si="5"/>
        <v>物攻</v>
      </c>
      <c r="L22" s="3" t="str">
        <f t="shared" si="6"/>
        <v>辅助</v>
      </c>
    </row>
    <row r="23" spans="1:12" x14ac:dyDescent="0.15">
      <c r="A23" s="1">
        <f t="shared" si="1"/>
        <v>2</v>
      </c>
      <c r="B23" s="3" t="s">
        <v>166</v>
      </c>
      <c r="C23" s="3" t="s">
        <v>173</v>
      </c>
      <c r="D23" s="3" t="s">
        <v>169</v>
      </c>
      <c r="E23" s="3" t="s">
        <v>217</v>
      </c>
      <c r="F23" s="3" t="s">
        <v>165</v>
      </c>
      <c r="G23" s="3" t="s">
        <v>161</v>
      </c>
      <c r="H23" s="3" t="str">
        <f t="shared" si="2"/>
        <v>物攻</v>
      </c>
      <c r="I23" s="3" t="str">
        <f t="shared" si="3"/>
        <v>防御</v>
      </c>
      <c r="J23" s="3" t="str">
        <f t="shared" si="4"/>
        <v>物攻</v>
      </c>
      <c r="K23" s="3" t="str">
        <f t="shared" si="5"/>
        <v>防御</v>
      </c>
      <c r="L23" s="3" t="str">
        <f t="shared" si="6"/>
        <v>法攻</v>
      </c>
    </row>
    <row r="24" spans="1:12" x14ac:dyDescent="0.15">
      <c r="A24" s="1">
        <f t="shared" si="1"/>
        <v>2</v>
      </c>
      <c r="B24" s="3" t="s">
        <v>195</v>
      </c>
      <c r="C24" s="3" t="s">
        <v>162</v>
      </c>
      <c r="D24" s="3" t="s">
        <v>170</v>
      </c>
      <c r="E24" s="3" t="s">
        <v>167</v>
      </c>
      <c r="F24" s="3" t="s">
        <v>186</v>
      </c>
      <c r="G24" s="3" t="s">
        <v>190</v>
      </c>
      <c r="H24" s="3" t="str">
        <f t="shared" si="2"/>
        <v>物攻</v>
      </c>
      <c r="I24" s="3" t="str">
        <f t="shared" si="3"/>
        <v>防御</v>
      </c>
      <c r="J24" s="3" t="str">
        <f t="shared" si="4"/>
        <v>法攻</v>
      </c>
      <c r="K24" s="3" t="str">
        <f t="shared" si="5"/>
        <v>法攻</v>
      </c>
      <c r="L24" s="3" t="str">
        <f t="shared" si="6"/>
        <v>辅助</v>
      </c>
    </row>
    <row r="25" spans="1:12" x14ac:dyDescent="0.15">
      <c r="A25" s="1">
        <f t="shared" si="1"/>
        <v>2</v>
      </c>
      <c r="B25" s="3" t="s">
        <v>180</v>
      </c>
      <c r="C25" s="3" t="s">
        <v>153</v>
      </c>
      <c r="D25" s="3" t="s">
        <v>189</v>
      </c>
      <c r="E25" s="3" t="s">
        <v>190</v>
      </c>
      <c r="F25" s="3" t="s">
        <v>169</v>
      </c>
      <c r="G25" s="3" t="s">
        <v>179</v>
      </c>
      <c r="H25" s="3" t="str">
        <f t="shared" si="2"/>
        <v>辅助</v>
      </c>
      <c r="I25" s="3" t="str">
        <f t="shared" si="3"/>
        <v>辅助</v>
      </c>
      <c r="J25" s="3" t="str">
        <f t="shared" si="4"/>
        <v>辅助</v>
      </c>
      <c r="K25" s="3" t="str">
        <f t="shared" si="5"/>
        <v>物攻</v>
      </c>
      <c r="L25" s="3" t="str">
        <f t="shared" si="6"/>
        <v>防御</v>
      </c>
    </row>
  </sheetData>
  <mergeCells count="2">
    <mergeCell ref="F2:G2"/>
    <mergeCell ref="K2:L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P48"/>
  <sheetViews>
    <sheetView workbookViewId="0">
      <selection activeCell="M21" sqref="M21"/>
    </sheetView>
  </sheetViews>
  <sheetFormatPr defaultRowHeight="13.5" x14ac:dyDescent="0.15"/>
  <cols>
    <col min="1" max="2" width="9" style="1"/>
    <col min="4" max="4" width="9" style="1"/>
    <col min="5" max="5" width="11.25" style="1" customWidth="1"/>
    <col min="6" max="13" width="9" style="1"/>
    <col min="14" max="14" width="9.875" style="1" customWidth="1"/>
    <col min="15" max="15" width="34.875" style="1" customWidth="1"/>
    <col min="16" max="16" width="57.875" style="1" customWidth="1"/>
    <col min="17" max="16384" width="9" style="1"/>
  </cols>
  <sheetData>
    <row r="1" spans="4:16" ht="14.25" thickBot="1" x14ac:dyDescent="0.2">
      <c r="G1" s="143" t="s">
        <v>328</v>
      </c>
      <c r="H1" s="144"/>
      <c r="I1" s="144"/>
      <c r="J1" s="144"/>
      <c r="K1" s="145"/>
      <c r="L1" s="91"/>
      <c r="M1" s="143" t="s">
        <v>332</v>
      </c>
      <c r="N1" s="144"/>
      <c r="O1" s="144"/>
      <c r="P1" s="144"/>
    </row>
    <row r="2" spans="4:16" x14ac:dyDescent="0.15">
      <c r="D2" s="1" t="s">
        <v>348</v>
      </c>
      <c r="E2" s="95" t="s">
        <v>310</v>
      </c>
      <c r="F2" s="96" t="s">
        <v>312</v>
      </c>
      <c r="G2" s="86" t="s">
        <v>7</v>
      </c>
      <c r="H2" s="3" t="s">
        <v>8</v>
      </c>
      <c r="I2" s="3" t="s">
        <v>9</v>
      </c>
      <c r="J2" s="3" t="s">
        <v>10</v>
      </c>
      <c r="K2" s="87" t="s">
        <v>11</v>
      </c>
      <c r="L2" s="92" t="s">
        <v>329</v>
      </c>
      <c r="M2" s="86" t="s">
        <v>330</v>
      </c>
      <c r="N2" s="3" t="s">
        <v>331</v>
      </c>
      <c r="O2" s="3" t="s">
        <v>343</v>
      </c>
      <c r="P2" s="3" t="s">
        <v>342</v>
      </c>
    </row>
    <row r="3" spans="4:16" x14ac:dyDescent="0.15">
      <c r="D3" s="1">
        <f t="shared" ref="D3:D14" si="0">COUNTIF($F$19:$H$42,E3)</f>
        <v>3</v>
      </c>
      <c r="E3" s="97" t="s">
        <v>316</v>
      </c>
      <c r="F3" s="98" t="s">
        <v>8</v>
      </c>
      <c r="G3" s="86">
        <v>1</v>
      </c>
      <c r="H3" s="3">
        <v>1</v>
      </c>
      <c r="I3" s="3">
        <v>1</v>
      </c>
      <c r="J3" s="3">
        <v>1</v>
      </c>
      <c r="K3" s="87">
        <v>1</v>
      </c>
      <c r="L3" s="93">
        <f>SUM(G3:K3)</f>
        <v>5</v>
      </c>
      <c r="M3" s="86" t="s">
        <v>433</v>
      </c>
      <c r="N3" s="3" t="s">
        <v>434</v>
      </c>
      <c r="O3" s="12" t="s">
        <v>349</v>
      </c>
      <c r="P3" s="12" t="s">
        <v>438</v>
      </c>
    </row>
    <row r="4" spans="4:16" x14ac:dyDescent="0.15">
      <c r="D4" s="1">
        <f t="shared" si="0"/>
        <v>3</v>
      </c>
      <c r="E4" s="97" t="s">
        <v>321</v>
      </c>
      <c r="F4" s="98" t="s">
        <v>317</v>
      </c>
      <c r="G4" s="86">
        <v>1</v>
      </c>
      <c r="H4" s="3">
        <v>1</v>
      </c>
      <c r="I4" s="3">
        <v>1</v>
      </c>
      <c r="J4" s="3">
        <v>1</v>
      </c>
      <c r="K4" s="87">
        <v>1</v>
      </c>
      <c r="L4" s="93">
        <f t="shared" ref="L4:L14" si="1">SUM(G4:K4)</f>
        <v>5</v>
      </c>
      <c r="M4" s="86" t="s">
        <v>334</v>
      </c>
      <c r="N4" s="3" t="s">
        <v>335</v>
      </c>
      <c r="O4" s="12" t="s">
        <v>440</v>
      </c>
      <c r="P4" s="12" t="s">
        <v>438</v>
      </c>
    </row>
    <row r="5" spans="4:16" x14ac:dyDescent="0.15">
      <c r="D5" s="1">
        <f t="shared" si="0"/>
        <v>3</v>
      </c>
      <c r="E5" s="97" t="s">
        <v>374</v>
      </c>
      <c r="F5" s="98" t="s">
        <v>317</v>
      </c>
      <c r="G5" s="86">
        <v>1</v>
      </c>
      <c r="H5" s="3">
        <v>1</v>
      </c>
      <c r="I5" s="3">
        <v>1</v>
      </c>
      <c r="J5" s="3">
        <v>1</v>
      </c>
      <c r="K5" s="87">
        <v>1</v>
      </c>
      <c r="L5" s="93">
        <f t="shared" si="1"/>
        <v>5</v>
      </c>
      <c r="M5" s="86" t="s">
        <v>336</v>
      </c>
      <c r="N5" s="3" t="s">
        <v>337</v>
      </c>
      <c r="O5" s="42" t="s">
        <v>354</v>
      </c>
      <c r="P5" s="12" t="s">
        <v>438</v>
      </c>
    </row>
    <row r="6" spans="4:16" x14ac:dyDescent="0.15">
      <c r="D6" s="1">
        <f t="shared" si="0"/>
        <v>3</v>
      </c>
      <c r="E6" s="97" t="s">
        <v>326</v>
      </c>
      <c r="F6" s="98" t="s">
        <v>317</v>
      </c>
      <c r="G6" s="86">
        <v>1</v>
      </c>
      <c r="H6" s="3">
        <v>1</v>
      </c>
      <c r="I6" s="3">
        <v>1</v>
      </c>
      <c r="J6" s="3">
        <v>1</v>
      </c>
      <c r="K6" s="87">
        <v>1</v>
      </c>
      <c r="L6" s="93">
        <f t="shared" si="1"/>
        <v>5</v>
      </c>
      <c r="M6" s="86" t="s">
        <v>433</v>
      </c>
      <c r="N6" s="3" t="s">
        <v>434</v>
      </c>
      <c r="O6" s="12" t="s">
        <v>350</v>
      </c>
      <c r="P6" s="12" t="s">
        <v>438</v>
      </c>
    </row>
    <row r="7" spans="4:16" x14ac:dyDescent="0.15">
      <c r="D7" s="1">
        <f t="shared" si="0"/>
        <v>3</v>
      </c>
      <c r="E7" s="97" t="s">
        <v>323</v>
      </c>
      <c r="F7" s="98" t="s">
        <v>317</v>
      </c>
      <c r="G7" s="86">
        <v>1</v>
      </c>
      <c r="H7" s="3">
        <v>1</v>
      </c>
      <c r="I7" s="3">
        <v>1</v>
      </c>
      <c r="J7" s="3">
        <v>1</v>
      </c>
      <c r="K7" s="87">
        <v>1</v>
      </c>
      <c r="L7" s="93">
        <f t="shared" si="1"/>
        <v>5</v>
      </c>
      <c r="M7" s="86" t="s">
        <v>338</v>
      </c>
      <c r="N7" s="3" t="s">
        <v>335</v>
      </c>
      <c r="O7" s="12" t="s">
        <v>439</v>
      </c>
      <c r="P7" s="12" t="s">
        <v>438</v>
      </c>
    </row>
    <row r="8" spans="4:16" x14ac:dyDescent="0.15">
      <c r="D8" s="1">
        <f t="shared" si="0"/>
        <v>3</v>
      </c>
      <c r="E8" s="99" t="s">
        <v>311</v>
      </c>
      <c r="F8" s="100" t="s">
        <v>313</v>
      </c>
      <c r="G8" s="86">
        <v>1</v>
      </c>
      <c r="H8" s="3">
        <v>1</v>
      </c>
      <c r="I8" s="3">
        <v>1</v>
      </c>
      <c r="J8" s="3">
        <v>1</v>
      </c>
      <c r="K8" s="87">
        <v>1</v>
      </c>
      <c r="L8" s="93">
        <f t="shared" si="1"/>
        <v>5</v>
      </c>
      <c r="M8" s="86" t="s">
        <v>435</v>
      </c>
      <c r="N8" s="3" t="s">
        <v>436</v>
      </c>
      <c r="O8" s="12" t="s">
        <v>351</v>
      </c>
      <c r="P8" s="12" t="s">
        <v>358</v>
      </c>
    </row>
    <row r="9" spans="4:16" x14ac:dyDescent="0.15">
      <c r="D9" s="1">
        <f t="shared" si="0"/>
        <v>3</v>
      </c>
      <c r="E9" s="99" t="s">
        <v>324</v>
      </c>
      <c r="F9" s="100" t="s">
        <v>325</v>
      </c>
      <c r="G9" s="86">
        <v>1</v>
      </c>
      <c r="H9" s="3">
        <v>1</v>
      </c>
      <c r="I9" s="3">
        <v>1</v>
      </c>
      <c r="J9" s="3">
        <v>1</v>
      </c>
      <c r="K9" s="87">
        <v>1</v>
      </c>
      <c r="L9" s="93">
        <f t="shared" si="1"/>
        <v>5</v>
      </c>
      <c r="M9" s="86" t="s">
        <v>339</v>
      </c>
      <c r="N9" s="3" t="s">
        <v>340</v>
      </c>
      <c r="O9" s="12" t="s">
        <v>441</v>
      </c>
      <c r="P9" s="12" t="s">
        <v>359</v>
      </c>
    </row>
    <row r="10" spans="4:16" x14ac:dyDescent="0.15">
      <c r="D10" s="1">
        <f t="shared" si="0"/>
        <v>3</v>
      </c>
      <c r="E10" s="101" t="s">
        <v>314</v>
      </c>
      <c r="F10" s="102" t="s">
        <v>315</v>
      </c>
      <c r="G10" s="86">
        <v>1</v>
      </c>
      <c r="H10" s="3">
        <v>1</v>
      </c>
      <c r="I10" s="3">
        <v>1</v>
      </c>
      <c r="J10" s="3">
        <v>1</v>
      </c>
      <c r="K10" s="87">
        <v>1</v>
      </c>
      <c r="L10" s="93">
        <f t="shared" si="1"/>
        <v>5</v>
      </c>
      <c r="M10" s="86" t="s">
        <v>437</v>
      </c>
      <c r="N10" s="3" t="s">
        <v>436</v>
      </c>
      <c r="O10" s="12" t="s">
        <v>353</v>
      </c>
      <c r="P10" s="12" t="s">
        <v>358</v>
      </c>
    </row>
    <row r="11" spans="4:16" x14ac:dyDescent="0.15">
      <c r="D11" s="1">
        <f t="shared" si="0"/>
        <v>3</v>
      </c>
      <c r="E11" s="101" t="s">
        <v>318</v>
      </c>
      <c r="F11" s="102" t="s">
        <v>319</v>
      </c>
      <c r="G11" s="86">
        <v>1</v>
      </c>
      <c r="H11" s="3">
        <v>1</v>
      </c>
      <c r="I11" s="3">
        <v>1</v>
      </c>
      <c r="J11" s="3">
        <v>1</v>
      </c>
      <c r="K11" s="87">
        <v>1</v>
      </c>
      <c r="L11" s="93">
        <f t="shared" si="1"/>
        <v>5</v>
      </c>
      <c r="M11" s="86" t="s">
        <v>339</v>
      </c>
      <c r="N11" s="3" t="s">
        <v>334</v>
      </c>
      <c r="O11" s="12" t="s">
        <v>352</v>
      </c>
      <c r="P11" s="12" t="s">
        <v>359</v>
      </c>
    </row>
    <row r="12" spans="4:16" x14ac:dyDescent="0.15">
      <c r="D12" s="1">
        <f t="shared" si="0"/>
        <v>3</v>
      </c>
      <c r="E12" s="101" t="s">
        <v>320</v>
      </c>
      <c r="F12" s="102" t="s">
        <v>319</v>
      </c>
      <c r="G12" s="86">
        <v>1</v>
      </c>
      <c r="H12" s="3">
        <v>1</v>
      </c>
      <c r="I12" s="3">
        <v>1</v>
      </c>
      <c r="J12" s="3">
        <v>1</v>
      </c>
      <c r="K12" s="87">
        <v>1</v>
      </c>
      <c r="L12" s="93">
        <f t="shared" si="1"/>
        <v>5</v>
      </c>
      <c r="M12" s="86" t="s">
        <v>339</v>
      </c>
      <c r="N12" s="3" t="s">
        <v>334</v>
      </c>
      <c r="O12" s="12" t="s">
        <v>356</v>
      </c>
      <c r="P12" s="12" t="s">
        <v>438</v>
      </c>
    </row>
    <row r="13" spans="4:16" x14ac:dyDescent="0.15">
      <c r="D13" s="1">
        <f t="shared" si="0"/>
        <v>3</v>
      </c>
      <c r="E13" s="101" t="s">
        <v>322</v>
      </c>
      <c r="F13" s="102" t="s">
        <v>319</v>
      </c>
      <c r="G13" s="86">
        <v>1</v>
      </c>
      <c r="H13" s="3">
        <v>1</v>
      </c>
      <c r="I13" s="3">
        <v>1</v>
      </c>
      <c r="J13" s="3">
        <v>1</v>
      </c>
      <c r="K13" s="87">
        <v>1</v>
      </c>
      <c r="L13" s="93">
        <f t="shared" si="1"/>
        <v>5</v>
      </c>
      <c r="M13" s="86" t="s">
        <v>341</v>
      </c>
      <c r="N13" s="3" t="s">
        <v>333</v>
      </c>
      <c r="O13" s="42" t="s">
        <v>355</v>
      </c>
      <c r="P13" s="12" t="s">
        <v>438</v>
      </c>
    </row>
    <row r="14" spans="4:16" ht="14.25" thickBot="1" x14ac:dyDescent="0.2">
      <c r="D14" s="1">
        <f t="shared" si="0"/>
        <v>3</v>
      </c>
      <c r="E14" s="103" t="s">
        <v>327</v>
      </c>
      <c r="F14" s="104" t="s">
        <v>319</v>
      </c>
      <c r="G14" s="88">
        <v>1</v>
      </c>
      <c r="H14" s="89">
        <v>1</v>
      </c>
      <c r="I14" s="89">
        <v>1</v>
      </c>
      <c r="J14" s="89">
        <v>1</v>
      </c>
      <c r="K14" s="90">
        <v>1</v>
      </c>
      <c r="L14" s="94">
        <f t="shared" si="1"/>
        <v>5</v>
      </c>
      <c r="M14" s="88" t="s">
        <v>437</v>
      </c>
      <c r="N14" s="89" t="s">
        <v>436</v>
      </c>
      <c r="O14" s="105" t="s">
        <v>357</v>
      </c>
      <c r="P14" s="12" t="s">
        <v>358</v>
      </c>
    </row>
    <row r="17" spans="5:14" x14ac:dyDescent="0.15">
      <c r="F17" s="146" t="s">
        <v>390</v>
      </c>
      <c r="G17" s="146"/>
      <c r="H17" s="146"/>
      <c r="I17" s="147" t="s">
        <v>391</v>
      </c>
      <c r="J17" s="147"/>
      <c r="K17" s="147"/>
      <c r="L17" s="121" t="s">
        <v>396</v>
      </c>
      <c r="M17" s="121"/>
      <c r="N17" s="121"/>
    </row>
    <row r="18" spans="5:14" x14ac:dyDescent="0.15">
      <c r="E18" s="3" t="s">
        <v>344</v>
      </c>
      <c r="F18" s="4" t="s">
        <v>345</v>
      </c>
      <c r="G18" s="4" t="s">
        <v>346</v>
      </c>
      <c r="H18" s="4" t="s">
        <v>347</v>
      </c>
      <c r="I18" s="5" t="s">
        <v>345</v>
      </c>
      <c r="J18" s="5" t="s">
        <v>346</v>
      </c>
      <c r="K18" s="5" t="s">
        <v>347</v>
      </c>
      <c r="L18" s="43"/>
      <c r="M18" s="43"/>
      <c r="N18" s="43"/>
    </row>
    <row r="19" spans="5:14" x14ac:dyDescent="0.15">
      <c r="E19" s="3" t="s">
        <v>360</v>
      </c>
      <c r="F19" s="4" t="s">
        <v>316</v>
      </c>
      <c r="G19" s="4" t="s">
        <v>361</v>
      </c>
      <c r="H19" s="4"/>
      <c r="I19" s="5" t="str">
        <f>IFERROR(VLOOKUP(F19,$E$3:$F$14,2,FALSE),"")</f>
        <v>攻击</v>
      </c>
      <c r="J19" s="5" t="str">
        <f t="shared" ref="J19:K19" si="2">IFERROR(VLOOKUP(G19,$E$3:$F$14,2,FALSE),"")</f>
        <v>攻击</v>
      </c>
      <c r="K19" s="5" t="str">
        <f t="shared" si="2"/>
        <v/>
      </c>
      <c r="L19" s="43" t="s">
        <v>397</v>
      </c>
      <c r="M19" s="43"/>
      <c r="N19" s="43"/>
    </row>
    <row r="20" spans="5:14" x14ac:dyDescent="0.15">
      <c r="E20" s="3" t="s">
        <v>393</v>
      </c>
      <c r="F20" s="4" t="s">
        <v>362</v>
      </c>
      <c r="G20" s="4" t="s">
        <v>392</v>
      </c>
      <c r="H20" s="4"/>
      <c r="I20" s="5" t="str">
        <f t="shared" ref="I20:I30" si="3">IFERROR(VLOOKUP(F20,$E$3:$F$14,2,FALSE),"")</f>
        <v>攻击</v>
      </c>
      <c r="J20" s="5" t="str">
        <f t="shared" ref="J20:J30" si="4">IFERROR(VLOOKUP(G20,$E$3:$F$14,2,FALSE),"")</f>
        <v>防御</v>
      </c>
      <c r="K20" s="5" t="str">
        <f t="shared" ref="K20:K30" si="5">IFERROR(VLOOKUP(H20,$E$3:$F$14,2,FALSE),"")</f>
        <v/>
      </c>
      <c r="L20" s="43" t="s">
        <v>397</v>
      </c>
      <c r="M20" s="43"/>
      <c r="N20" s="43"/>
    </row>
    <row r="21" spans="5:14" x14ac:dyDescent="0.15">
      <c r="E21" s="3" t="s">
        <v>365</v>
      </c>
      <c r="F21" s="4" t="s">
        <v>366</v>
      </c>
      <c r="G21" s="4" t="s">
        <v>367</v>
      </c>
      <c r="H21" s="4"/>
      <c r="I21" s="5" t="str">
        <f t="shared" si="3"/>
        <v>攻击</v>
      </c>
      <c r="J21" s="5" t="str">
        <f t="shared" si="4"/>
        <v>攻击</v>
      </c>
      <c r="K21" s="5" t="str">
        <f t="shared" si="5"/>
        <v/>
      </c>
      <c r="L21" s="43" t="s">
        <v>397</v>
      </c>
      <c r="M21" s="43"/>
      <c r="N21" s="43"/>
    </row>
    <row r="22" spans="5:14" x14ac:dyDescent="0.15">
      <c r="E22" s="3" t="s">
        <v>368</v>
      </c>
      <c r="F22" s="4" t="s">
        <v>369</v>
      </c>
      <c r="G22" s="4" t="s">
        <v>364</v>
      </c>
      <c r="H22" s="4"/>
      <c r="I22" s="5" t="str">
        <f t="shared" si="3"/>
        <v>攻击</v>
      </c>
      <c r="J22" s="5" t="str">
        <f t="shared" si="4"/>
        <v>辅助</v>
      </c>
      <c r="K22" s="5" t="str">
        <f t="shared" si="5"/>
        <v/>
      </c>
      <c r="L22" s="43" t="s">
        <v>398</v>
      </c>
      <c r="M22" s="43"/>
      <c r="N22" s="43"/>
    </row>
    <row r="23" spans="5:14" x14ac:dyDescent="0.15">
      <c r="E23" s="3" t="s">
        <v>384</v>
      </c>
      <c r="F23" s="4" t="s">
        <v>367</v>
      </c>
      <c r="G23" s="4" t="s">
        <v>377</v>
      </c>
      <c r="H23" s="4"/>
      <c r="I23" s="5" t="str">
        <f t="shared" si="3"/>
        <v>攻击</v>
      </c>
      <c r="J23" s="5" t="str">
        <f t="shared" si="4"/>
        <v>防御</v>
      </c>
      <c r="K23" s="5" t="str">
        <f t="shared" si="5"/>
        <v/>
      </c>
      <c r="L23" s="43" t="s">
        <v>424</v>
      </c>
      <c r="M23" s="43"/>
      <c r="N23" s="43"/>
    </row>
    <row r="24" spans="5:14" x14ac:dyDescent="0.15">
      <c r="E24" s="3" t="s">
        <v>386</v>
      </c>
      <c r="F24" s="4" t="s">
        <v>385</v>
      </c>
      <c r="G24" s="4" t="s">
        <v>372</v>
      </c>
      <c r="H24" s="4"/>
      <c r="I24" s="5" t="str">
        <f t="shared" si="3"/>
        <v>攻击</v>
      </c>
      <c r="J24" s="5" t="str">
        <f t="shared" si="4"/>
        <v>辅助</v>
      </c>
      <c r="K24" s="5" t="str">
        <f t="shared" si="5"/>
        <v/>
      </c>
      <c r="L24" s="43" t="s">
        <v>424</v>
      </c>
      <c r="M24" s="43"/>
      <c r="N24" s="43"/>
    </row>
    <row r="25" spans="5:14" x14ac:dyDescent="0.15">
      <c r="E25" s="3" t="s">
        <v>394</v>
      </c>
      <c r="F25" s="4" t="s">
        <v>385</v>
      </c>
      <c r="G25" s="4" t="s">
        <v>380</v>
      </c>
      <c r="H25" s="4"/>
      <c r="I25" s="5" t="str">
        <f t="shared" si="3"/>
        <v>攻击</v>
      </c>
      <c r="J25" s="5" t="str">
        <f t="shared" si="4"/>
        <v>辅助</v>
      </c>
      <c r="K25" s="5" t="str">
        <f t="shared" si="5"/>
        <v/>
      </c>
      <c r="L25" s="43" t="s">
        <v>424</v>
      </c>
      <c r="M25" s="43"/>
      <c r="N25" s="43"/>
    </row>
    <row r="26" spans="5:14" x14ac:dyDescent="0.15">
      <c r="E26" s="3" t="s">
        <v>387</v>
      </c>
      <c r="F26" s="4" t="s">
        <v>383</v>
      </c>
      <c r="G26" s="4" t="s">
        <v>382</v>
      </c>
      <c r="H26" s="4"/>
      <c r="I26" s="5" t="str">
        <f t="shared" si="3"/>
        <v>防御</v>
      </c>
      <c r="J26" s="5" t="str">
        <f t="shared" si="4"/>
        <v>辅助</v>
      </c>
      <c r="K26" s="5" t="str">
        <f t="shared" si="5"/>
        <v/>
      </c>
      <c r="L26" s="43" t="s">
        <v>423</v>
      </c>
      <c r="M26" s="43"/>
      <c r="N26" s="43"/>
    </row>
    <row r="27" spans="5:14" x14ac:dyDescent="0.15">
      <c r="E27" s="3" t="s">
        <v>388</v>
      </c>
      <c r="F27" s="4" t="s">
        <v>383</v>
      </c>
      <c r="G27" s="4" t="s">
        <v>380</v>
      </c>
      <c r="H27" s="4"/>
      <c r="I27" s="5" t="str">
        <f t="shared" si="3"/>
        <v>防御</v>
      </c>
      <c r="J27" s="5" t="str">
        <f t="shared" si="4"/>
        <v>辅助</v>
      </c>
      <c r="K27" s="5" t="str">
        <f t="shared" si="5"/>
        <v/>
      </c>
      <c r="L27" s="43" t="s">
        <v>425</v>
      </c>
      <c r="M27" s="43"/>
      <c r="N27" s="43"/>
    </row>
    <row r="28" spans="5:14" x14ac:dyDescent="0.15">
      <c r="E28" s="3" t="s">
        <v>389</v>
      </c>
      <c r="F28" s="4" t="s">
        <v>376</v>
      </c>
      <c r="G28" s="4" t="s">
        <v>364</v>
      </c>
      <c r="H28" s="4"/>
      <c r="I28" s="5" t="str">
        <f t="shared" si="3"/>
        <v>攻击</v>
      </c>
      <c r="J28" s="5" t="str">
        <f t="shared" si="4"/>
        <v>辅助</v>
      </c>
      <c r="K28" s="5" t="str">
        <f t="shared" si="5"/>
        <v/>
      </c>
      <c r="L28" s="43" t="s">
        <v>424</v>
      </c>
      <c r="M28" s="43"/>
      <c r="N28" s="43"/>
    </row>
    <row r="29" spans="5:14" x14ac:dyDescent="0.15">
      <c r="E29" s="3" t="s">
        <v>378</v>
      </c>
      <c r="F29" s="4" t="s">
        <v>379</v>
      </c>
      <c r="G29" s="4" t="s">
        <v>373</v>
      </c>
      <c r="H29" s="4"/>
      <c r="I29" s="5" t="str">
        <f t="shared" si="3"/>
        <v>辅助</v>
      </c>
      <c r="J29" s="5" t="str">
        <f t="shared" si="4"/>
        <v>辅助</v>
      </c>
      <c r="K29" s="5" t="str">
        <f t="shared" si="5"/>
        <v/>
      </c>
      <c r="L29" s="43" t="s">
        <v>424</v>
      </c>
      <c r="M29" s="43"/>
      <c r="N29" s="43"/>
    </row>
    <row r="30" spans="5:14" x14ac:dyDescent="0.15">
      <c r="E30" s="3" t="s">
        <v>395</v>
      </c>
      <c r="F30" s="4" t="s">
        <v>379</v>
      </c>
      <c r="G30" s="4" t="s">
        <v>372</v>
      </c>
      <c r="H30" s="4"/>
      <c r="I30" s="5" t="str">
        <f t="shared" si="3"/>
        <v>辅助</v>
      </c>
      <c r="J30" s="5" t="str">
        <f t="shared" si="4"/>
        <v>辅助</v>
      </c>
      <c r="K30" s="5" t="str">
        <f t="shared" si="5"/>
        <v/>
      </c>
      <c r="L30" s="43" t="s">
        <v>425</v>
      </c>
      <c r="M30" s="43"/>
      <c r="N30" s="43"/>
    </row>
    <row r="31" spans="5:14" x14ac:dyDescent="0.15">
      <c r="E31" s="48" t="s">
        <v>363</v>
      </c>
      <c r="F31" s="48" t="s">
        <v>316</v>
      </c>
      <c r="G31" s="48" t="s">
        <v>326</v>
      </c>
      <c r="H31" s="48" t="s">
        <v>364</v>
      </c>
      <c r="I31" s="48" t="str">
        <f t="shared" ref="I31:K34" si="6">IFERROR(VLOOKUP(F31,$E$3:$F$14,2,FALSE),"")</f>
        <v>攻击</v>
      </c>
      <c r="J31" s="48" t="str">
        <f t="shared" si="6"/>
        <v>攻击</v>
      </c>
      <c r="K31" s="48" t="str">
        <f t="shared" si="6"/>
        <v>辅助</v>
      </c>
      <c r="L31" s="48" t="s">
        <v>398</v>
      </c>
      <c r="M31" s="48" t="s">
        <v>426</v>
      </c>
      <c r="N31" s="48"/>
    </row>
    <row r="32" spans="5:14" x14ac:dyDescent="0.15">
      <c r="E32" s="48" t="s">
        <v>370</v>
      </c>
      <c r="F32" s="48" t="s">
        <v>371</v>
      </c>
      <c r="G32" s="48" t="s">
        <v>383</v>
      </c>
      <c r="H32" s="48" t="s">
        <v>372</v>
      </c>
      <c r="I32" s="48" t="str">
        <f t="shared" si="6"/>
        <v>攻击</v>
      </c>
      <c r="J32" s="48" t="str">
        <f t="shared" si="6"/>
        <v>防御</v>
      </c>
      <c r="K32" s="48" t="str">
        <f t="shared" si="6"/>
        <v>辅助</v>
      </c>
      <c r="L32" s="48" t="s">
        <v>398</v>
      </c>
      <c r="M32" s="48" t="s">
        <v>428</v>
      </c>
      <c r="N32" s="48"/>
    </row>
    <row r="33" spans="5:14" x14ac:dyDescent="0.15">
      <c r="E33" s="48" t="s">
        <v>381</v>
      </c>
      <c r="F33" s="48" t="s">
        <v>367</v>
      </c>
      <c r="G33" s="48" t="s">
        <v>379</v>
      </c>
      <c r="H33" s="48" t="s">
        <v>380</v>
      </c>
      <c r="I33" s="48" t="str">
        <f t="shared" si="6"/>
        <v>攻击</v>
      </c>
      <c r="J33" s="48" t="str">
        <f t="shared" si="6"/>
        <v>辅助</v>
      </c>
      <c r="K33" s="48" t="str">
        <f t="shared" si="6"/>
        <v>辅助</v>
      </c>
      <c r="L33" s="48" t="s">
        <v>423</v>
      </c>
      <c r="M33" s="48" t="s">
        <v>426</v>
      </c>
      <c r="N33" s="48"/>
    </row>
    <row r="34" spans="5:14" x14ac:dyDescent="0.15">
      <c r="E34" s="48" t="s">
        <v>375</v>
      </c>
      <c r="F34" s="48" t="s">
        <v>376</v>
      </c>
      <c r="G34" s="48" t="s">
        <v>377</v>
      </c>
      <c r="H34" s="48" t="s">
        <v>373</v>
      </c>
      <c r="I34" s="48" t="str">
        <f t="shared" si="6"/>
        <v>攻击</v>
      </c>
      <c r="J34" s="48" t="str">
        <f t="shared" si="6"/>
        <v>防御</v>
      </c>
      <c r="K34" s="48" t="str">
        <f t="shared" si="6"/>
        <v>辅助</v>
      </c>
      <c r="L34" s="48" t="s">
        <v>398</v>
      </c>
      <c r="M34" s="48" t="s">
        <v>428</v>
      </c>
      <c r="N34" s="48"/>
    </row>
    <row r="36" spans="5:14" x14ac:dyDescent="0.15">
      <c r="E36" s="3" t="s">
        <v>400</v>
      </c>
      <c r="F36" s="3" t="s">
        <v>401</v>
      </c>
      <c r="G36" s="3" t="s">
        <v>402</v>
      </c>
      <c r="H36" s="3" t="s">
        <v>403</v>
      </c>
      <c r="I36" s="3" t="s">
        <v>404</v>
      </c>
      <c r="J36" s="115" t="s">
        <v>405</v>
      </c>
      <c r="K36" s="116"/>
      <c r="L36" s="117"/>
    </row>
    <row r="37" spans="5:14" x14ac:dyDescent="0.15">
      <c r="E37" s="97" t="s">
        <v>411</v>
      </c>
      <c r="F37" s="3" t="s">
        <v>430</v>
      </c>
      <c r="G37" s="3" t="s">
        <v>406</v>
      </c>
      <c r="H37" s="3" t="s">
        <v>407</v>
      </c>
      <c r="I37" s="3"/>
      <c r="J37" s="3" t="s">
        <v>397</v>
      </c>
      <c r="K37" s="3" t="s">
        <v>397</v>
      </c>
      <c r="L37" s="3" t="s">
        <v>427</v>
      </c>
    </row>
    <row r="38" spans="5:14" x14ac:dyDescent="0.15">
      <c r="E38" s="97" t="s">
        <v>412</v>
      </c>
      <c r="F38" s="3" t="s">
        <v>365</v>
      </c>
      <c r="G38" s="3" t="s">
        <v>408</v>
      </c>
      <c r="H38" s="3" t="s">
        <v>409</v>
      </c>
      <c r="I38" s="3"/>
      <c r="J38" s="3" t="s">
        <v>397</v>
      </c>
      <c r="K38" s="3" t="s">
        <v>398</v>
      </c>
      <c r="L38" s="3" t="s">
        <v>429</v>
      </c>
    </row>
    <row r="39" spans="5:14" x14ac:dyDescent="0.15">
      <c r="E39" s="97" t="s">
        <v>413</v>
      </c>
      <c r="F39" s="3" t="s">
        <v>365</v>
      </c>
      <c r="G39" s="3" t="s">
        <v>384</v>
      </c>
      <c r="H39" s="3" t="s">
        <v>381</v>
      </c>
      <c r="I39" s="3"/>
      <c r="J39" s="3" t="s">
        <v>397</v>
      </c>
      <c r="K39" s="3" t="s">
        <v>397</v>
      </c>
      <c r="L39" s="3" t="s">
        <v>427</v>
      </c>
    </row>
    <row r="40" spans="5:14" x14ac:dyDescent="0.15">
      <c r="E40" s="97" t="s">
        <v>414</v>
      </c>
      <c r="F40" s="3" t="s">
        <v>386</v>
      </c>
      <c r="G40" s="3" t="s">
        <v>394</v>
      </c>
      <c r="H40" s="3" t="s">
        <v>407</v>
      </c>
      <c r="I40" s="3"/>
      <c r="J40" s="3" t="s">
        <v>397</v>
      </c>
      <c r="K40" s="3" t="s">
        <v>397</v>
      </c>
      <c r="L40" s="3" t="s">
        <v>427</v>
      </c>
    </row>
    <row r="41" spans="5:14" x14ac:dyDescent="0.15">
      <c r="E41" s="97" t="s">
        <v>415</v>
      </c>
      <c r="F41" s="3" t="s">
        <v>410</v>
      </c>
      <c r="G41" s="3" t="s">
        <v>389</v>
      </c>
      <c r="H41" s="3" t="s">
        <v>375</v>
      </c>
      <c r="I41" s="3"/>
      <c r="J41" s="3" t="s">
        <v>397</v>
      </c>
      <c r="K41" s="3" t="s">
        <v>397</v>
      </c>
      <c r="L41" s="3" t="s">
        <v>429</v>
      </c>
    </row>
    <row r="42" spans="5:14" x14ac:dyDescent="0.15">
      <c r="E42" s="99" t="s">
        <v>416</v>
      </c>
      <c r="F42" s="3" t="s">
        <v>406</v>
      </c>
      <c r="G42" s="3" t="s">
        <v>384</v>
      </c>
      <c r="H42" s="3" t="s">
        <v>375</v>
      </c>
      <c r="I42" s="3"/>
      <c r="J42" s="3" t="s">
        <v>397</v>
      </c>
      <c r="K42" s="3" t="s">
        <v>397</v>
      </c>
      <c r="L42" s="3" t="s">
        <v>429</v>
      </c>
    </row>
    <row r="43" spans="5:14" x14ac:dyDescent="0.15">
      <c r="E43" s="99" t="s">
        <v>417</v>
      </c>
      <c r="F43" s="3" t="s">
        <v>387</v>
      </c>
      <c r="G43" s="3" t="s">
        <v>388</v>
      </c>
      <c r="H43" s="3" t="s">
        <v>409</v>
      </c>
      <c r="I43" s="3"/>
      <c r="J43" s="3" t="s">
        <v>398</v>
      </c>
      <c r="K43" s="3" t="s">
        <v>399</v>
      </c>
      <c r="L43" s="3" t="s">
        <v>429</v>
      </c>
    </row>
    <row r="44" spans="5:14" x14ac:dyDescent="0.15">
      <c r="E44" s="101" t="s">
        <v>418</v>
      </c>
      <c r="F44" s="3" t="s">
        <v>394</v>
      </c>
      <c r="G44" s="3" t="s">
        <v>388</v>
      </c>
      <c r="H44" s="3" t="s">
        <v>381</v>
      </c>
      <c r="I44" s="3"/>
      <c r="J44" s="3" t="s">
        <v>397</v>
      </c>
      <c r="K44" s="3" t="s">
        <v>399</v>
      </c>
      <c r="L44" s="3" t="s">
        <v>427</v>
      </c>
    </row>
    <row r="45" spans="5:14" x14ac:dyDescent="0.15">
      <c r="E45" s="101" t="s">
        <v>419</v>
      </c>
      <c r="F45" s="3" t="s">
        <v>408</v>
      </c>
      <c r="G45" s="3" t="s">
        <v>389</v>
      </c>
      <c r="H45" s="3" t="s">
        <v>407</v>
      </c>
      <c r="I45" s="3"/>
      <c r="J45" s="3" t="s">
        <v>398</v>
      </c>
      <c r="K45" s="3" t="s">
        <v>397</v>
      </c>
      <c r="L45" s="3" t="s">
        <v>427</v>
      </c>
    </row>
    <row r="46" spans="5:14" x14ac:dyDescent="0.15">
      <c r="E46" s="101" t="s">
        <v>420</v>
      </c>
      <c r="F46" s="3" t="s">
        <v>378</v>
      </c>
      <c r="G46" s="3" t="s">
        <v>395</v>
      </c>
      <c r="H46" s="3" t="s">
        <v>381</v>
      </c>
      <c r="I46" s="3"/>
      <c r="J46" s="3" t="s">
        <v>397</v>
      </c>
      <c r="K46" s="3" t="s">
        <v>399</v>
      </c>
      <c r="L46" s="3" t="s">
        <v>427</v>
      </c>
    </row>
    <row r="47" spans="5:14" x14ac:dyDescent="0.15">
      <c r="E47" s="101" t="s">
        <v>421</v>
      </c>
      <c r="F47" s="3" t="s">
        <v>386</v>
      </c>
      <c r="G47" s="3" t="s">
        <v>395</v>
      </c>
      <c r="H47" s="3" t="s">
        <v>409</v>
      </c>
      <c r="I47" s="3"/>
      <c r="J47" s="3" t="s">
        <v>397</v>
      </c>
      <c r="K47" s="3" t="s">
        <v>399</v>
      </c>
      <c r="L47" s="3" t="s">
        <v>429</v>
      </c>
    </row>
    <row r="48" spans="5:14" ht="14.25" thickBot="1" x14ac:dyDescent="0.2">
      <c r="E48" s="103" t="s">
        <v>422</v>
      </c>
      <c r="F48" s="3" t="s">
        <v>387</v>
      </c>
      <c r="G48" s="3" t="s">
        <v>378</v>
      </c>
      <c r="H48" s="3" t="s">
        <v>375</v>
      </c>
      <c r="I48" s="3"/>
      <c r="J48" s="3" t="s">
        <v>398</v>
      </c>
      <c r="K48" s="3" t="s">
        <v>397</v>
      </c>
      <c r="L48" s="3" t="s">
        <v>429</v>
      </c>
    </row>
  </sheetData>
  <mergeCells count="6">
    <mergeCell ref="J36:L36"/>
    <mergeCell ref="G1:K1"/>
    <mergeCell ref="M1:P1"/>
    <mergeCell ref="F17:H17"/>
    <mergeCell ref="I17:K17"/>
    <mergeCell ref="L17:N1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21">
          <controlPr defaultSize="0" autoLine="0" r:id="rId5">
            <anchor moveWithCells="1">
              <from>
                <xdr:col>2</xdr:col>
                <xdr:colOff>514350</xdr:colOff>
                <xdr:row>35</xdr:row>
                <xdr:rowOff>114300</xdr:rowOff>
              </from>
              <to>
                <xdr:col>3</xdr:col>
                <xdr:colOff>552450</xdr:colOff>
                <xdr:row>37</xdr:row>
                <xdr:rowOff>38100</xdr:rowOff>
              </to>
            </anchor>
          </controlPr>
        </control>
      </mc:Choice>
      <mc:Fallback>
        <control shapeId="4097" r:id="rId4" name="CommandButton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40"/>
  <sheetViews>
    <sheetView workbookViewId="0">
      <selection activeCell="H14" sqref="H14"/>
    </sheetView>
  </sheetViews>
  <sheetFormatPr defaultRowHeight="11.25" x14ac:dyDescent="0.15"/>
  <cols>
    <col min="1" max="16384" width="9" style="1"/>
  </cols>
  <sheetData>
    <row r="1" spans="2:18" x14ac:dyDescent="0.15">
      <c r="D1" s="1" t="s">
        <v>296</v>
      </c>
      <c r="E1" s="1">
        <v>2180</v>
      </c>
    </row>
    <row r="2" spans="2:18" x14ac:dyDescent="0.15">
      <c r="B2" s="1" t="s">
        <v>295</v>
      </c>
    </row>
    <row r="3" spans="2:18" x14ac:dyDescent="0.15">
      <c r="H3" s="1" t="s">
        <v>299</v>
      </c>
      <c r="P3" s="1" t="s">
        <v>300</v>
      </c>
    </row>
    <row r="4" spans="2:18" x14ac:dyDescent="0.15">
      <c r="E4" s="1" t="s">
        <v>297</v>
      </c>
      <c r="F4" s="1" t="s">
        <v>298</v>
      </c>
      <c r="H4" s="1" t="s">
        <v>297</v>
      </c>
      <c r="I4" s="1" t="s">
        <v>298</v>
      </c>
      <c r="P4" s="1" t="s">
        <v>301</v>
      </c>
    </row>
    <row r="5" spans="2:18" x14ac:dyDescent="0.15">
      <c r="D5" s="1">
        <v>1</v>
      </c>
      <c r="E5" s="1">
        <v>1600</v>
      </c>
      <c r="F5" s="1">
        <v>250</v>
      </c>
      <c r="G5" s="1">
        <v>0</v>
      </c>
      <c r="H5" s="1">
        <v>1500</v>
      </c>
      <c r="I5" s="1">
        <v>260</v>
      </c>
      <c r="J5" s="1" t="e">
        <f t="shared" ref="J5:J13" si="0">H5-H4</f>
        <v>#VALUE!</v>
      </c>
      <c r="O5" s="1">
        <v>0</v>
      </c>
      <c r="P5" s="1">
        <v>110</v>
      </c>
    </row>
    <row r="6" spans="2:18" x14ac:dyDescent="0.15">
      <c r="D6" s="1">
        <v>2</v>
      </c>
      <c r="E6" s="1">
        <v>1652</v>
      </c>
      <c r="F6" s="1">
        <v>274</v>
      </c>
      <c r="G6" s="1">
        <v>1</v>
      </c>
      <c r="H6" s="1">
        <v>1580</v>
      </c>
      <c r="I6" s="1">
        <v>280</v>
      </c>
      <c r="J6" s="1">
        <f t="shared" si="0"/>
        <v>80</v>
      </c>
      <c r="O6" s="1">
        <v>1</v>
      </c>
    </row>
    <row r="7" spans="2:18" x14ac:dyDescent="0.15">
      <c r="D7" s="1">
        <v>3</v>
      </c>
      <c r="E7" s="1">
        <v>1704</v>
      </c>
      <c r="F7" s="1">
        <v>298</v>
      </c>
      <c r="G7" s="1">
        <v>2</v>
      </c>
      <c r="H7" s="1">
        <v>1660</v>
      </c>
      <c r="I7" s="1">
        <v>300</v>
      </c>
      <c r="J7" s="1">
        <f t="shared" si="0"/>
        <v>80</v>
      </c>
      <c r="O7" s="1">
        <v>2</v>
      </c>
      <c r="R7" s="1">
        <f>1500/80</f>
        <v>18.75</v>
      </c>
    </row>
    <row r="8" spans="2:18" x14ac:dyDescent="0.15">
      <c r="D8" s="1">
        <v>4</v>
      </c>
      <c r="E8" s="1">
        <v>1756</v>
      </c>
      <c r="F8" s="1">
        <v>322</v>
      </c>
      <c r="G8" s="1">
        <v>3</v>
      </c>
      <c r="H8" s="1">
        <v>1740</v>
      </c>
      <c r="I8" s="1">
        <v>320</v>
      </c>
      <c r="J8" s="1">
        <f t="shared" si="0"/>
        <v>80</v>
      </c>
      <c r="O8" s="1">
        <v>3</v>
      </c>
      <c r="P8" s="1">
        <v>140</v>
      </c>
    </row>
    <row r="9" spans="2:18" x14ac:dyDescent="0.15">
      <c r="D9" s="1">
        <v>5</v>
      </c>
      <c r="E9" s="1">
        <v>1808</v>
      </c>
      <c r="F9" s="1">
        <v>346</v>
      </c>
      <c r="G9" s="1">
        <v>4</v>
      </c>
      <c r="H9" s="1">
        <v>1820</v>
      </c>
      <c r="I9" s="1">
        <v>340</v>
      </c>
      <c r="J9" s="1">
        <f t="shared" si="0"/>
        <v>80</v>
      </c>
      <c r="O9" s="1">
        <v>4</v>
      </c>
    </row>
    <row r="10" spans="2:18" x14ac:dyDescent="0.15">
      <c r="D10" s="1">
        <v>6</v>
      </c>
      <c r="E10" s="1">
        <v>1860</v>
      </c>
      <c r="F10" s="1">
        <v>370</v>
      </c>
      <c r="G10" s="1">
        <v>5</v>
      </c>
      <c r="H10" s="1">
        <v>1900</v>
      </c>
      <c r="I10" s="1">
        <v>360</v>
      </c>
      <c r="J10" s="1">
        <f t="shared" si="0"/>
        <v>80</v>
      </c>
      <c r="O10" s="1">
        <v>5</v>
      </c>
    </row>
    <row r="11" spans="2:18" x14ac:dyDescent="0.15">
      <c r="D11" s="1">
        <v>7</v>
      </c>
      <c r="E11" s="1">
        <v>1912</v>
      </c>
      <c r="F11" s="1">
        <v>394</v>
      </c>
      <c r="G11" s="1">
        <v>6</v>
      </c>
      <c r="H11" s="1">
        <v>1980</v>
      </c>
      <c r="I11" s="1">
        <v>380</v>
      </c>
      <c r="J11" s="1">
        <f t="shared" si="0"/>
        <v>80</v>
      </c>
      <c r="O11" s="1">
        <v>6</v>
      </c>
      <c r="P11" s="1">
        <v>170</v>
      </c>
    </row>
    <row r="12" spans="2:18" x14ac:dyDescent="0.15">
      <c r="G12" s="1">
        <v>7</v>
      </c>
      <c r="H12" s="1">
        <v>2060</v>
      </c>
      <c r="I12" s="1">
        <v>400</v>
      </c>
      <c r="J12" s="1">
        <f t="shared" si="0"/>
        <v>80</v>
      </c>
      <c r="O12" s="1">
        <v>7</v>
      </c>
    </row>
    <row r="13" spans="2:18" x14ac:dyDescent="0.15">
      <c r="G13" s="1">
        <v>8</v>
      </c>
      <c r="H13" s="1">
        <v>2140</v>
      </c>
      <c r="I13" s="1">
        <v>420</v>
      </c>
      <c r="J13" s="1">
        <f t="shared" si="0"/>
        <v>80</v>
      </c>
      <c r="O13" s="1">
        <v>8</v>
      </c>
    </row>
    <row r="14" spans="2:18" x14ac:dyDescent="0.15">
      <c r="G14" s="1">
        <v>9</v>
      </c>
      <c r="H14" s="1">
        <v>2220</v>
      </c>
      <c r="I14" s="1">
        <v>440</v>
      </c>
      <c r="J14" s="1">
        <f>H14-H13</f>
        <v>80</v>
      </c>
      <c r="M14" s="1">
        <v>2540</v>
      </c>
      <c r="N14" s="1">
        <v>726</v>
      </c>
      <c r="O14" s="1">
        <v>9</v>
      </c>
      <c r="P14" s="1">
        <v>200</v>
      </c>
    </row>
    <row r="15" spans="2:18" x14ac:dyDescent="0.15">
      <c r="F15" s="1">
        <f>H15/H14</f>
        <v>1.1441441441441442</v>
      </c>
      <c r="G15" s="1">
        <v>10</v>
      </c>
      <c r="H15" s="81">
        <v>2540</v>
      </c>
      <c r="I15" s="81">
        <v>726</v>
      </c>
      <c r="O15" s="1">
        <v>10</v>
      </c>
    </row>
    <row r="16" spans="2:18" x14ac:dyDescent="0.15">
      <c r="G16" s="1">
        <v>11</v>
      </c>
      <c r="H16" s="1">
        <v>2660</v>
      </c>
      <c r="I16" s="1">
        <v>759</v>
      </c>
      <c r="J16" s="1">
        <f>H16-H15</f>
        <v>120</v>
      </c>
      <c r="O16" s="1">
        <v>11</v>
      </c>
      <c r="P16" s="1">
        <v>220</v>
      </c>
    </row>
    <row r="17" spans="6:16" x14ac:dyDescent="0.15">
      <c r="G17" s="1">
        <v>12</v>
      </c>
      <c r="H17" s="1">
        <v>2780</v>
      </c>
      <c r="I17" s="1">
        <v>792</v>
      </c>
      <c r="J17" s="1">
        <f t="shared" ref="J17:J19" si="1">H17-H16</f>
        <v>120</v>
      </c>
      <c r="O17" s="1">
        <v>12</v>
      </c>
    </row>
    <row r="18" spans="6:16" x14ac:dyDescent="0.15">
      <c r="G18" s="1">
        <v>13</v>
      </c>
      <c r="H18" s="1">
        <v>2900</v>
      </c>
      <c r="I18" s="1">
        <v>825</v>
      </c>
      <c r="J18" s="1">
        <f t="shared" si="1"/>
        <v>120</v>
      </c>
      <c r="K18" s="1">
        <f>J18/H18</f>
        <v>4.1379310344827586E-2</v>
      </c>
      <c r="O18" s="1">
        <v>13</v>
      </c>
      <c r="P18" s="1">
        <v>240</v>
      </c>
    </row>
    <row r="19" spans="6:16" x14ac:dyDescent="0.15">
      <c r="G19" s="1">
        <v>14</v>
      </c>
      <c r="H19" s="1">
        <v>3020</v>
      </c>
      <c r="I19" s="1">
        <v>858</v>
      </c>
      <c r="J19" s="1">
        <f t="shared" si="1"/>
        <v>120</v>
      </c>
      <c r="M19" s="1">
        <v>3500</v>
      </c>
      <c r="N19" s="1">
        <v>1326</v>
      </c>
      <c r="O19" s="1">
        <v>14</v>
      </c>
    </row>
    <row r="20" spans="6:16" x14ac:dyDescent="0.15">
      <c r="F20" s="1">
        <f>H20/H19</f>
        <v>1.1589403973509933</v>
      </c>
      <c r="G20" s="1">
        <v>15</v>
      </c>
      <c r="H20" s="81">
        <v>3500</v>
      </c>
      <c r="I20" s="81">
        <v>1326</v>
      </c>
      <c r="O20" s="1">
        <v>15</v>
      </c>
      <c r="P20" s="1">
        <v>260</v>
      </c>
    </row>
    <row r="21" spans="6:16" x14ac:dyDescent="0.15">
      <c r="G21" s="1">
        <v>16</v>
      </c>
      <c r="H21" s="1">
        <v>3660</v>
      </c>
      <c r="I21" s="1">
        <v>1372</v>
      </c>
      <c r="J21" s="1">
        <f>H21-H20</f>
        <v>160</v>
      </c>
      <c r="O21" s="1">
        <v>16</v>
      </c>
    </row>
    <row r="22" spans="6:16" x14ac:dyDescent="0.15">
      <c r="G22" s="1">
        <v>17</v>
      </c>
      <c r="H22" s="1">
        <v>3820</v>
      </c>
      <c r="I22" s="1">
        <v>1418</v>
      </c>
      <c r="J22" s="1">
        <f t="shared" ref="J22:J24" si="2">H22-H21</f>
        <v>160</v>
      </c>
      <c r="O22" s="1">
        <v>17</v>
      </c>
    </row>
    <row r="23" spans="6:16" x14ac:dyDescent="0.15">
      <c r="G23" s="1">
        <v>18</v>
      </c>
      <c r="H23" s="1">
        <v>3980</v>
      </c>
      <c r="I23" s="1">
        <v>1464</v>
      </c>
      <c r="J23" s="1">
        <f t="shared" si="2"/>
        <v>160</v>
      </c>
      <c r="K23" s="1">
        <f>J23/H23</f>
        <v>4.0201005025125629E-2</v>
      </c>
      <c r="O23" s="1">
        <v>18</v>
      </c>
    </row>
    <row r="24" spans="6:16" x14ac:dyDescent="0.15">
      <c r="G24" s="1">
        <v>19</v>
      </c>
      <c r="H24" s="1">
        <v>4140</v>
      </c>
      <c r="I24" s="1">
        <v>1510</v>
      </c>
      <c r="J24" s="1">
        <f t="shared" si="2"/>
        <v>160</v>
      </c>
      <c r="O24" s="1">
        <v>19</v>
      </c>
    </row>
    <row r="25" spans="6:16" x14ac:dyDescent="0.15">
      <c r="F25" s="1">
        <f>H25/H24</f>
        <v>1.1545893719806763</v>
      </c>
      <c r="G25" s="1">
        <v>20</v>
      </c>
      <c r="H25" s="81">
        <v>4780</v>
      </c>
      <c r="I25" s="81">
        <v>2212</v>
      </c>
      <c r="O25" s="1">
        <v>20</v>
      </c>
    </row>
    <row r="26" spans="6:16" x14ac:dyDescent="0.15">
      <c r="G26" s="1">
        <v>21</v>
      </c>
      <c r="H26" s="1">
        <v>4980</v>
      </c>
      <c r="I26" s="1">
        <v>2264</v>
      </c>
      <c r="J26" s="1">
        <f>H26-H25</f>
        <v>200</v>
      </c>
      <c r="O26" s="1">
        <v>21</v>
      </c>
    </row>
    <row r="27" spans="6:16" x14ac:dyDescent="0.15">
      <c r="G27" s="1">
        <v>22</v>
      </c>
      <c r="H27" s="1">
        <v>5180</v>
      </c>
      <c r="I27" s="1">
        <v>2316</v>
      </c>
      <c r="J27" s="1">
        <f t="shared" ref="J27:J29" si="3">H27-H26</f>
        <v>200</v>
      </c>
      <c r="O27" s="1">
        <v>22</v>
      </c>
    </row>
    <row r="28" spans="6:16" x14ac:dyDescent="0.15">
      <c r="G28" s="1">
        <v>23</v>
      </c>
      <c r="H28" s="1">
        <v>5380</v>
      </c>
      <c r="I28" s="1">
        <v>2368</v>
      </c>
      <c r="J28" s="1">
        <f t="shared" si="3"/>
        <v>200</v>
      </c>
      <c r="K28" s="1">
        <f>J28/H28</f>
        <v>3.717472118959108E-2</v>
      </c>
      <c r="O28" s="1">
        <v>23</v>
      </c>
    </row>
    <row r="29" spans="6:16" x14ac:dyDescent="0.15">
      <c r="G29" s="1">
        <v>24</v>
      </c>
      <c r="H29" s="1">
        <v>5580</v>
      </c>
      <c r="I29" s="1">
        <v>2420</v>
      </c>
      <c r="J29" s="1">
        <f t="shared" si="3"/>
        <v>200</v>
      </c>
      <c r="M29" s="1">
        <v>6380</v>
      </c>
      <c r="N29" s="1">
        <v>3356</v>
      </c>
    </row>
    <row r="30" spans="6:16" x14ac:dyDescent="0.15">
      <c r="F30" s="1">
        <f>H30/H29</f>
        <v>1.1433691756272402</v>
      </c>
      <c r="G30" s="1">
        <v>25</v>
      </c>
      <c r="H30" s="81">
        <v>6380</v>
      </c>
      <c r="I30" s="81">
        <v>3356</v>
      </c>
    </row>
    <row r="31" spans="6:16" x14ac:dyDescent="0.15">
      <c r="G31" s="1">
        <v>26</v>
      </c>
      <c r="H31" s="1">
        <v>6620</v>
      </c>
      <c r="I31" s="1">
        <v>3418</v>
      </c>
      <c r="J31" s="1">
        <f>H31-H30</f>
        <v>240</v>
      </c>
    </row>
    <row r="32" spans="6:16" x14ac:dyDescent="0.15">
      <c r="G32" s="1">
        <v>27</v>
      </c>
      <c r="H32" s="1">
        <v>6860</v>
      </c>
      <c r="I32" s="1">
        <v>3480</v>
      </c>
      <c r="J32" s="1">
        <f t="shared" ref="J32:J34" si="4">H32-H31</f>
        <v>240</v>
      </c>
    </row>
    <row r="33" spans="7:11" x14ac:dyDescent="0.15">
      <c r="G33" s="1">
        <v>28</v>
      </c>
      <c r="H33" s="1">
        <v>7100</v>
      </c>
      <c r="I33" s="1">
        <v>3542</v>
      </c>
      <c r="J33" s="1">
        <f t="shared" si="4"/>
        <v>240</v>
      </c>
      <c r="K33" s="1">
        <f>J33/H33</f>
        <v>3.3802816901408447E-2</v>
      </c>
    </row>
    <row r="34" spans="7:11" x14ac:dyDescent="0.15">
      <c r="G34" s="1">
        <v>29</v>
      </c>
      <c r="H34" s="1">
        <v>7340</v>
      </c>
      <c r="I34" s="1">
        <v>3604</v>
      </c>
      <c r="J34" s="1">
        <f t="shared" si="4"/>
        <v>240</v>
      </c>
    </row>
    <row r="35" spans="7:11" x14ac:dyDescent="0.15">
      <c r="G35" s="1">
        <v>30</v>
      </c>
    </row>
    <row r="36" spans="7:11" x14ac:dyDescent="0.15">
      <c r="G36" s="1">
        <v>31</v>
      </c>
    </row>
    <row r="37" spans="7:11" x14ac:dyDescent="0.15">
      <c r="G37" s="1">
        <v>32</v>
      </c>
    </row>
    <row r="38" spans="7:11" x14ac:dyDescent="0.15">
      <c r="G38" s="1">
        <v>33</v>
      </c>
    </row>
    <row r="39" spans="7:11" x14ac:dyDescent="0.15">
      <c r="G39" s="1">
        <v>34</v>
      </c>
    </row>
    <row r="40" spans="7:11" x14ac:dyDescent="0.15">
      <c r="G40" s="1">
        <v>35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宠物成长</vt:lpstr>
      <vt:lpstr>宠物天赋</vt:lpstr>
      <vt:lpstr>宠物缘分</vt:lpstr>
      <vt:lpstr>宠物设定</vt:lpstr>
      <vt:lpstr>宠物属性</vt:lpstr>
      <vt:lpstr>宠物属性点预览</vt:lpstr>
      <vt:lpstr>宠物缘分资料</vt:lpstr>
      <vt:lpstr>宠物列表</vt:lpstr>
      <vt:lpstr>太极熊猫宠物数据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Sky123.Org</cp:lastModifiedBy>
  <dcterms:created xsi:type="dcterms:W3CDTF">2016-02-29T09:13:06Z</dcterms:created>
  <dcterms:modified xsi:type="dcterms:W3CDTF">2016-06-02T09:34:48Z</dcterms:modified>
</cp:coreProperties>
</file>