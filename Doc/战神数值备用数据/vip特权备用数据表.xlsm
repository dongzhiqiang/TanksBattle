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GodWar\Doc\战神数值备用数据\"/>
    </mc:Choice>
  </mc:AlternateContent>
  <bookViews>
    <workbookView xWindow="0" yWindow="0" windowWidth="28800" windowHeight="13035" activeTab="2"/>
  </bookViews>
  <sheets>
    <sheet name="充值内容" sheetId="4" r:id="rId1"/>
    <sheet name="vip特权" sheetId="1" r:id="rId2"/>
    <sheet name="vip数据表" sheetId="2" r:id="rId3"/>
    <sheet name="vip配置" sheetId="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6" i="2" l="1"/>
  <c r="H57" i="2"/>
  <c r="H58" i="2"/>
  <c r="H59" i="2"/>
  <c r="H60" i="2"/>
  <c r="H61" i="2"/>
  <c r="H62" i="2"/>
  <c r="H63" i="2"/>
  <c r="H64" i="2"/>
  <c r="H46" i="2"/>
  <c r="H47" i="2"/>
  <c r="H48" i="2"/>
  <c r="H49" i="2"/>
  <c r="H50" i="2"/>
  <c r="H51" i="2"/>
  <c r="H52" i="2"/>
  <c r="H53" i="2"/>
  <c r="H54" i="2"/>
  <c r="H55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46" i="2"/>
  <c r="F56" i="2"/>
  <c r="F57" i="2"/>
  <c r="F58" i="2"/>
  <c r="F59" i="2"/>
  <c r="F60" i="2"/>
  <c r="F61" i="2"/>
  <c r="F62" i="2"/>
  <c r="F63" i="2"/>
  <c r="F64" i="2"/>
  <c r="F47" i="2"/>
  <c r="F48" i="2"/>
  <c r="F49" i="2"/>
  <c r="F50" i="2"/>
  <c r="F51" i="2"/>
  <c r="F52" i="2"/>
  <c r="F53" i="2"/>
  <c r="F54" i="2"/>
  <c r="F55" i="2"/>
  <c r="F46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E47" i="2"/>
  <c r="E48" i="2"/>
  <c r="E49" i="2"/>
  <c r="E69" i="2" s="1"/>
  <c r="E50" i="2"/>
  <c r="E70" i="2" s="1"/>
  <c r="E51" i="2"/>
  <c r="E52" i="2"/>
  <c r="E53" i="2"/>
  <c r="E73" i="2" s="1"/>
  <c r="E54" i="2"/>
  <c r="E74" i="2" s="1"/>
  <c r="E55" i="2"/>
  <c r="E56" i="2"/>
  <c r="E57" i="2"/>
  <c r="E77" i="2" s="1"/>
  <c r="E58" i="2"/>
  <c r="E78" i="2" s="1"/>
  <c r="E59" i="2"/>
  <c r="E60" i="2"/>
  <c r="E61" i="2"/>
  <c r="E81" i="2" s="1"/>
  <c r="E62" i="2"/>
  <c r="E82" i="2" s="1"/>
  <c r="E63" i="2"/>
  <c r="E64" i="2"/>
  <c r="E46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E66" i="2"/>
  <c r="E67" i="2"/>
  <c r="E68" i="2"/>
  <c r="E71" i="2"/>
  <c r="E72" i="2"/>
  <c r="E75" i="2"/>
  <c r="E76" i="2"/>
  <c r="E79" i="2"/>
  <c r="E80" i="2"/>
  <c r="E83" i="2"/>
  <c r="E84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6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46" i="2"/>
  <c r="D57" i="2"/>
  <c r="D58" i="2"/>
  <c r="D59" i="2"/>
  <c r="D60" i="2"/>
  <c r="D61" i="2"/>
  <c r="D62" i="2"/>
  <c r="D63" i="2"/>
  <c r="D64" i="2"/>
  <c r="D47" i="2"/>
  <c r="D48" i="2"/>
  <c r="D49" i="2"/>
  <c r="D50" i="2"/>
  <c r="D51" i="2"/>
  <c r="D52" i="2"/>
  <c r="D53" i="2"/>
  <c r="D54" i="2"/>
  <c r="D55" i="2"/>
  <c r="D56" i="2"/>
  <c r="D46" i="2"/>
  <c r="C27" i="2" l="1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26" i="2"/>
  <c r="F66" i="2" l="1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E27" i="2" l="1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26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27" i="2"/>
  <c r="D40" i="2"/>
  <c r="F40" i="2"/>
  <c r="G40" i="2"/>
  <c r="H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D60" i="2" s="1"/>
  <c r="AE40" i="2"/>
  <c r="AE60" i="2" s="1"/>
  <c r="AF40" i="2"/>
  <c r="AF63" i="2" s="1"/>
  <c r="AG40" i="2"/>
  <c r="D41" i="2"/>
  <c r="F41" i="2"/>
  <c r="G41" i="2"/>
  <c r="H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D42" i="2"/>
  <c r="F42" i="2"/>
  <c r="G42" i="2"/>
  <c r="H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D62" i="2" s="1"/>
  <c r="AE42" i="2"/>
  <c r="AE62" i="2" s="1"/>
  <c r="AF42" i="2"/>
  <c r="AG42" i="2"/>
  <c r="D43" i="2"/>
  <c r="F43" i="2"/>
  <c r="G43" i="2"/>
  <c r="H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D44" i="2"/>
  <c r="F44" i="2"/>
  <c r="G44" i="2"/>
  <c r="H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J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V47" i="2"/>
  <c r="W47" i="2"/>
  <c r="X47" i="2"/>
  <c r="Y47" i="2"/>
  <c r="Z47" i="2"/>
  <c r="AA47" i="2"/>
  <c r="AB47" i="2"/>
  <c r="AC47" i="2"/>
  <c r="AD47" i="2"/>
  <c r="AE47" i="2"/>
  <c r="AF47" i="2"/>
  <c r="AG47" i="2"/>
  <c r="V48" i="2"/>
  <c r="W48" i="2"/>
  <c r="X48" i="2"/>
  <c r="Y48" i="2"/>
  <c r="Z48" i="2"/>
  <c r="AA48" i="2"/>
  <c r="AB48" i="2"/>
  <c r="AC48" i="2"/>
  <c r="AD48" i="2"/>
  <c r="AE48" i="2"/>
  <c r="AF48" i="2"/>
  <c r="AG48" i="2"/>
  <c r="V49" i="2"/>
  <c r="W49" i="2"/>
  <c r="X49" i="2"/>
  <c r="Y49" i="2"/>
  <c r="Z49" i="2"/>
  <c r="AA49" i="2"/>
  <c r="AB49" i="2"/>
  <c r="AC49" i="2"/>
  <c r="AD49" i="2"/>
  <c r="AE49" i="2"/>
  <c r="AF49" i="2"/>
  <c r="AG49" i="2"/>
  <c r="V50" i="2"/>
  <c r="W50" i="2"/>
  <c r="X50" i="2"/>
  <c r="Y50" i="2"/>
  <c r="Z50" i="2"/>
  <c r="AA50" i="2"/>
  <c r="AB50" i="2"/>
  <c r="AC50" i="2"/>
  <c r="AD50" i="2"/>
  <c r="AE50" i="2"/>
  <c r="AF50" i="2"/>
  <c r="AG50" i="2"/>
  <c r="V51" i="2"/>
  <c r="W51" i="2"/>
  <c r="X51" i="2"/>
  <c r="Y51" i="2"/>
  <c r="Z51" i="2"/>
  <c r="AA51" i="2"/>
  <c r="AB51" i="2"/>
  <c r="AC51" i="2"/>
  <c r="AD51" i="2"/>
  <c r="AE51" i="2"/>
  <c r="AF51" i="2"/>
  <c r="AG51" i="2"/>
  <c r="V52" i="2"/>
  <c r="W52" i="2"/>
  <c r="X52" i="2"/>
  <c r="Y52" i="2"/>
  <c r="Z52" i="2"/>
  <c r="AA52" i="2"/>
  <c r="AB52" i="2"/>
  <c r="AC52" i="2"/>
  <c r="AD52" i="2"/>
  <c r="AE52" i="2"/>
  <c r="AF52" i="2"/>
  <c r="AG52" i="2"/>
  <c r="V53" i="2"/>
  <c r="W53" i="2"/>
  <c r="X53" i="2"/>
  <c r="Y53" i="2"/>
  <c r="Z53" i="2"/>
  <c r="AA53" i="2"/>
  <c r="AB53" i="2"/>
  <c r="AC53" i="2"/>
  <c r="AD53" i="2"/>
  <c r="AE53" i="2"/>
  <c r="AF53" i="2"/>
  <c r="AG53" i="2"/>
  <c r="V54" i="2"/>
  <c r="W54" i="2"/>
  <c r="X54" i="2"/>
  <c r="Y54" i="2"/>
  <c r="Z54" i="2"/>
  <c r="AA54" i="2"/>
  <c r="AB54" i="2"/>
  <c r="AC54" i="2"/>
  <c r="AD54" i="2"/>
  <c r="AE54" i="2"/>
  <c r="AF54" i="2"/>
  <c r="AG54" i="2"/>
  <c r="V55" i="2"/>
  <c r="W55" i="2"/>
  <c r="X55" i="2"/>
  <c r="Y55" i="2"/>
  <c r="Z55" i="2"/>
  <c r="AA55" i="2"/>
  <c r="AB55" i="2"/>
  <c r="AC55" i="2"/>
  <c r="AD55" i="2"/>
  <c r="AE55" i="2"/>
  <c r="AF55" i="2"/>
  <c r="AG55" i="2"/>
  <c r="V56" i="2"/>
  <c r="W56" i="2"/>
  <c r="X56" i="2"/>
  <c r="Y56" i="2"/>
  <c r="Z56" i="2"/>
  <c r="AA56" i="2"/>
  <c r="AB56" i="2"/>
  <c r="AC56" i="2"/>
  <c r="AD56" i="2"/>
  <c r="AE56" i="2"/>
  <c r="AF56" i="2"/>
  <c r="AG56" i="2"/>
  <c r="X57" i="2"/>
  <c r="Y57" i="2"/>
  <c r="AB57" i="2"/>
  <c r="AC57" i="2"/>
  <c r="AD57" i="2"/>
  <c r="AE57" i="2"/>
  <c r="AF57" i="2"/>
  <c r="AG57" i="2"/>
  <c r="X58" i="2"/>
  <c r="Y58" i="2"/>
  <c r="AB58" i="2"/>
  <c r="AC58" i="2"/>
  <c r="AD58" i="2"/>
  <c r="AE58" i="2"/>
  <c r="AF58" i="2"/>
  <c r="AG58" i="2"/>
  <c r="X59" i="2"/>
  <c r="Y59" i="2"/>
  <c r="AB59" i="2"/>
  <c r="AC59" i="2"/>
  <c r="AD59" i="2"/>
  <c r="AE59" i="2"/>
  <c r="AF59" i="2"/>
  <c r="AG59" i="2"/>
  <c r="AD61" i="2"/>
  <c r="AE61" i="2"/>
  <c r="X63" i="2"/>
  <c r="AC64" i="2"/>
  <c r="AD64" i="2" l="1"/>
  <c r="AF62" i="2"/>
  <c r="AB62" i="2"/>
  <c r="X62" i="2"/>
  <c r="AG62" i="2"/>
  <c r="AG61" i="2"/>
  <c r="AG60" i="2"/>
  <c r="AC62" i="2"/>
  <c r="AC61" i="2"/>
  <c r="AC60" i="2"/>
  <c r="Y62" i="2"/>
  <c r="Y61" i="2"/>
  <c r="Y60" i="2"/>
  <c r="AC63" i="2"/>
  <c r="AE63" i="2"/>
  <c r="AF61" i="2"/>
  <c r="AB61" i="2"/>
  <c r="X61" i="2"/>
  <c r="AG64" i="2"/>
  <c r="Y64" i="2"/>
  <c r="AB63" i="2"/>
  <c r="AD63" i="2"/>
  <c r="AG63" i="2"/>
  <c r="Y63" i="2"/>
  <c r="AF64" i="2"/>
  <c r="AB64" i="2"/>
  <c r="X64" i="2"/>
  <c r="AF60" i="2"/>
  <c r="AB60" i="2"/>
  <c r="X60" i="2"/>
  <c r="AE64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27" i="2"/>
  <c r="X27" i="2"/>
  <c r="Y27" i="2"/>
  <c r="X28" i="2"/>
  <c r="Y28" i="2"/>
  <c r="X29" i="2"/>
  <c r="Y29" i="2"/>
  <c r="X30" i="2"/>
  <c r="Y30" i="2"/>
  <c r="X31" i="2"/>
  <c r="Y31" i="2"/>
  <c r="X32" i="2"/>
  <c r="Y32" i="2"/>
  <c r="X33" i="2"/>
  <c r="Y33" i="2"/>
  <c r="X34" i="2"/>
  <c r="Y34" i="2"/>
  <c r="X35" i="2"/>
  <c r="Y35" i="2"/>
  <c r="X36" i="2"/>
  <c r="Y36" i="2"/>
  <c r="X37" i="2"/>
  <c r="Y37" i="2"/>
  <c r="X38" i="2"/>
  <c r="Y38" i="2"/>
  <c r="X39" i="2"/>
  <c r="Y39" i="2"/>
  <c r="AF27" i="2" l="1"/>
  <c r="AF28" i="2"/>
  <c r="AF29" i="2"/>
  <c r="AF30" i="2"/>
  <c r="AF31" i="2"/>
  <c r="AF32" i="2"/>
  <c r="AF33" i="2"/>
  <c r="AF34" i="2"/>
  <c r="AF35" i="2"/>
  <c r="AF36" i="2"/>
  <c r="AF37" i="2"/>
  <c r="AF38" i="2"/>
  <c r="AF39" i="2"/>
  <c r="AE36" i="2" l="1"/>
  <c r="AE37" i="2"/>
  <c r="AE38" i="2"/>
  <c r="AE39" i="2"/>
  <c r="AE28" i="2"/>
  <c r="AE29" i="2"/>
  <c r="AE30" i="2"/>
  <c r="AE31" i="2"/>
  <c r="AE32" i="2"/>
  <c r="AE33" i="2"/>
  <c r="AE34" i="2"/>
  <c r="AE35" i="2"/>
  <c r="AE27" i="2"/>
  <c r="S1" i="3" l="1"/>
  <c r="U1" i="3"/>
  <c r="T1" i="3"/>
  <c r="T19" i="3" l="1"/>
  <c r="S19" i="3"/>
  <c r="T18" i="3"/>
  <c r="S18" i="3"/>
  <c r="T17" i="3"/>
  <c r="S17" i="3"/>
  <c r="T16" i="3"/>
  <c r="S16" i="3"/>
  <c r="T15" i="3"/>
  <c r="S15" i="3"/>
  <c r="T14" i="3"/>
  <c r="S14" i="3"/>
  <c r="T13" i="3"/>
  <c r="S13" i="3"/>
  <c r="T12" i="3"/>
  <c r="S12" i="3"/>
  <c r="T11" i="3"/>
  <c r="S11" i="3"/>
  <c r="T10" i="3"/>
  <c r="S10" i="3"/>
  <c r="U9" i="3"/>
  <c r="T9" i="3"/>
  <c r="S9" i="3"/>
  <c r="U8" i="3"/>
  <c r="T8" i="3"/>
  <c r="S8" i="3"/>
  <c r="U7" i="3"/>
  <c r="T7" i="3"/>
  <c r="S7" i="3"/>
  <c r="U6" i="3"/>
  <c r="T6" i="3"/>
  <c r="S6" i="3"/>
  <c r="U5" i="3"/>
  <c r="T5" i="3"/>
  <c r="S5" i="3"/>
  <c r="U4" i="3"/>
  <c r="T4" i="3"/>
  <c r="S4" i="3"/>
  <c r="Z1" i="3"/>
  <c r="Y1" i="3"/>
  <c r="Y10" i="3" s="1"/>
  <c r="V1" i="3"/>
  <c r="V10" i="3" s="1"/>
  <c r="R1" i="3"/>
  <c r="Q1" i="3"/>
  <c r="Q19" i="3" s="1"/>
  <c r="N1" i="3"/>
  <c r="N5" i="3" s="1"/>
  <c r="M1" i="3"/>
  <c r="M4" i="3" s="1"/>
  <c r="K1" i="3"/>
  <c r="K6" i="3" s="1"/>
  <c r="L1" i="3"/>
  <c r="L4" i="3" s="1"/>
  <c r="J1" i="3"/>
  <c r="J9" i="3" s="1"/>
  <c r="C1" i="3"/>
  <c r="D1" i="3"/>
  <c r="E1" i="3"/>
  <c r="E7" i="3" s="1"/>
  <c r="F1" i="3"/>
  <c r="F13" i="3" s="1"/>
  <c r="G1" i="3"/>
  <c r="G4" i="3" s="1"/>
  <c r="H1" i="3"/>
  <c r="H11" i="3" s="1"/>
  <c r="I1" i="3"/>
  <c r="I7" i="3" s="1"/>
  <c r="B1" i="3"/>
  <c r="I14" i="3" l="1"/>
  <c r="E18" i="3"/>
  <c r="I6" i="3"/>
  <c r="E8" i="3"/>
  <c r="N15" i="3"/>
  <c r="F5" i="3"/>
  <c r="L18" i="3"/>
  <c r="I10" i="3"/>
  <c r="Q4" i="3"/>
  <c r="Q5" i="3"/>
  <c r="Q6" i="3"/>
  <c r="Q7" i="3"/>
  <c r="Q8" i="3"/>
  <c r="Q9" i="3"/>
  <c r="Q10" i="3"/>
  <c r="Q17" i="3"/>
  <c r="E4" i="3"/>
  <c r="I17" i="3"/>
  <c r="N9" i="3"/>
  <c r="E14" i="3"/>
  <c r="E9" i="3"/>
  <c r="N19" i="3"/>
  <c r="F17" i="3"/>
  <c r="J13" i="3"/>
  <c r="M8" i="3"/>
  <c r="E13" i="3"/>
  <c r="L19" i="3"/>
  <c r="I16" i="3"/>
  <c r="L11" i="3"/>
  <c r="L7" i="3"/>
  <c r="G14" i="3"/>
  <c r="I13" i="3"/>
  <c r="G11" i="3"/>
  <c r="I8" i="3"/>
  <c r="J7" i="3"/>
  <c r="M5" i="3"/>
  <c r="J4" i="3"/>
  <c r="Q14" i="3"/>
  <c r="I18" i="3"/>
  <c r="E17" i="3"/>
  <c r="E12" i="3"/>
  <c r="E6" i="3"/>
  <c r="J19" i="3"/>
  <c r="L17" i="3"/>
  <c r="N16" i="3"/>
  <c r="L15" i="3"/>
  <c r="N13" i="3"/>
  <c r="N12" i="3"/>
  <c r="F11" i="3"/>
  <c r="L9" i="3"/>
  <c r="G8" i="3"/>
  <c r="F7" i="3"/>
  <c r="L5" i="3"/>
  <c r="I4" i="3"/>
  <c r="Q13" i="3"/>
  <c r="E16" i="3"/>
  <c r="E10" i="3"/>
  <c r="E5" i="3"/>
  <c r="M18" i="3"/>
  <c r="J17" i="3"/>
  <c r="J16" i="3"/>
  <c r="L14" i="3"/>
  <c r="L13" i="3"/>
  <c r="I12" i="3"/>
  <c r="L10" i="3"/>
  <c r="I9" i="3"/>
  <c r="F8" i="3"/>
  <c r="L6" i="3"/>
  <c r="I5" i="3"/>
  <c r="F4" i="3"/>
  <c r="Q12" i="3"/>
  <c r="Q18" i="3"/>
  <c r="R18" i="3"/>
  <c r="R14" i="3"/>
  <c r="R10" i="3"/>
  <c r="R8" i="3"/>
  <c r="R6" i="3"/>
  <c r="R4" i="3"/>
  <c r="R17" i="3"/>
  <c r="R13" i="3"/>
  <c r="R19" i="3"/>
  <c r="R15" i="3"/>
  <c r="R11" i="3"/>
  <c r="Z19" i="3"/>
  <c r="Z15" i="3"/>
  <c r="Z11" i="3"/>
  <c r="Z8" i="3"/>
  <c r="Z6" i="3"/>
  <c r="Z4" i="3"/>
  <c r="Z18" i="3"/>
  <c r="Z14" i="3"/>
  <c r="Z16" i="3"/>
  <c r="Z12" i="3"/>
  <c r="H18" i="3"/>
  <c r="Z9" i="3"/>
  <c r="V19" i="3"/>
  <c r="V15" i="3"/>
  <c r="V11" i="3"/>
  <c r="V8" i="3"/>
  <c r="V6" i="3"/>
  <c r="V4" i="3"/>
  <c r="X1" i="3"/>
  <c r="V18" i="3"/>
  <c r="V14" i="3"/>
  <c r="V16" i="3"/>
  <c r="V12" i="3"/>
  <c r="H19" i="3"/>
  <c r="R7" i="3"/>
  <c r="V7" i="3"/>
  <c r="V9" i="3"/>
  <c r="Y16" i="3"/>
  <c r="Y12" i="3"/>
  <c r="Y19" i="3"/>
  <c r="Y15" i="3"/>
  <c r="Y11" i="3"/>
  <c r="Y17" i="3"/>
  <c r="Y13" i="3"/>
  <c r="K19" i="3"/>
  <c r="F19" i="3"/>
  <c r="M17" i="3"/>
  <c r="H17" i="3"/>
  <c r="K16" i="3"/>
  <c r="F16" i="3"/>
  <c r="J15" i="3"/>
  <c r="M14" i="3"/>
  <c r="H14" i="3"/>
  <c r="J12" i="3"/>
  <c r="N11" i="3"/>
  <c r="G10" i="3"/>
  <c r="N8" i="3"/>
  <c r="G7" i="3"/>
  <c r="Y4" i="3"/>
  <c r="Y5" i="3"/>
  <c r="Y6" i="3"/>
  <c r="Y7" i="3"/>
  <c r="Y8" i="3"/>
  <c r="Y9" i="3"/>
  <c r="R12" i="3"/>
  <c r="Z13" i="3"/>
  <c r="Y14" i="3"/>
  <c r="R16" i="3"/>
  <c r="Z17" i="3"/>
  <c r="Y18" i="3"/>
  <c r="H4" i="3"/>
  <c r="H8" i="3"/>
  <c r="H12" i="3"/>
  <c r="H16" i="3"/>
  <c r="K5" i="3"/>
  <c r="K9" i="3"/>
  <c r="K13" i="3"/>
  <c r="K17" i="3"/>
  <c r="H15" i="3"/>
  <c r="K10" i="3"/>
  <c r="K7" i="3"/>
  <c r="H5" i="3"/>
  <c r="K4" i="3"/>
  <c r="Z5" i="3"/>
  <c r="Z7" i="3"/>
  <c r="G5" i="3"/>
  <c r="G9" i="3"/>
  <c r="G13" i="3"/>
  <c r="G17" i="3"/>
  <c r="M7" i="3"/>
  <c r="M11" i="3"/>
  <c r="M15" i="3"/>
  <c r="M19" i="3"/>
  <c r="G18" i="3"/>
  <c r="G15" i="3"/>
  <c r="K14" i="3"/>
  <c r="M12" i="3"/>
  <c r="G12" i="3"/>
  <c r="K11" i="3"/>
  <c r="M9" i="3"/>
  <c r="H9" i="3"/>
  <c r="K8" i="3"/>
  <c r="M6" i="3"/>
  <c r="H6" i="3"/>
  <c r="R5" i="3"/>
  <c r="V5" i="3"/>
  <c r="R9" i="3"/>
  <c r="F6" i="3"/>
  <c r="F10" i="3"/>
  <c r="F14" i="3"/>
  <c r="F18" i="3"/>
  <c r="J6" i="3"/>
  <c r="J10" i="3"/>
  <c r="J14" i="3"/>
  <c r="J18" i="3"/>
  <c r="N6" i="3"/>
  <c r="N10" i="3"/>
  <c r="N14" i="3"/>
  <c r="N18" i="3"/>
  <c r="W1" i="3"/>
  <c r="G19" i="3"/>
  <c r="K18" i="3"/>
  <c r="N17" i="3"/>
  <c r="M16" i="3"/>
  <c r="G16" i="3"/>
  <c r="K15" i="3"/>
  <c r="F15" i="3"/>
  <c r="M13" i="3"/>
  <c r="H13" i="3"/>
  <c r="K12" i="3"/>
  <c r="F12" i="3"/>
  <c r="J11" i="3"/>
  <c r="M10" i="3"/>
  <c r="H10" i="3"/>
  <c r="F9" i="3"/>
  <c r="J8" i="3"/>
  <c r="N7" i="3"/>
  <c r="H7" i="3"/>
  <c r="G6" i="3"/>
  <c r="J5" i="3"/>
  <c r="N4" i="3"/>
  <c r="Z10" i="3"/>
  <c r="V13" i="3"/>
  <c r="V17" i="3"/>
  <c r="Q16" i="3"/>
  <c r="E19" i="3"/>
  <c r="E15" i="3"/>
  <c r="E11" i="3"/>
  <c r="I19" i="3"/>
  <c r="L16" i="3"/>
  <c r="I15" i="3"/>
  <c r="L12" i="3"/>
  <c r="I11" i="3"/>
  <c r="L8" i="3"/>
  <c r="Q11" i="3"/>
  <c r="Q15" i="3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27" i="2"/>
  <c r="L27" i="2"/>
  <c r="M27" i="2"/>
  <c r="N27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M47" i="2" l="1"/>
  <c r="M48" i="2"/>
  <c r="M49" i="2"/>
  <c r="M50" i="2"/>
  <c r="M54" i="2"/>
  <c r="M58" i="2"/>
  <c r="M52" i="2"/>
  <c r="M53" i="2"/>
  <c r="M55" i="2"/>
  <c r="M56" i="2"/>
  <c r="M57" i="2"/>
  <c r="M59" i="2"/>
  <c r="M64" i="2"/>
  <c r="M51" i="2"/>
  <c r="M62" i="2"/>
  <c r="M63" i="2"/>
  <c r="M61" i="2"/>
  <c r="M60" i="2"/>
  <c r="N48" i="2"/>
  <c r="N47" i="2"/>
  <c r="N51" i="2"/>
  <c r="N55" i="2"/>
  <c r="N59" i="2"/>
  <c r="N60" i="2"/>
  <c r="N49" i="2"/>
  <c r="N50" i="2"/>
  <c r="N52" i="2"/>
  <c r="N53" i="2"/>
  <c r="N54" i="2"/>
  <c r="N56" i="2"/>
  <c r="N57" i="2"/>
  <c r="N58" i="2"/>
  <c r="N61" i="2"/>
  <c r="N63" i="2"/>
  <c r="N64" i="2"/>
  <c r="N62" i="2"/>
  <c r="X17" i="3"/>
  <c r="X13" i="3"/>
  <c r="X9" i="3"/>
  <c r="X7" i="3"/>
  <c r="X5" i="3"/>
  <c r="X16" i="3"/>
  <c r="X12" i="3"/>
  <c r="X18" i="3"/>
  <c r="X14" i="3"/>
  <c r="X10" i="3"/>
  <c r="X19" i="3"/>
  <c r="X15" i="3"/>
  <c r="X8" i="3"/>
  <c r="X6" i="3"/>
  <c r="X4" i="3"/>
  <c r="X11" i="3"/>
  <c r="W18" i="3"/>
  <c r="W14" i="3"/>
  <c r="W10" i="3"/>
  <c r="W17" i="3"/>
  <c r="W13" i="3"/>
  <c r="W19" i="3"/>
  <c r="W15" i="3"/>
  <c r="W11" i="3"/>
  <c r="W16" i="3"/>
  <c r="W12" i="3"/>
  <c r="W9" i="3"/>
  <c r="W7" i="3"/>
  <c r="W5" i="3"/>
  <c r="W4" i="3"/>
  <c r="W8" i="3"/>
  <c r="W6" i="3"/>
  <c r="AD27" i="2" l="1"/>
  <c r="AD30" i="2"/>
  <c r="AD31" i="2"/>
  <c r="AD32" i="2"/>
  <c r="AD33" i="2"/>
  <c r="AD34" i="2"/>
  <c r="AD35" i="2"/>
  <c r="AD36" i="2"/>
  <c r="AD37" i="2"/>
  <c r="AD38" i="2"/>
  <c r="AD39" i="2"/>
  <c r="D37" i="2" l="1"/>
  <c r="F37" i="2"/>
  <c r="G37" i="2"/>
  <c r="H37" i="2"/>
  <c r="J37" i="2"/>
  <c r="O37" i="2"/>
  <c r="P37" i="2"/>
  <c r="Q37" i="2"/>
  <c r="R37" i="2"/>
  <c r="S37" i="2"/>
  <c r="T37" i="2"/>
  <c r="U37" i="2"/>
  <c r="V37" i="2"/>
  <c r="W37" i="2"/>
  <c r="Z37" i="2"/>
  <c r="AA37" i="2"/>
  <c r="D38" i="2"/>
  <c r="F38" i="2"/>
  <c r="G38" i="2"/>
  <c r="H38" i="2"/>
  <c r="J38" i="2"/>
  <c r="O38" i="2"/>
  <c r="P38" i="2"/>
  <c r="Q38" i="2"/>
  <c r="R38" i="2"/>
  <c r="S38" i="2"/>
  <c r="T38" i="2"/>
  <c r="U38" i="2"/>
  <c r="V38" i="2"/>
  <c r="W38" i="2"/>
  <c r="Z38" i="2"/>
  <c r="AA38" i="2"/>
  <c r="D39" i="2"/>
  <c r="F39" i="2"/>
  <c r="G39" i="2"/>
  <c r="H39" i="2"/>
  <c r="J39" i="2"/>
  <c r="O39" i="2"/>
  <c r="P39" i="2"/>
  <c r="Q39" i="2"/>
  <c r="R39" i="2"/>
  <c r="S39" i="2"/>
  <c r="T39" i="2"/>
  <c r="U39" i="2"/>
  <c r="V39" i="2"/>
  <c r="W39" i="2"/>
  <c r="Z39" i="2"/>
  <c r="AA39" i="2"/>
  <c r="S35" i="2"/>
  <c r="S36" i="2"/>
  <c r="V27" i="2"/>
  <c r="W27" i="2"/>
  <c r="Z27" i="2"/>
  <c r="AA27" i="2"/>
  <c r="V28" i="2"/>
  <c r="W28" i="2"/>
  <c r="Z28" i="2"/>
  <c r="AA28" i="2"/>
  <c r="V29" i="2"/>
  <c r="W29" i="2"/>
  <c r="Z29" i="2"/>
  <c r="AA29" i="2"/>
  <c r="V30" i="2"/>
  <c r="W30" i="2"/>
  <c r="Z30" i="2"/>
  <c r="AA30" i="2"/>
  <c r="V31" i="2"/>
  <c r="W31" i="2"/>
  <c r="Z31" i="2"/>
  <c r="AA31" i="2"/>
  <c r="V32" i="2"/>
  <c r="W32" i="2"/>
  <c r="Z32" i="2"/>
  <c r="AA32" i="2"/>
  <c r="V33" i="2"/>
  <c r="W33" i="2"/>
  <c r="Z33" i="2"/>
  <c r="AA33" i="2"/>
  <c r="V34" i="2"/>
  <c r="W34" i="2"/>
  <c r="Z34" i="2"/>
  <c r="AA34" i="2"/>
  <c r="V35" i="2"/>
  <c r="W35" i="2"/>
  <c r="Z35" i="2"/>
  <c r="AA35" i="2"/>
  <c r="V36" i="2"/>
  <c r="W36" i="2"/>
  <c r="Z36" i="2"/>
  <c r="AA36" i="2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V59" i="2" l="1"/>
  <c r="V57" i="2"/>
  <c r="V58" i="2"/>
  <c r="V60" i="2"/>
  <c r="V61" i="2"/>
  <c r="V64" i="2"/>
  <c r="V62" i="2"/>
  <c r="V63" i="2"/>
  <c r="AA59" i="2"/>
  <c r="AA61" i="2"/>
  <c r="AA57" i="2"/>
  <c r="AA58" i="2"/>
  <c r="AA62" i="2"/>
  <c r="AA60" i="2"/>
  <c r="AA63" i="2"/>
  <c r="AA64" i="2"/>
  <c r="Z59" i="2"/>
  <c r="Z61" i="2"/>
  <c r="Z57" i="2"/>
  <c r="Z58" i="2"/>
  <c r="Z60" i="2"/>
  <c r="Z64" i="2"/>
  <c r="Z62" i="2"/>
  <c r="Z63" i="2"/>
  <c r="W57" i="2"/>
  <c r="W58" i="2"/>
  <c r="W59" i="2"/>
  <c r="W61" i="2"/>
  <c r="W63" i="2"/>
  <c r="W64" i="2"/>
  <c r="W62" i="2"/>
  <c r="W60" i="2"/>
  <c r="U36" i="2"/>
  <c r="U35" i="2"/>
  <c r="U34" i="2"/>
  <c r="U33" i="2"/>
  <c r="U32" i="2"/>
  <c r="U31" i="2"/>
  <c r="U30" i="2"/>
  <c r="U29" i="2"/>
  <c r="U28" i="2"/>
  <c r="U27" i="2"/>
  <c r="U47" i="2" l="1"/>
  <c r="U50" i="2"/>
  <c r="U54" i="2"/>
  <c r="U58" i="2"/>
  <c r="U48" i="2"/>
  <c r="U49" i="2"/>
  <c r="U59" i="2"/>
  <c r="U52" i="2"/>
  <c r="U53" i="2"/>
  <c r="U51" i="2"/>
  <c r="U55" i="2"/>
  <c r="U56" i="2"/>
  <c r="U57" i="2"/>
  <c r="U64" i="2"/>
  <c r="U61" i="2"/>
  <c r="U63" i="2"/>
  <c r="U60" i="2"/>
  <c r="U62" i="2"/>
  <c r="F27" i="2"/>
  <c r="G27" i="2"/>
  <c r="H27" i="2"/>
  <c r="J27" i="2"/>
  <c r="O27" i="2"/>
  <c r="P27" i="2"/>
  <c r="Q27" i="2"/>
  <c r="R27" i="2"/>
  <c r="S27" i="2"/>
  <c r="T27" i="2"/>
  <c r="F28" i="2"/>
  <c r="G28" i="2"/>
  <c r="H28" i="2"/>
  <c r="J28" i="2"/>
  <c r="O28" i="2"/>
  <c r="P28" i="2"/>
  <c r="Q28" i="2"/>
  <c r="R28" i="2"/>
  <c r="S28" i="2"/>
  <c r="T28" i="2"/>
  <c r="F29" i="2"/>
  <c r="G29" i="2"/>
  <c r="H29" i="2"/>
  <c r="J29" i="2"/>
  <c r="O29" i="2"/>
  <c r="P29" i="2"/>
  <c r="Q29" i="2"/>
  <c r="R29" i="2"/>
  <c r="S29" i="2"/>
  <c r="T29" i="2"/>
  <c r="F30" i="2"/>
  <c r="G30" i="2"/>
  <c r="H30" i="2"/>
  <c r="J30" i="2"/>
  <c r="O30" i="2"/>
  <c r="P30" i="2"/>
  <c r="Q30" i="2"/>
  <c r="R30" i="2"/>
  <c r="S30" i="2"/>
  <c r="T30" i="2"/>
  <c r="F31" i="2"/>
  <c r="G31" i="2"/>
  <c r="H31" i="2"/>
  <c r="J31" i="2"/>
  <c r="O31" i="2"/>
  <c r="P31" i="2"/>
  <c r="Q31" i="2"/>
  <c r="R31" i="2"/>
  <c r="S31" i="2"/>
  <c r="T31" i="2"/>
  <c r="F32" i="2"/>
  <c r="G32" i="2"/>
  <c r="H32" i="2"/>
  <c r="J32" i="2"/>
  <c r="O32" i="2"/>
  <c r="P32" i="2"/>
  <c r="Q32" i="2"/>
  <c r="R32" i="2"/>
  <c r="S32" i="2"/>
  <c r="T32" i="2"/>
  <c r="F33" i="2"/>
  <c r="G33" i="2"/>
  <c r="H33" i="2"/>
  <c r="J33" i="2"/>
  <c r="O33" i="2"/>
  <c r="P33" i="2"/>
  <c r="Q33" i="2"/>
  <c r="R33" i="2"/>
  <c r="S33" i="2"/>
  <c r="T33" i="2"/>
  <c r="F34" i="2"/>
  <c r="G34" i="2"/>
  <c r="H34" i="2"/>
  <c r="J34" i="2"/>
  <c r="O34" i="2"/>
  <c r="P34" i="2"/>
  <c r="Q34" i="2"/>
  <c r="R34" i="2"/>
  <c r="S34" i="2"/>
  <c r="T34" i="2"/>
  <c r="F35" i="2"/>
  <c r="G35" i="2"/>
  <c r="H35" i="2"/>
  <c r="J35" i="2"/>
  <c r="O35" i="2"/>
  <c r="P35" i="2"/>
  <c r="Q35" i="2"/>
  <c r="R35" i="2"/>
  <c r="T35" i="2"/>
  <c r="F36" i="2"/>
  <c r="G36" i="2"/>
  <c r="H36" i="2"/>
  <c r="J36" i="2"/>
  <c r="O36" i="2"/>
  <c r="P36" i="2"/>
  <c r="Q36" i="2"/>
  <c r="R36" i="2"/>
  <c r="T36" i="2"/>
  <c r="D28" i="2"/>
  <c r="D29" i="2"/>
  <c r="D30" i="2"/>
  <c r="D31" i="2"/>
  <c r="D32" i="2"/>
  <c r="D33" i="2"/>
  <c r="D34" i="2"/>
  <c r="D35" i="2"/>
  <c r="D36" i="2"/>
  <c r="D26" i="2"/>
  <c r="D27" i="2"/>
  <c r="Q47" i="2" l="1"/>
  <c r="Q50" i="2"/>
  <c r="Q54" i="2"/>
  <c r="Q58" i="2"/>
  <c r="Q55" i="2"/>
  <c r="Q56" i="2"/>
  <c r="Q57" i="2"/>
  <c r="Q51" i="2"/>
  <c r="Q59" i="2"/>
  <c r="Q48" i="2"/>
  <c r="Q49" i="2"/>
  <c r="Q52" i="2"/>
  <c r="Q53" i="2"/>
  <c r="Q60" i="2"/>
  <c r="Q64" i="2"/>
  <c r="Q63" i="2"/>
  <c r="Q62" i="2"/>
  <c r="Q61" i="2"/>
  <c r="P53" i="2"/>
  <c r="P57" i="2"/>
  <c r="P51" i="2"/>
  <c r="P58" i="2"/>
  <c r="P59" i="2"/>
  <c r="P63" i="2"/>
  <c r="P47" i="2"/>
  <c r="P48" i="2"/>
  <c r="P49" i="2"/>
  <c r="P52" i="2"/>
  <c r="P50" i="2"/>
  <c r="P54" i="2"/>
  <c r="P55" i="2"/>
  <c r="P56" i="2"/>
  <c r="P62" i="2"/>
  <c r="P61" i="2"/>
  <c r="P60" i="2"/>
  <c r="P64" i="2"/>
  <c r="O49" i="2"/>
  <c r="O52" i="2"/>
  <c r="O56" i="2"/>
  <c r="O47" i="2"/>
  <c r="O48" i="2"/>
  <c r="O51" i="2"/>
  <c r="O61" i="2"/>
  <c r="O50" i="2"/>
  <c r="O53" i="2"/>
  <c r="O54" i="2"/>
  <c r="O55" i="2"/>
  <c r="O57" i="2"/>
  <c r="O58" i="2"/>
  <c r="O59" i="2"/>
  <c r="O60" i="2"/>
  <c r="O63" i="2"/>
  <c r="O64" i="2"/>
  <c r="O62" i="2"/>
  <c r="T53" i="2"/>
  <c r="T57" i="2"/>
  <c r="T47" i="2"/>
  <c r="T48" i="2"/>
  <c r="T49" i="2"/>
  <c r="T50" i="2"/>
  <c r="T52" i="2"/>
  <c r="T51" i="2"/>
  <c r="T54" i="2"/>
  <c r="T55" i="2"/>
  <c r="T56" i="2"/>
  <c r="T58" i="2"/>
  <c r="T59" i="2"/>
  <c r="T64" i="2"/>
  <c r="T62" i="2"/>
  <c r="T61" i="2"/>
  <c r="T63" i="2"/>
  <c r="T60" i="2"/>
  <c r="S49" i="2"/>
  <c r="S47" i="2"/>
  <c r="S48" i="2"/>
  <c r="S52" i="2"/>
  <c r="S56" i="2"/>
  <c r="S62" i="2"/>
  <c r="S51" i="2"/>
  <c r="S50" i="2"/>
  <c r="S53" i="2"/>
  <c r="S54" i="2"/>
  <c r="S55" i="2"/>
  <c r="S61" i="2"/>
  <c r="S57" i="2"/>
  <c r="S58" i="2"/>
  <c r="S59" i="2"/>
  <c r="S63" i="2"/>
  <c r="S64" i="2"/>
  <c r="S60" i="2"/>
  <c r="R48" i="2"/>
  <c r="R49" i="2"/>
  <c r="R51" i="2"/>
  <c r="R55" i="2"/>
  <c r="R59" i="2"/>
  <c r="R61" i="2"/>
  <c r="R50" i="2"/>
  <c r="R52" i="2"/>
  <c r="R53" i="2"/>
  <c r="R54" i="2"/>
  <c r="R56" i="2"/>
  <c r="R57" i="2"/>
  <c r="R58" i="2"/>
  <c r="R47" i="2"/>
  <c r="R60" i="2"/>
  <c r="R63" i="2"/>
  <c r="R64" i="2"/>
  <c r="R62" i="2"/>
  <c r="J61" i="2"/>
  <c r="J48" i="2"/>
  <c r="J49" i="2"/>
  <c r="J51" i="2"/>
  <c r="J54" i="2"/>
  <c r="J56" i="2"/>
  <c r="J57" i="2"/>
  <c r="J60" i="2"/>
  <c r="J47" i="2"/>
  <c r="J50" i="2"/>
  <c r="J52" i="2"/>
  <c r="J53" i="2"/>
  <c r="J55" i="2"/>
  <c r="J58" i="2"/>
  <c r="J59" i="2"/>
  <c r="J64" i="2"/>
  <c r="J63" i="2"/>
  <c r="J62" i="2"/>
  <c r="C5" i="4"/>
  <c r="C6" i="4"/>
  <c r="C7" i="4"/>
  <c r="C8" i="4"/>
  <c r="C9" i="4"/>
  <c r="C4" i="4"/>
</calcChain>
</file>

<file path=xl/comments1.xml><?xml version="1.0" encoding="utf-8"?>
<comments xmlns="http://schemas.openxmlformats.org/spreadsheetml/2006/main">
  <authors>
    <author>Sky123.Org</author>
    <author>admin</author>
  </authors>
  <commentList>
    <comment ref="C2" authorId="0" shapeId="0">
      <text>
        <r>
          <rPr>
            <sz val="9"/>
            <color indexed="81"/>
            <rFont val="宋体"/>
            <family val="3"/>
            <charset val="134"/>
          </rPr>
          <t>Sky123.Org:
升到下一级所需钻石</t>
        </r>
      </text>
    </comment>
    <comment ref="D2" authorId="0" shapeId="0">
      <text>
        <r>
          <rPr>
            <sz val="9"/>
            <color indexed="81"/>
            <rFont val="宋体"/>
            <family val="3"/>
            <charset val="134"/>
          </rPr>
          <t>Sky123.Org:
0 不可扫荡
1 可扫荡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Sky123.Org:
0 不开启
1 开启</t>
        </r>
      </text>
    </comment>
    <comment ref="U2" authorId="1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7个难度</t>
        </r>
      </text>
    </comment>
  </commentList>
</comments>
</file>

<file path=xl/sharedStrings.xml><?xml version="1.0" encoding="utf-8"?>
<sst xmlns="http://schemas.openxmlformats.org/spreadsheetml/2006/main" count="222" uniqueCount="184">
  <si>
    <t>vip2</t>
  </si>
  <si>
    <t>vip3</t>
  </si>
  <si>
    <t>vip4</t>
  </si>
  <si>
    <t>vip5</t>
  </si>
  <si>
    <t>vip6</t>
  </si>
  <si>
    <t>vip7</t>
  </si>
  <si>
    <t>vip8</t>
  </si>
  <si>
    <t>vip9</t>
  </si>
  <si>
    <t>vip10</t>
  </si>
  <si>
    <t>vip等级</t>
    <phoneticPr fontId="2" type="noConversion"/>
  </si>
  <si>
    <t>充值金额</t>
    <phoneticPr fontId="2" type="noConversion"/>
  </si>
  <si>
    <t>钻石数量</t>
    <phoneticPr fontId="2" type="noConversion"/>
  </si>
  <si>
    <t>赠送钻石数量</t>
    <phoneticPr fontId="2" type="noConversion"/>
  </si>
  <si>
    <t>首次购买赠送钻石数量</t>
    <phoneticPr fontId="2" type="noConversion"/>
  </si>
  <si>
    <t>是否为新增特权</t>
    <phoneticPr fontId="2" type="noConversion"/>
  </si>
  <si>
    <t>vip0</t>
    <phoneticPr fontId="2" type="noConversion"/>
  </si>
  <si>
    <t>vip1</t>
    <phoneticPr fontId="2" type="noConversion"/>
  </si>
  <si>
    <t>vip11</t>
  </si>
  <si>
    <t>vip12</t>
  </si>
  <si>
    <t>vip13</t>
  </si>
  <si>
    <t>vip14</t>
  </si>
  <si>
    <t>vip15</t>
  </si>
  <si>
    <t>极限可扫荡次数</t>
    <phoneticPr fontId="2" type="noConversion"/>
  </si>
  <si>
    <t>扫荡次数</t>
    <phoneticPr fontId="2" type="noConversion"/>
  </si>
  <si>
    <t>价格（元）</t>
    <phoneticPr fontId="2" type="noConversion"/>
  </si>
  <si>
    <t>非极限</t>
    <phoneticPr fontId="2" type="noConversion"/>
  </si>
  <si>
    <t>扫荡次数</t>
    <phoneticPr fontId="2" type="noConversion"/>
  </si>
  <si>
    <t>可购买对应的vip尊享礼包</t>
    <phoneticPr fontId="2" type="noConversion"/>
  </si>
  <si>
    <t>不购买</t>
    <phoneticPr fontId="2" type="noConversion"/>
  </si>
  <si>
    <t>非三星通关即可扫荡</t>
    <phoneticPr fontId="2" type="noConversion"/>
  </si>
  <si>
    <t>极限</t>
    <phoneticPr fontId="2" type="noConversion"/>
  </si>
  <si>
    <t>每日关卡次数</t>
    <phoneticPr fontId="2" type="noConversion"/>
  </si>
  <si>
    <t>体力上限</t>
    <phoneticPr fontId="2" type="noConversion"/>
  </si>
  <si>
    <t>非极限</t>
    <phoneticPr fontId="2" type="noConversion"/>
  </si>
  <si>
    <t>每日关卡次数</t>
    <phoneticPr fontId="2" type="noConversion"/>
  </si>
  <si>
    <t>体力药购买次数</t>
    <phoneticPr fontId="2" type="noConversion"/>
  </si>
  <si>
    <t>扫荡卷轴恢复上限</t>
    <phoneticPr fontId="2" type="noConversion"/>
  </si>
  <si>
    <t>扫荡卷轴每日购买次数</t>
    <phoneticPr fontId="2" type="noConversion"/>
  </si>
  <si>
    <t>扫荡卷轴每天免费领取个数</t>
    <phoneticPr fontId="2" type="noConversion"/>
  </si>
  <si>
    <t>符文抢夺每日免费次数</t>
    <phoneticPr fontId="2" type="noConversion"/>
  </si>
  <si>
    <t>符文抢夺每日可购买次数</t>
    <phoneticPr fontId="2" type="noConversion"/>
  </si>
  <si>
    <t>开启连续扫荡功能</t>
    <phoneticPr fontId="2" type="noConversion"/>
  </si>
  <si>
    <t>每日可参与擂台赛次数</t>
    <phoneticPr fontId="2" type="noConversion"/>
  </si>
  <si>
    <t>每日可购买擂台赛次数</t>
    <phoneticPr fontId="2" type="noConversion"/>
  </si>
  <si>
    <t>金币活动可获得2倍金币</t>
    <phoneticPr fontId="2" type="noConversion"/>
  </si>
  <si>
    <t>每天可用钻石刷新神秘商店次数</t>
    <phoneticPr fontId="2" type="noConversion"/>
  </si>
  <si>
    <t>排位赛每日免费次数</t>
    <phoneticPr fontId="2" type="noConversion"/>
  </si>
  <si>
    <t>排位赛每日可购买次数</t>
    <phoneticPr fontId="2" type="noConversion"/>
  </si>
  <si>
    <t>可在时装界面购买初级时装</t>
    <phoneticPr fontId="2" type="noConversion"/>
  </si>
  <si>
    <t>可在时装界面购买高级时装</t>
    <phoneticPr fontId="2" type="noConversion"/>
  </si>
  <si>
    <t>需要充值钻石</t>
    <phoneticPr fontId="2" type="noConversion"/>
  </si>
  <si>
    <t>开启连续扫荡功能</t>
    <phoneticPr fontId="2" type="noConversion"/>
  </si>
  <si>
    <t>每日可参与擂台赛次数</t>
    <phoneticPr fontId="2" type="noConversion"/>
  </si>
  <si>
    <t>每日可购买擂台赛次数</t>
    <phoneticPr fontId="2" type="noConversion"/>
  </si>
  <si>
    <t>排位赛每日免费次数</t>
    <phoneticPr fontId="2" type="noConversion"/>
  </si>
  <si>
    <t>排位赛每日可购买次数</t>
    <phoneticPr fontId="2" type="noConversion"/>
  </si>
  <si>
    <t>可在精彩活动界面购买投资计划</t>
    <phoneticPr fontId="2" type="noConversion"/>
  </si>
  <si>
    <t>可在时装界面购买时装</t>
    <phoneticPr fontId="2" type="noConversion"/>
  </si>
  <si>
    <t>组队副本每日免费次数</t>
    <phoneticPr fontId="2" type="noConversion"/>
  </si>
  <si>
    <t>可快速完成探险寻宝任务</t>
    <phoneticPr fontId="2" type="noConversion"/>
  </si>
  <si>
    <t>每日可参与大乱斗次数</t>
    <phoneticPr fontId="2" type="noConversion"/>
  </si>
  <si>
    <t>每日可购买大乱斗次数</t>
    <phoneticPr fontId="2" type="noConversion"/>
  </si>
  <si>
    <t>超神之路各难度通关后可直接扫荡</t>
    <phoneticPr fontId="2" type="noConversion"/>
  </si>
  <si>
    <t>符石争夺每日免费次数</t>
  </si>
  <si>
    <t>符石争夺每日可购买次数</t>
  </si>
  <si>
    <t>vip等级</t>
  </si>
  <si>
    <t>需要充值钻石</t>
    <phoneticPr fontId="6" type="noConversion"/>
  </si>
  <si>
    <t>非三星通关是否可扫荡</t>
  </si>
  <si>
    <t>体力上限</t>
  </si>
  <si>
    <t>体力药购买次数</t>
  </si>
  <si>
    <t>扫荡卷轴恢复上限</t>
  </si>
  <si>
    <t>扫荡卷轴每日购买次数</t>
  </si>
  <si>
    <t>扫荡卷轴每天免费领取个数</t>
  </si>
  <si>
    <t>符文抢夺每日免费次数</t>
  </si>
  <si>
    <t>符文抢夺每日可购买次数</t>
  </si>
  <si>
    <t>开启连续扫荡功能</t>
  </si>
  <si>
    <t>每日可参与擂台赛次数</t>
  </si>
  <si>
    <t>每日可购买擂台赛次数</t>
  </si>
  <si>
    <t>金币活动获得金币倍数</t>
  </si>
  <si>
    <t>每日可用钻石刷新神秘商店次数</t>
  </si>
  <si>
    <t>每日可参与排位赛次数</t>
    <phoneticPr fontId="6" type="noConversion"/>
  </si>
  <si>
    <t>每日可购买排位赛次数</t>
    <phoneticPr fontId="6" type="noConversion"/>
  </si>
  <si>
    <r>
      <t>m</t>
    </r>
    <r>
      <rPr>
        <sz val="11"/>
        <rFont val="Calibri"/>
        <family val="2"/>
      </rPr>
      <t>oba</t>
    </r>
    <r>
      <rPr>
        <sz val="11"/>
        <rFont val="宋体"/>
        <family val="3"/>
        <charset val="134"/>
      </rPr>
      <t>可购买次数</t>
    </r>
    <phoneticPr fontId="6" type="noConversion"/>
  </si>
  <si>
    <t>moba免费挑战次数</t>
  </si>
  <si>
    <t>扫荡超神之路最大难度</t>
    <phoneticPr fontId="6" type="noConversion"/>
  </si>
  <si>
    <t>抢夺副本1</t>
    <phoneticPr fontId="6" type="noConversion"/>
  </si>
  <si>
    <t>抢夺副本2</t>
    <phoneticPr fontId="6" type="noConversion"/>
  </si>
  <si>
    <t>抢夺副本3</t>
    <phoneticPr fontId="6" type="noConversion"/>
  </si>
  <si>
    <t>组队副本次数</t>
    <phoneticPr fontId="6" type="noConversion"/>
  </si>
  <si>
    <t>小龙试炼次数</t>
    <phoneticPr fontId="6" type="noConversion"/>
  </si>
  <si>
    <t>level</t>
  </si>
  <si>
    <t>needStone</t>
  </si>
  <si>
    <t>isWipeout</t>
  </si>
  <si>
    <t>maxStamina</t>
  </si>
  <si>
    <t>staminaBuyTimes</t>
  </si>
  <si>
    <t>maxRecovery</t>
  </si>
  <si>
    <t>maxBuyTime</t>
  </si>
  <si>
    <t>rewardWipeout</t>
  </si>
  <si>
    <t>robTimeFree</t>
  </si>
  <si>
    <t>buyRobTimeLimit</t>
  </si>
  <si>
    <t>continuityWipeout</t>
  </si>
  <si>
    <t>ringNums</t>
  </si>
  <si>
    <t>maxBuyRingTime</t>
  </si>
  <si>
    <t>godeMultiple</t>
  </si>
  <si>
    <t>refSecretShopTime</t>
  </si>
  <si>
    <t>arenaInTime</t>
    <phoneticPr fontId="6" type="noConversion"/>
  </si>
  <si>
    <t>arenaBuyTimes</t>
    <phoneticPr fontId="6" type="noConversion"/>
  </si>
  <si>
    <r>
      <t>m</t>
    </r>
    <r>
      <rPr>
        <sz val="11"/>
        <rFont val="Calibri"/>
        <family val="2"/>
      </rPr>
      <t>obaBuyNum</t>
    </r>
    <phoneticPr fontId="6" type="noConversion"/>
  </si>
  <si>
    <t>mobaNum</t>
  </si>
  <si>
    <t>superGodWideoutMaxDifficulty</t>
    <phoneticPr fontId="6" type="noConversion"/>
  </si>
  <si>
    <r>
      <t>warStudioBossTimes</t>
    </r>
    <r>
      <rPr>
        <sz val="11"/>
        <color indexed="8"/>
        <rFont val="宋体"/>
        <family val="3"/>
        <charset val="134"/>
      </rPr>
      <t>1</t>
    </r>
    <phoneticPr fontId="6" type="noConversion"/>
  </si>
  <si>
    <t>warStudioBossTimes2</t>
    <phoneticPr fontId="6" type="noConversion"/>
  </si>
  <si>
    <t>warStudioBossTimes3</t>
    <phoneticPr fontId="6" type="noConversion"/>
  </si>
  <si>
    <t>teamCount</t>
    <phoneticPr fontId="6" type="noConversion"/>
  </si>
  <si>
    <t>flyDragonCount</t>
    <phoneticPr fontId="6" type="noConversion"/>
  </si>
  <si>
    <r>
      <t>1</t>
    </r>
    <r>
      <rPr>
        <sz val="11"/>
        <color indexed="8"/>
        <rFont val="宋体"/>
        <family val="3"/>
        <charset val="134"/>
      </rPr>
      <t>1</t>
    </r>
    <phoneticPr fontId="6" type="noConversion"/>
  </si>
  <si>
    <r>
      <t>1</t>
    </r>
    <r>
      <rPr>
        <sz val="11"/>
        <color indexed="8"/>
        <rFont val="宋体"/>
        <family val="3"/>
        <charset val="134"/>
      </rPr>
      <t>2</t>
    </r>
    <phoneticPr fontId="6" type="noConversion"/>
  </si>
  <si>
    <r>
      <t>1</t>
    </r>
    <r>
      <rPr>
        <sz val="11"/>
        <color indexed="8"/>
        <rFont val="宋体"/>
        <family val="3"/>
        <charset val="134"/>
      </rPr>
      <t>3</t>
    </r>
    <phoneticPr fontId="6" type="noConversion"/>
  </si>
  <si>
    <r>
      <t>1</t>
    </r>
    <r>
      <rPr>
        <sz val="11"/>
        <color indexed="8"/>
        <rFont val="宋体"/>
        <family val="3"/>
        <charset val="134"/>
      </rPr>
      <t>4</t>
    </r>
    <phoneticPr fontId="6" type="noConversion"/>
  </si>
  <si>
    <r>
      <t>1</t>
    </r>
    <r>
      <rPr>
        <sz val="11"/>
        <color indexed="8"/>
        <rFont val="宋体"/>
        <family val="3"/>
        <charset val="134"/>
      </rPr>
      <t>5</t>
    </r>
    <phoneticPr fontId="6" type="noConversion"/>
  </si>
  <si>
    <t>1</t>
    <phoneticPr fontId="2" type="noConversion"/>
  </si>
  <si>
    <t>开启五连扫荡功能</t>
    <phoneticPr fontId="2" type="noConversion"/>
  </si>
  <si>
    <t>可在公会使用高级捐献</t>
    <phoneticPr fontId="2" type="noConversion"/>
  </si>
  <si>
    <t>可使用觉醒十次功能</t>
    <phoneticPr fontId="2" type="noConversion"/>
  </si>
  <si>
    <t>精英关卡挑战次数</t>
    <phoneticPr fontId="2" type="noConversion"/>
  </si>
  <si>
    <t>跨服演武每日免费次数</t>
    <phoneticPr fontId="2" type="noConversion"/>
  </si>
  <si>
    <t>跨服演武每日可购买次数</t>
    <phoneticPr fontId="2" type="noConversion"/>
  </si>
  <si>
    <t>神秘魔石每日开启次数</t>
    <phoneticPr fontId="2" type="noConversion"/>
  </si>
  <si>
    <t>购买体力次数</t>
    <phoneticPr fontId="2" type="noConversion"/>
  </si>
  <si>
    <t>每天每个精英副本重置次数</t>
    <phoneticPr fontId="2" type="noConversion"/>
  </si>
  <si>
    <t>每日可购买体力&lt;color=#37c21b&gt;x&lt;/color&gt;次</t>
  </si>
  <si>
    <t>每日可参与组队副本&lt;color=#37c21b&gt;x&lt;/color&gt;次</t>
  </si>
  <si>
    <t>每日可参与符石争夺&lt;color=#37c21b&gt;x&lt;/color&gt;次</t>
  </si>
  <si>
    <t>每日可购买符石争夺&lt;color=#37c21b&gt;x&lt;/color&gt;次</t>
  </si>
  <si>
    <t>每日可参与擂台赛&lt;color=#37c21b&gt;x&lt;/color&gt;次</t>
  </si>
  <si>
    <t>每日可购买擂台赛&lt;color=#37c21b&gt;x&lt;/color&gt;次</t>
  </si>
  <si>
    <t>每日可参与大乱斗&lt;color=#37c21b&gt;x&lt;/color&gt;次</t>
  </si>
  <si>
    <t>每日可购买大乱斗&lt;color=#37c21b&gt;x&lt;/color&gt;次</t>
  </si>
  <si>
    <t>每日可参与排位赛&lt;color=#37c21b&gt;x&lt;/color&gt;次</t>
  </si>
  <si>
    <t>每日可购买排位赛&lt;color=#37c21b&gt;x&lt;/color&gt;次</t>
  </si>
  <si>
    <t>每日可参与跨服演武&lt;color=#37c21b&gt;x&lt;/color&gt;次</t>
  </si>
  <si>
    <t>每日可购买跨服演武&lt;color=#37c21b&gt;x&lt;/color&gt;次</t>
  </si>
  <si>
    <t>每日精英关卡挑战加&lt;color=#37c21b&gt;1&lt;/color&gt;次</t>
  </si>
  <si>
    <t>每日可开启神秘魔石增加&lt;color=#37c21b&gt;x&lt;/color&gt;次</t>
  </si>
  <si>
    <t>每日竞技场购买次数</t>
    <phoneticPr fontId="2" type="noConversion"/>
  </si>
  <si>
    <t>副本最大扫荡次数</t>
    <phoneticPr fontId="2" type="noConversion"/>
  </si>
  <si>
    <t>5</t>
  </si>
  <si>
    <t>10</t>
  </si>
  <si>
    <t>20</t>
  </si>
  <si>
    <t>单次副本最大扫荡次数提高至&lt;color=#37c21b&gt;x&lt;/color&gt;次</t>
    <phoneticPr fontId="2" type="noConversion"/>
  </si>
  <si>
    <t>竞技场冷却时间</t>
    <phoneticPr fontId="2" type="noConversion"/>
  </si>
  <si>
    <t>公会可使用高级建设</t>
    <phoneticPr fontId="2" type="noConversion"/>
  </si>
  <si>
    <t>公会内可使用高级建设功能</t>
    <phoneticPr fontId="2" type="noConversion"/>
  </si>
  <si>
    <t>每天可点金次数</t>
    <phoneticPr fontId="2" type="noConversion"/>
  </si>
  <si>
    <t>竞技场冷却时间降至&lt;color=#37c21b&gt;x&lt;/color&gt;分钟</t>
    <phoneticPr fontId="2" type="noConversion"/>
  </si>
  <si>
    <t>高级令每天免费领取个数</t>
    <phoneticPr fontId="2" type="noConversion"/>
  </si>
  <si>
    <t>顶级令每天免费领取个数</t>
    <phoneticPr fontId="2" type="noConversion"/>
  </si>
  <si>
    <t>勇士试炼可快速完成</t>
    <phoneticPr fontId="2" type="noConversion"/>
  </si>
  <si>
    <t>每日可领取高级令&lt;color=#37c21b&gt;x&lt;/color&gt;个</t>
    <phoneticPr fontId="2" type="noConversion"/>
  </si>
  <si>
    <t>每日可领取顶级令&lt;color=#37c21b&gt;x&lt;/color&gt;个</t>
    <phoneticPr fontId="2" type="noConversion"/>
  </si>
  <si>
    <t>可快速完成勇士试炼任务</t>
    <phoneticPr fontId="2" type="noConversion"/>
  </si>
  <si>
    <t>每日可点金&lt;color=#37c21b&gt;x&lt;/color&gt;次</t>
    <phoneticPr fontId="2" type="noConversion"/>
  </si>
  <si>
    <t>需要充值达到&lt;color=#37c21b&gt;x&lt;/color&gt;钻石即可享受相应特权</t>
    <phoneticPr fontId="2" type="noConversion"/>
  </si>
  <si>
    <t>每天每个精英副本可重置&lt;color=#37c21b&gt;x&lt;/color&gt;次</t>
    <phoneticPr fontId="2" type="noConversion"/>
  </si>
  <si>
    <t>每日可购买竞技场&lt;color=#37c21b&gt;x&lt;/color&gt;次</t>
    <phoneticPr fontId="2" type="noConversion"/>
  </si>
  <si>
    <t>VIP2特权|需要充值达到&lt;color=#37c21b&gt;300&lt;/color&gt;钻石即可享受相应特权|每日可购买体力&lt;color=#37c21b&gt;4&lt;/color&gt;次|每日可点金&lt;color=#37c21b&gt;7&lt;/color&gt;次|&lt;color=#37c21b&gt;每天每个精英副本可重置&lt;color=#37c21b&gt;2&lt;/color&gt;次&lt;/color&gt;|每日可购买竞技场&lt;color=#37c21b&gt;2&lt;/color&gt;次|单次副本最大扫荡次数提高至&lt;color=#37c21b&gt;5&lt;/color&gt;次</t>
    <phoneticPr fontId="2" type="noConversion"/>
  </si>
  <si>
    <t>VIP3特权|需要充值达到&lt;color=#37c21b&gt;600&lt;/color&gt;钻石即可享受相应特权|每日可购买体力&lt;color=#37c21b&gt;5&lt;/color&gt;次|每日可点金&lt;color=#37c21b&gt;9&lt;/color&gt;次|每天每个精英副本可重置&lt;color=#37c21b&gt;2&lt;/color&gt;次|每日可购买竞技场&lt;color=#37c21b&gt;2&lt;/color&gt;次|单次副本最大扫荡次数提高至&lt;color=#37c21b&gt;5&lt;/color&gt;次</t>
    <phoneticPr fontId="2" type="noConversion"/>
  </si>
  <si>
    <t>VIP4特权|需要充值达到&lt;color=#37c21b&gt;1000&lt;/color&gt;钻石即可享受相应特权|每日可购买体力&lt;color=#37c21b&gt;6&lt;/color&gt;次|每日可点金&lt;color=#37c21b&gt;12&lt;/color&gt;次|每天每个精英副本可重置&lt;color=#37c21b&gt;2&lt;/color&gt;次|每日可购买竞技场&lt;color=#37c21b&gt;2&lt;/color&gt;次|单次副本最大扫荡次数提高至&lt;color=#37c21b&gt;10&lt;/color&gt;次</t>
    <phoneticPr fontId="2" type="noConversion"/>
  </si>
  <si>
    <t>VIP6特权|需要充值达到&lt;color=#37c21b&gt;3000&lt;/color&gt;钻石即可享受相应特权|每日可购买体力&lt;color=#37c21b&gt;8&lt;/color&gt;次|每日可点金&lt;color=#37c21b&gt;20&lt;/color&gt;次|每天每个精英副本可重置&lt;color=#37c21b&gt;3&lt;/color&gt;次|每日可购买竞技场&lt;color=#37c21b&gt;3&lt;/color&gt;次|单次副本最大扫荡次数提高至&lt;color=#37c21b&gt;10&lt;/color&gt;次|公会内可使用高级建设功能</t>
    <phoneticPr fontId="2" type="noConversion"/>
  </si>
  <si>
    <t>VIP7特权|需要充值达到&lt;color=#37c21b&gt;5000&lt;/color&gt;钻石即可享受相应特权|每日可购买体力&lt;color=#37c21b&gt;9&lt;/color&gt;次|每日可点金&lt;color=#37c21b&gt;25&lt;/color&gt;次|&lt;color=#37c21b&gt;竞技场冷却时间降至&lt;color=#37c21b&gt;2&lt;/color&gt;分钟&lt;/color&gt;|每天每个精英副本可重置&lt;color=#37c21b&gt;3&lt;/color&gt;次|每日可购买竞技场&lt;color=#37c21b&gt;3&lt;/color&gt;次|单次副本最大扫荡次数提高至&lt;color=#37c21b&gt;10&lt;/color&gt;次|公会内可使用高级建设功能</t>
    <phoneticPr fontId="2" type="noConversion"/>
  </si>
  <si>
    <t>VIP8特权|需要充值达到&lt;color=#37c21b&gt;7000&lt;/color&gt;钻石即可享受相应特权|每日可购买体力&lt;color=#37c21b&gt;10&lt;/color&gt;次|每日可点金&lt;color=#37c21b&gt;30&lt;/color&gt;次|&lt;color=#37c21b&gt;每日可领取高级令&lt;color=#37c21b&gt;1&lt;/color&gt;个&lt;/color&gt;|每天每个精英副本可重置&lt;color=#37c21b&gt;3&lt;/color&gt;次|每日可购买竞技场&lt;color=#37c21b&gt;3&lt;/color&gt;次|单次副本最大扫荡次数提高至&lt;color=#37c21b&gt;10&lt;/color&gt;次|竞技场冷却时间降至&lt;color=#37c21b&gt;2&lt;/color&gt;分钟|公会内可使用高级建设功能</t>
    <phoneticPr fontId="2" type="noConversion"/>
  </si>
  <si>
    <t>VIP9特权|需要充值达到&lt;color=#37c21b&gt;10000&lt;/color&gt;钻石即可享受相应特权|每日可购买体力&lt;color=#37c21b&gt;11&lt;/color&gt;次|每日可点金&lt;color=#37c21b&gt;35&lt;/color&gt;次|&lt;color=#37c21b&gt;每日可购买竞技场&lt;color=#37c21b&gt;4&lt;/color&gt;次&lt;/color&gt;|&lt;color=#37c21b&gt;单次副本最大扫荡次数提高至&lt;color=#37c21b&gt;20&lt;/color&gt;次&lt;/color&gt;|&lt;color=#37c21b&gt;可快速完成勇士试炼任务&lt;/color&gt;|每天每个精英副本可重置&lt;color=#37c21b&gt;3&lt;/color&gt;次|竞技场冷却时间降至&lt;color=#37c21b&gt;2&lt;/color&gt;分钟|公会内可使用高级建设功能|每日可领取高级令&lt;color=#37c21b&gt;1&lt;/color&gt;个</t>
    <phoneticPr fontId="2" type="noConversion"/>
  </si>
  <si>
    <t>VIP10特权|需要充值达到&lt;color=#37c21b&gt;15000&lt;/color&gt;钻石即可享受相应特权|每日可购买体力&lt;color=#37c21b&gt;12&lt;/color&gt;次|每日可点金&lt;color=#37c21b&gt;40&lt;/color&gt;次|&lt;color=#37c21b&gt;每天每个精英副本可重置&lt;color=#37c21b&gt;4&lt;/color&gt;次&lt;/color&gt;|&lt;color=#37c21b&gt;竞技场冷却时间降至&lt;color=#37c21b&gt;1&lt;/color&gt;分钟&lt;/color&gt;|每日可购买竞技场&lt;color=#37c21b&gt;4&lt;/color&gt;次|单次副本最大扫荡次数提高至&lt;color=#37c21b&gt;20&lt;/color&gt;次|公会内可使用高级建设功能|每日可领取高级令&lt;color=#37c21b&gt;1&lt;/color&gt;个|可快速完成勇士试炼任务</t>
    <phoneticPr fontId="2" type="noConversion"/>
  </si>
  <si>
    <t>VIP11特权|需要充值达到&lt;color=#37c21b&gt;20000&lt;/color&gt;钻石即可享受相应特权|每日可购买体力&lt;color=#37c21b&gt;13&lt;/color&gt;次|每日可点金&lt;color=#37c21b&gt;50&lt;/color&gt;次|每天每个精英副本可重置&lt;color=#37c21b&gt;4&lt;/color&gt;次|每日可购买竞技场&lt;color=#37c21b&gt;4&lt;/color&gt;次|单次副本最大扫荡次数提高至&lt;color=#37c21b&gt;20&lt;/color&gt;次|竞技场冷却时间降至&lt;color=#37c21b&gt;1&lt;/color&gt;分钟|公会内可使用高级建设功能|每日可领取高级令&lt;color=#37c21b&gt;1&lt;/color&gt;个|可快速完成勇士试炼任务</t>
    <phoneticPr fontId="2" type="noConversion"/>
  </si>
  <si>
    <t>VIP12特权|需要充值达到&lt;color=#37c21b&gt;30000&lt;/color&gt;钻石即可享受相应特权|每日可购买体力&lt;color=#37c21b&gt;14&lt;/color&gt;次|每日可点金&lt;color=#37c21b&gt;60&lt;/color&gt;次|&lt;color=#37c21b&gt;每日可领取顶级令&lt;color=#37c21b&gt;1&lt;/color&gt;个&lt;/color&gt;|每天每个精英副本可重置&lt;color=#37c21b&gt;4&lt;/color&gt;次|每日可购买竞技场&lt;color=#37c21b&gt;4&lt;/color&gt;次|单次副本最大扫荡次数提高至&lt;color=#37c21b&gt;20&lt;/color&gt;次|竞技场冷却时间降至&lt;color=#37c21b&gt;1&lt;/color&gt;分钟|公会内可使用高级建设功能|每日可领取高级令&lt;color=#37c21b&gt;1&lt;/color&gt;个|可快速完成勇士试炼任务</t>
    <phoneticPr fontId="2" type="noConversion"/>
  </si>
  <si>
    <t>VIP13特权|需要充值达到&lt;color=#37c21b&gt;60000&lt;/color&gt;钻石即可享受相应特权|每日可购买体力&lt;color=#37c21b&gt;15&lt;/color&gt;次|每日可点金&lt;color=#37c21b&gt;80&lt;/color&gt;次|&lt;color=#37c21b&gt;每天每个精英副本可重置&lt;color=#37c21b&gt;5&lt;/color&gt;次&lt;/color&gt;|&lt;color=#37c21b&gt;每日可购买竞技场&lt;color=#37c21b&gt;5&lt;/color&gt;次&lt;/color&gt;|单次副本最大扫荡次数提高至&lt;color=#37c21b&gt;20&lt;/color&gt;次|竞技场冷却时间降至&lt;color=#37c21b&gt;1&lt;/color&gt;分钟|公会内可使用高级建设功能|每日可领取高级令&lt;color=#37c21b&gt;1&lt;/color&gt;个|每日可领取顶级令&lt;color=#37c21b&gt;1&lt;/color&gt;个|可快速完成勇士试炼任务</t>
    <phoneticPr fontId="2" type="noConversion"/>
  </si>
  <si>
    <t>VIP14特权|需要充值达到&lt;color=#37c21b&gt;120000&lt;/color&gt;钻石即可享受相应特权|每日可购买体力&lt;color=#37c21b&gt;16&lt;/color&gt;次|每日可点金&lt;color=#37c21b&gt;100&lt;/color&gt;次|每天每个精英副本可重置&lt;color=#37c21b&gt;5&lt;/color&gt;次|每日可购买竞技场&lt;color=#37c21b&gt;5&lt;/color&gt;次|单次副本最大扫荡次数提高至&lt;color=#37c21b&gt;20&lt;/color&gt;次|竞技场冷却时间降至&lt;color=#37c21b&gt;1&lt;/color&gt;分钟|公会内可使用高级建设功能|每日可领取高级令&lt;color=#37c21b&gt;1&lt;/color&gt;个|每日可领取顶级令&lt;color=#37c21b&gt;1&lt;/color&gt;个|可快速完成勇士试炼任务</t>
    <phoneticPr fontId="2" type="noConversion"/>
  </si>
  <si>
    <t>VIP15特权|需要充值达到&lt;color=#37c21b&gt;200000&lt;/color&gt;钻石即可享受相应特权|每日可购买体力&lt;color=#37c21b&gt;17&lt;/color&gt;次|每日可点金&lt;color=#37c21b&gt;160&lt;/color&gt;次|每天每个精英副本可重置&lt;color=#37c21b&gt;5&lt;/color&gt;次|每日可购买竞技场&lt;color=#37c21b&gt;5&lt;/color&gt;次|单次副本最大扫荡次数提高至&lt;color=#37c21b&gt;20&lt;/color&gt;次|竞技场冷却时间降至&lt;color=#37c21b&gt;1&lt;/color&gt;分钟|公会内可使用高级建设功能|每日可领取高级令&lt;color=#37c21b&gt;1&lt;/color&gt;个|每日可领取顶级令&lt;color=#37c21b&gt;1&lt;/color&gt;个|可快速完成勇士试炼任务</t>
    <phoneticPr fontId="2" type="noConversion"/>
  </si>
  <si>
    <t>VIP16特权|需要充值达到&lt;color=#37c21b&gt;300000&lt;/color&gt;钻石即可享受相应特权|每日可购买体力&lt;color=#37c21b&gt;18&lt;/color&gt;次|每日可点金&lt;color=#37c21b&gt;160&lt;/color&gt;次|每天每个精英副本可重置&lt;color=#37c21b&gt;5&lt;/color&gt;次|每日可购买竞技场&lt;color=#37c21b&gt;5&lt;/color&gt;次|单次副本最大扫荡次数提高至&lt;color=#37c21b&gt;20&lt;/color&gt;次|竞技场冷却时间降至&lt;color=#37c21b&gt;1&lt;/color&gt;分钟|公会内可使用高级建设功能|每日可领取高级令&lt;color=#37c21b&gt;1&lt;/color&gt;个|每日可领取顶级令&lt;color=#37c21b&gt;1&lt;/color&gt;个|可快速完成勇士试炼任务</t>
    <phoneticPr fontId="2" type="noConversion"/>
  </si>
  <si>
    <t>VIP18特权|需要充值达到&lt;color=#37c21b&gt;800000&lt;/color&gt;钻石即可享受相应特权|每日可购买体力&lt;color=#37c21b&gt;20&lt;/color&gt;次|每日可点金&lt;color=#37c21b&gt;160&lt;/color&gt;次|每天每个精英副本可重置&lt;color=#37c21b&gt;5&lt;/color&gt;次|每日可购买竞技场&lt;color=#37c21b&gt;5&lt;/color&gt;次|单次副本最大扫荡次数提高至&lt;color=#37c21b&gt;20&lt;/color&gt;次|竞技场冷却时间降至&lt;color=#37c21b&gt;1&lt;/color&gt;分钟|公会内可使用高级建设功能|每日可领取高级令&lt;color=#37c21b&gt;1&lt;/color&gt;个|每日可领取顶级令&lt;color=#37c21b&gt;1&lt;/color&gt;个|可快速完成勇士试炼任务</t>
    <phoneticPr fontId="2" type="noConversion"/>
  </si>
  <si>
    <t>VIP0特权|每日可购买体力&lt;color=#37c21b&gt;2&lt;/color&gt;次|每日可点金&lt;color=#37c21b&gt;3&lt;/color&gt;次|每天每个精英副本可重置&lt;color=#37c21b&gt;1&lt;/color&gt;次|每日可购买竞技场&lt;color=#37c21b&gt;2&lt;/color&gt;次|单次副本最大扫荡次数提高至&lt;color=#37c21b&gt;5&lt;/color&gt;次</t>
    <phoneticPr fontId="2" type="noConversion"/>
  </si>
  <si>
    <t>VIP5特权|需要充值达到&lt;color=#37c21b&gt;2000&lt;/color&gt;钻石即可享受相应特权|每日可购买体力&lt;color=#37c21b&gt;7&lt;/color&gt;次|每日可点金&lt;color=#37c21b&gt;16&lt;/color&gt;次|&lt;color=#37c21b&gt;每天每个精英副本可重置&lt;color=#37c21b&gt;3&lt;/color&gt;次&lt;/color&gt;|&lt;color=#37c21b&gt;每日可购买竞技场&lt;color=#37c21b&gt;3&lt;/color&gt;次&lt;/color&gt;|&lt;color=#37c21b&gt;公会内可使用高级建设功能&lt;/color&gt;|单次副本最大扫荡次数提高至&lt;color=#37c21b&gt;10&lt;/color&gt;次</t>
    <phoneticPr fontId="2" type="noConversion"/>
  </si>
  <si>
    <t>VIP17特权|需要充值达到&lt;color=#37c21b&gt;500000&lt;/color&gt;钻石即可享受相应特权|每日可购买体力&lt;color=#37c21b&gt;19&lt;/color&gt;次|每日可点金&lt;color=#37c21b&gt;160&lt;/color&gt;次|每天每个精英副本可重置&lt;color=#37c21b&gt;5&lt;/color&gt;次|每日可购买竞技场&lt;color=#37c21b&gt;5&lt;/color&gt;次|单次副本最大扫荡次数提高至&lt;color=#37c21b&gt;20&lt;/color&gt;次|竞技场冷却时间降至&lt;color=#37c21b&gt;1&lt;/color&gt;分钟|公会内可使用高级建设功能|每日可领取高级令&lt;color=#37c21b&gt;1&lt;/color&gt;个|每日可领取顶级令&lt;color=#37c21b&gt;1&lt;/color&gt;个|可快速完成勇士试炼任务</t>
    <phoneticPr fontId="2" type="noConversion"/>
  </si>
  <si>
    <t>VIP1特权|需要充值达到&lt;color=#37c21b&gt;60&lt;/color&gt;钻石即可享受相应特权|每日可购买体力&lt;color=#37c21b&gt;3&lt;/color&gt;次|每日可点金&lt;color=#37c21b&gt;5&lt;/color&gt;次|每天每个精英副本可重置&lt;color=#37c21b&gt;1&lt;/color&gt;次|每日可购买竞技场&lt;color=#37c21b&gt;2&lt;/color&gt;次|单次副本最大扫荡次数提高至&lt;color=#37c21b&gt;5&lt;/color&gt;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</si>
</sst>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name val="Calibri"/>
      <family val="2"/>
    </font>
    <font>
      <sz val="11"/>
      <name val="宋体"/>
      <family val="3"/>
      <charset val="134"/>
    </font>
    <font>
      <sz val="12"/>
      <color indexed="8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22"/>
      </top>
      <bottom style="thin">
        <color indexed="22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4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2" borderId="0" xfId="0" applyFont="1" applyFill="1">
      <alignment vertical="center"/>
    </xf>
    <xf numFmtId="0" fontId="1" fillId="0" borderId="0" xfId="0" applyFont="1" applyFill="1">
      <alignment vertical="center"/>
    </xf>
    <xf numFmtId="0" fontId="1" fillId="0" borderId="0" xfId="0" applyNumberFormat="1" applyFont="1">
      <alignment vertical="center"/>
    </xf>
    <xf numFmtId="0" fontId="1" fillId="0" borderId="0" xfId="0" applyFont="1" applyAlignment="1">
      <alignment vertical="center" wrapText="1"/>
    </xf>
    <xf numFmtId="0" fontId="1" fillId="3" borderId="0" xfId="0" applyFont="1" applyFill="1">
      <alignment vertical="center"/>
    </xf>
    <xf numFmtId="0" fontId="3" fillId="0" borderId="0" xfId="0" applyFont="1" applyAlignment="1">
      <alignment horizontal="left" vertical="center"/>
    </xf>
    <xf numFmtId="49" fontId="5" fillId="0" borderId="0" xfId="1" applyNumberFormat="1" applyFont="1" applyFill="1" applyBorder="1" applyAlignment="1" applyProtection="1">
      <alignment horizontal="left" vertical="center"/>
    </xf>
    <xf numFmtId="1" fontId="1" fillId="0" borderId="0" xfId="0" applyNumberFormat="1" applyFont="1">
      <alignment vertical="center"/>
    </xf>
    <xf numFmtId="0" fontId="4" fillId="0" borderId="0" xfId="0" applyFont="1">
      <alignment vertical="center"/>
    </xf>
    <xf numFmtId="49" fontId="0" fillId="0" borderId="0" xfId="1" applyNumberFormat="1" applyFont="1" applyFill="1" applyBorder="1" applyAlignment="1" applyProtection="1">
      <alignment horizontal="left" vertical="center"/>
    </xf>
    <xf numFmtId="49" fontId="4" fillId="0" borderId="0" xfId="1" applyNumberFormat="1" applyFont="1" applyFill="1" applyBorder="1" applyAlignment="1" applyProtection="1">
      <alignment horizontal="left" vertical="center"/>
    </xf>
    <xf numFmtId="0" fontId="9" fillId="0" borderId="0" xfId="0" applyFont="1" applyFill="1" applyAlignment="1"/>
    <xf numFmtId="0" fontId="7" fillId="0" borderId="0" xfId="0" applyFont="1" applyAlignment="1"/>
    <xf numFmtId="0" fontId="10" fillId="0" borderId="0" xfId="0" applyFont="1" applyAlignment="1"/>
    <xf numFmtId="49" fontId="0" fillId="0" borderId="1" xfId="1" applyNumberFormat="1" applyFont="1" applyFill="1" applyBorder="1" applyAlignment="1" applyProtection="1">
      <alignment horizontal="left" vertical="center"/>
    </xf>
    <xf numFmtId="1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1" fontId="4" fillId="0" borderId="0" xfId="1" applyNumberFormat="1" applyFont="1" applyFill="1" applyBorder="1" applyAlignment="1" applyProtection="1">
      <alignment horizontal="left" vertical="center"/>
    </xf>
    <xf numFmtId="0" fontId="4" fillId="0" borderId="0" xfId="0" applyFont="1" applyAlignment="1">
      <alignment vertical="center" wrapText="1"/>
    </xf>
    <xf numFmtId="49" fontId="0" fillId="0" borderId="0" xfId="1" applyNumberFormat="1" applyFont="1" applyFill="1" applyBorder="1" applyAlignment="1" applyProtection="1">
      <alignment horizontal="left" vertical="center" wrapText="1"/>
    </xf>
    <xf numFmtId="49" fontId="4" fillId="0" borderId="0" xfId="1" applyNumberFormat="1" applyFont="1" applyFill="1" applyBorder="1" applyAlignment="1" applyProtection="1">
      <alignment horizontal="left" vertical="center" wrapText="1"/>
    </xf>
    <xf numFmtId="0" fontId="8" fillId="0" borderId="0" xfId="0" applyFont="1" applyAlignment="1">
      <alignment wrapText="1"/>
    </xf>
  </cellXfs>
  <cellStyles count="2">
    <cellStyle name="常规" xfId="0" builtinId="0"/>
    <cellStyle name="普通 2" xfId="1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ont>
        <color auto="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ont>
        <color auto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72</xdr:row>
          <xdr:rowOff>19050</xdr:rowOff>
        </xdr:from>
        <xdr:to>
          <xdr:col>1</xdr:col>
          <xdr:colOff>447675</xdr:colOff>
          <xdr:row>74</xdr:row>
          <xdr:rowOff>38100</xdr:rowOff>
        </xdr:to>
        <xdr:sp macro="" textlink="">
          <xdr:nvSpPr>
            <xdr:cNvPr id="2051" name="CommandButton2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9"/>
  <sheetViews>
    <sheetView workbookViewId="0">
      <selection activeCell="H29" sqref="H29"/>
    </sheetView>
  </sheetViews>
  <sheetFormatPr defaultRowHeight="11.25"/>
  <cols>
    <col min="1" max="16384" width="9" style="1"/>
  </cols>
  <sheetData>
    <row r="2" spans="2:5" s="5" customFormat="1" ht="22.5">
      <c r="B2" s="5" t="s">
        <v>10</v>
      </c>
      <c r="C2" s="5" t="s">
        <v>11</v>
      </c>
      <c r="D2" s="5" t="s">
        <v>12</v>
      </c>
      <c r="E2" s="5" t="s">
        <v>13</v>
      </c>
    </row>
    <row r="4" spans="2:5">
      <c r="B4" s="4">
        <v>6</v>
      </c>
      <c r="C4" s="1">
        <f>B4*10</f>
        <v>60</v>
      </c>
      <c r="D4" s="1">
        <v>3</v>
      </c>
      <c r="E4" s="1">
        <v>0</v>
      </c>
    </row>
    <row r="5" spans="2:5">
      <c r="B5" s="1">
        <v>30</v>
      </c>
      <c r="C5" s="1">
        <f t="shared" ref="C5:C9" si="0">B5*10</f>
        <v>300</v>
      </c>
      <c r="D5" s="1">
        <v>20</v>
      </c>
      <c r="E5" s="1">
        <v>300</v>
      </c>
    </row>
    <row r="6" spans="2:5">
      <c r="B6" s="1">
        <v>98</v>
      </c>
      <c r="C6" s="1">
        <f t="shared" si="0"/>
        <v>980</v>
      </c>
      <c r="D6" s="1">
        <v>80</v>
      </c>
      <c r="E6" s="1">
        <v>0</v>
      </c>
    </row>
    <row r="7" spans="2:5">
      <c r="B7" s="1">
        <v>198</v>
      </c>
      <c r="C7" s="1">
        <f t="shared" si="0"/>
        <v>1980</v>
      </c>
      <c r="D7" s="1">
        <v>248</v>
      </c>
      <c r="E7" s="1">
        <v>1980</v>
      </c>
    </row>
    <row r="8" spans="2:5">
      <c r="B8" s="1">
        <v>328</v>
      </c>
      <c r="C8" s="1">
        <f t="shared" si="0"/>
        <v>3280</v>
      </c>
      <c r="D8" s="1">
        <v>600</v>
      </c>
      <c r="E8" s="1">
        <v>0</v>
      </c>
    </row>
    <row r="9" spans="2:5">
      <c r="B9" s="1">
        <v>648</v>
      </c>
      <c r="C9" s="1">
        <f t="shared" si="0"/>
        <v>6480</v>
      </c>
      <c r="D9" s="1">
        <v>1500</v>
      </c>
      <c r="E9" s="1">
        <v>6480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N20"/>
  <sheetViews>
    <sheetView workbookViewId="0">
      <selection activeCell="F26" sqref="F26"/>
    </sheetView>
  </sheetViews>
  <sheetFormatPr defaultRowHeight="11.25"/>
  <cols>
    <col min="1" max="1" width="9" style="1"/>
    <col min="2" max="2" width="17.125" style="1" customWidth="1"/>
    <col min="3" max="3" width="10" style="1" customWidth="1"/>
    <col min="4" max="16384" width="9" style="1"/>
  </cols>
  <sheetData>
    <row r="1" spans="2:40">
      <c r="C1" s="1" t="s">
        <v>15</v>
      </c>
      <c r="D1" s="1" t="s">
        <v>16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W1" s="1" t="s">
        <v>22</v>
      </c>
      <c r="X1" s="1" t="s">
        <v>23</v>
      </c>
      <c r="Y1" s="1">
        <f t="shared" ref="Y1:AN1" si="0">C9+C8+40</f>
        <v>55</v>
      </c>
      <c r="Z1" s="1">
        <f t="shared" si="0"/>
        <v>60</v>
      </c>
      <c r="AA1" s="1">
        <f t="shared" si="0"/>
        <v>62</v>
      </c>
      <c r="AB1" s="1">
        <f t="shared" si="0"/>
        <v>67</v>
      </c>
      <c r="AC1" s="1">
        <f t="shared" si="0"/>
        <v>70</v>
      </c>
      <c r="AD1" s="1">
        <f t="shared" si="0"/>
        <v>75</v>
      </c>
      <c r="AE1" s="1">
        <f t="shared" si="0"/>
        <v>77</v>
      </c>
      <c r="AF1" s="1">
        <f t="shared" si="0"/>
        <v>82</v>
      </c>
      <c r="AG1" s="1">
        <f t="shared" si="0"/>
        <v>84</v>
      </c>
      <c r="AH1" s="1">
        <f t="shared" si="0"/>
        <v>89</v>
      </c>
      <c r="AI1" s="1">
        <f t="shared" si="0"/>
        <v>91</v>
      </c>
      <c r="AJ1" s="1">
        <f t="shared" si="0"/>
        <v>96</v>
      </c>
      <c r="AK1" s="1">
        <f t="shared" si="0"/>
        <v>98</v>
      </c>
      <c r="AL1" s="1">
        <f t="shared" si="0"/>
        <v>103</v>
      </c>
      <c r="AM1" s="1">
        <f t="shared" si="0"/>
        <v>105</v>
      </c>
      <c r="AN1" s="1">
        <f t="shared" si="0"/>
        <v>110</v>
      </c>
    </row>
    <row r="2" spans="2:40">
      <c r="B2" s="1" t="s">
        <v>24</v>
      </c>
      <c r="C2" s="1">
        <v>0</v>
      </c>
      <c r="D2" s="7">
        <v>60</v>
      </c>
      <c r="E2" s="7">
        <v>180</v>
      </c>
      <c r="F2" s="7">
        <v>300</v>
      </c>
      <c r="G2" s="7">
        <v>600</v>
      </c>
      <c r="H2" s="7">
        <v>1000</v>
      </c>
      <c r="I2" s="7">
        <v>1500</v>
      </c>
      <c r="J2" s="7">
        <v>2600</v>
      </c>
      <c r="K2" s="7">
        <v>4000</v>
      </c>
      <c r="L2" s="7">
        <v>6000</v>
      </c>
      <c r="M2" s="7">
        <v>12000</v>
      </c>
      <c r="N2" s="7">
        <v>24000</v>
      </c>
      <c r="O2" s="8">
        <v>45000</v>
      </c>
      <c r="P2" s="8">
        <v>72000</v>
      </c>
      <c r="Q2" s="8">
        <v>108000</v>
      </c>
      <c r="R2" s="8">
        <v>168000</v>
      </c>
      <c r="W2" s="1" t="s">
        <v>25</v>
      </c>
      <c r="X2" s="1" t="s">
        <v>26</v>
      </c>
      <c r="Y2" s="1">
        <f>SUM(C7:C9)</f>
        <v>30</v>
      </c>
      <c r="Z2" s="1">
        <f t="shared" ref="Z2:AN2" si="1">SUM(D7:D9)</f>
        <v>35</v>
      </c>
      <c r="AA2" s="1">
        <f t="shared" si="1"/>
        <v>37</v>
      </c>
      <c r="AB2" s="1">
        <f t="shared" si="1"/>
        <v>47</v>
      </c>
      <c r="AC2" s="1">
        <f t="shared" si="1"/>
        <v>50</v>
      </c>
      <c r="AD2" s="1">
        <f t="shared" si="1"/>
        <v>60</v>
      </c>
      <c r="AE2" s="1">
        <f t="shared" si="1"/>
        <v>62</v>
      </c>
      <c r="AF2" s="1">
        <f t="shared" si="1"/>
        <v>72</v>
      </c>
      <c r="AG2" s="1">
        <f t="shared" si="1"/>
        <v>74</v>
      </c>
      <c r="AH2" s="1">
        <f t="shared" si="1"/>
        <v>84</v>
      </c>
      <c r="AI2" s="1">
        <f t="shared" si="1"/>
        <v>86</v>
      </c>
      <c r="AJ2" s="1">
        <f t="shared" si="1"/>
        <v>96</v>
      </c>
      <c r="AK2" s="1">
        <f t="shared" si="1"/>
        <v>98</v>
      </c>
      <c r="AL2" s="1">
        <f t="shared" si="1"/>
        <v>108</v>
      </c>
      <c r="AM2" s="1">
        <f t="shared" si="1"/>
        <v>110</v>
      </c>
      <c r="AN2" s="1">
        <f t="shared" si="1"/>
        <v>120</v>
      </c>
    </row>
    <row r="3" spans="2:40">
      <c r="B3" s="1" t="s">
        <v>27</v>
      </c>
      <c r="W3" s="1" t="s">
        <v>28</v>
      </c>
      <c r="X3" s="1" t="s">
        <v>26</v>
      </c>
      <c r="Y3" s="1">
        <f>C7+C9</f>
        <v>15</v>
      </c>
      <c r="Z3" s="1">
        <f t="shared" ref="Z3:AN3" si="2">D7+D9</f>
        <v>20</v>
      </c>
      <c r="AA3" s="1">
        <f t="shared" si="2"/>
        <v>22</v>
      </c>
      <c r="AB3" s="1">
        <f t="shared" si="2"/>
        <v>27</v>
      </c>
      <c r="AC3" s="1">
        <f t="shared" si="2"/>
        <v>30</v>
      </c>
      <c r="AD3" s="1">
        <f t="shared" si="2"/>
        <v>35</v>
      </c>
      <c r="AE3" s="1">
        <f t="shared" si="2"/>
        <v>37</v>
      </c>
      <c r="AF3" s="1">
        <f t="shared" si="2"/>
        <v>42</v>
      </c>
      <c r="AG3" s="1">
        <f t="shared" si="2"/>
        <v>44</v>
      </c>
      <c r="AH3" s="1">
        <f t="shared" si="2"/>
        <v>49</v>
      </c>
      <c r="AI3" s="1">
        <f t="shared" si="2"/>
        <v>51</v>
      </c>
      <c r="AJ3" s="1">
        <f t="shared" si="2"/>
        <v>56</v>
      </c>
      <c r="AK3" s="1">
        <f t="shared" si="2"/>
        <v>58</v>
      </c>
      <c r="AL3" s="1">
        <f t="shared" si="2"/>
        <v>63</v>
      </c>
      <c r="AM3" s="1">
        <f t="shared" si="2"/>
        <v>65</v>
      </c>
      <c r="AN3" s="1">
        <f t="shared" si="2"/>
        <v>70</v>
      </c>
    </row>
    <row r="4" spans="2:40">
      <c r="B4" s="1" t="s">
        <v>29</v>
      </c>
      <c r="C4" s="1">
        <v>0</v>
      </c>
      <c r="D4" s="2">
        <v>1</v>
      </c>
      <c r="E4" s="1">
        <v>1</v>
      </c>
      <c r="F4" s="1">
        <v>1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>
        <v>1</v>
      </c>
      <c r="N4" s="1">
        <v>1</v>
      </c>
      <c r="O4" s="1">
        <v>1</v>
      </c>
      <c r="P4" s="1">
        <v>1</v>
      </c>
      <c r="Q4" s="1">
        <v>1</v>
      </c>
      <c r="R4" s="1">
        <v>1</v>
      </c>
      <c r="W4" s="1" t="s">
        <v>30</v>
      </c>
      <c r="X4" s="1" t="s">
        <v>31</v>
      </c>
      <c r="Y4" s="9">
        <f t="shared" ref="Y4:AN4" si="3">(370+C6*25)/8</f>
        <v>52.5</v>
      </c>
      <c r="Z4" s="9">
        <f t="shared" si="3"/>
        <v>52.5</v>
      </c>
      <c r="AA4" s="9">
        <f t="shared" si="3"/>
        <v>58.75</v>
      </c>
      <c r="AB4" s="9">
        <f t="shared" si="3"/>
        <v>58.75</v>
      </c>
      <c r="AC4" s="9">
        <f t="shared" si="3"/>
        <v>65</v>
      </c>
      <c r="AD4" s="9">
        <f t="shared" si="3"/>
        <v>65</v>
      </c>
      <c r="AE4" s="9">
        <f t="shared" si="3"/>
        <v>71.25</v>
      </c>
      <c r="AF4" s="9">
        <f t="shared" si="3"/>
        <v>71.25</v>
      </c>
      <c r="AG4" s="9">
        <f t="shared" si="3"/>
        <v>80.625</v>
      </c>
      <c r="AH4" s="9">
        <f t="shared" si="3"/>
        <v>80.625</v>
      </c>
      <c r="AI4" s="9">
        <f t="shared" si="3"/>
        <v>86.875</v>
      </c>
      <c r="AJ4" s="9">
        <f t="shared" si="3"/>
        <v>86.875</v>
      </c>
      <c r="AK4" s="9">
        <f t="shared" si="3"/>
        <v>93.125</v>
      </c>
      <c r="AL4" s="9">
        <f t="shared" si="3"/>
        <v>93.125</v>
      </c>
      <c r="AM4" s="9">
        <f t="shared" si="3"/>
        <v>102.5</v>
      </c>
      <c r="AN4" s="9">
        <f t="shared" si="3"/>
        <v>108.75</v>
      </c>
    </row>
    <row r="5" spans="2:40">
      <c r="B5" s="1" t="s">
        <v>32</v>
      </c>
      <c r="C5" s="1">
        <v>100</v>
      </c>
      <c r="D5" s="1">
        <v>100</v>
      </c>
      <c r="E5" s="2">
        <v>110</v>
      </c>
      <c r="F5" s="1">
        <v>110</v>
      </c>
      <c r="G5" s="2">
        <v>120</v>
      </c>
      <c r="H5" s="1">
        <v>120</v>
      </c>
      <c r="I5" s="2">
        <v>130</v>
      </c>
      <c r="J5" s="1">
        <v>130</v>
      </c>
      <c r="K5" s="2">
        <v>140</v>
      </c>
      <c r="L5" s="1">
        <v>140</v>
      </c>
      <c r="M5" s="2">
        <v>160</v>
      </c>
      <c r="N5" s="1">
        <v>160</v>
      </c>
      <c r="O5" s="2">
        <v>180</v>
      </c>
      <c r="P5" s="1">
        <v>180</v>
      </c>
      <c r="Q5" s="2">
        <v>200</v>
      </c>
      <c r="R5" s="1">
        <v>200</v>
      </c>
      <c r="W5" s="1" t="s">
        <v>33</v>
      </c>
      <c r="X5" s="1" t="s">
        <v>34</v>
      </c>
      <c r="Y5" s="9">
        <f t="shared" ref="Y5:AN5" si="4">(C5+C6*25)/8</f>
        <v>18.75</v>
      </c>
      <c r="Z5" s="9">
        <f t="shared" si="4"/>
        <v>18.75</v>
      </c>
      <c r="AA5" s="9">
        <f t="shared" si="4"/>
        <v>26.25</v>
      </c>
      <c r="AB5" s="9">
        <f t="shared" si="4"/>
        <v>26.25</v>
      </c>
      <c r="AC5" s="9">
        <f t="shared" si="4"/>
        <v>33.75</v>
      </c>
      <c r="AD5" s="9">
        <f t="shared" si="4"/>
        <v>33.75</v>
      </c>
      <c r="AE5" s="9">
        <f t="shared" si="4"/>
        <v>41.25</v>
      </c>
      <c r="AF5" s="9">
        <f t="shared" si="4"/>
        <v>41.25</v>
      </c>
      <c r="AG5" s="9">
        <f t="shared" si="4"/>
        <v>51.875</v>
      </c>
      <c r="AH5" s="9">
        <f t="shared" si="4"/>
        <v>51.875</v>
      </c>
      <c r="AI5" s="9">
        <f t="shared" si="4"/>
        <v>60.625</v>
      </c>
      <c r="AJ5" s="9">
        <f t="shared" si="4"/>
        <v>60.625</v>
      </c>
      <c r="AK5" s="9">
        <f t="shared" si="4"/>
        <v>69.375</v>
      </c>
      <c r="AL5" s="9">
        <f t="shared" si="4"/>
        <v>69.375</v>
      </c>
      <c r="AM5" s="9">
        <f t="shared" si="4"/>
        <v>81.25</v>
      </c>
      <c r="AN5" s="9">
        <f t="shared" si="4"/>
        <v>87.5</v>
      </c>
    </row>
    <row r="6" spans="2:40">
      <c r="B6" s="1" t="s">
        <v>35</v>
      </c>
      <c r="C6" s="1">
        <v>2</v>
      </c>
      <c r="D6" s="1">
        <v>2</v>
      </c>
      <c r="E6" s="2">
        <v>4</v>
      </c>
      <c r="F6" s="1">
        <v>4</v>
      </c>
      <c r="G6" s="2">
        <v>6</v>
      </c>
      <c r="H6" s="1">
        <v>6</v>
      </c>
      <c r="I6" s="2">
        <v>8</v>
      </c>
      <c r="J6" s="1">
        <v>8</v>
      </c>
      <c r="K6" s="2">
        <v>11</v>
      </c>
      <c r="L6" s="1">
        <v>11</v>
      </c>
      <c r="M6" s="2">
        <v>13</v>
      </c>
      <c r="N6" s="1">
        <v>13</v>
      </c>
      <c r="O6" s="2">
        <v>15</v>
      </c>
      <c r="P6" s="1">
        <v>15</v>
      </c>
      <c r="Q6" s="2">
        <v>18</v>
      </c>
      <c r="R6" s="2">
        <v>20</v>
      </c>
    </row>
    <row r="7" spans="2:40">
      <c r="B7" s="1" t="s">
        <v>36</v>
      </c>
      <c r="C7" s="1">
        <v>15</v>
      </c>
      <c r="D7" s="1">
        <v>15</v>
      </c>
      <c r="E7" s="1">
        <v>15</v>
      </c>
      <c r="F7" s="2">
        <v>20</v>
      </c>
      <c r="G7" s="1">
        <v>20</v>
      </c>
      <c r="H7" s="2">
        <v>25</v>
      </c>
      <c r="I7" s="1">
        <v>25</v>
      </c>
      <c r="J7" s="2">
        <v>30</v>
      </c>
      <c r="K7" s="1">
        <v>30</v>
      </c>
      <c r="L7" s="2">
        <v>35</v>
      </c>
      <c r="M7" s="1">
        <v>35</v>
      </c>
      <c r="N7" s="2">
        <v>40</v>
      </c>
      <c r="O7" s="3">
        <v>40</v>
      </c>
      <c r="P7" s="2">
        <v>45</v>
      </c>
      <c r="Q7" s="3">
        <v>45</v>
      </c>
      <c r="R7" s="2">
        <v>50</v>
      </c>
    </row>
    <row r="8" spans="2:40">
      <c r="B8" s="1" t="s">
        <v>37</v>
      </c>
      <c r="C8" s="1">
        <v>15</v>
      </c>
      <c r="D8" s="1">
        <v>15</v>
      </c>
      <c r="E8" s="1">
        <v>15</v>
      </c>
      <c r="F8" s="2">
        <v>20</v>
      </c>
      <c r="G8" s="1">
        <v>20</v>
      </c>
      <c r="H8" s="2">
        <v>25</v>
      </c>
      <c r="I8" s="1">
        <v>25</v>
      </c>
      <c r="J8" s="2">
        <v>30</v>
      </c>
      <c r="K8" s="1">
        <v>30</v>
      </c>
      <c r="L8" s="2">
        <v>35</v>
      </c>
      <c r="M8" s="1">
        <v>35</v>
      </c>
      <c r="N8" s="2">
        <v>40</v>
      </c>
      <c r="O8" s="3">
        <v>40</v>
      </c>
      <c r="P8" s="2">
        <v>45</v>
      </c>
      <c r="Q8" s="3">
        <v>45</v>
      </c>
      <c r="R8" s="2">
        <v>50</v>
      </c>
    </row>
    <row r="9" spans="2:40">
      <c r="B9" s="1" t="s">
        <v>38</v>
      </c>
      <c r="C9" s="1">
        <v>0</v>
      </c>
      <c r="D9" s="2">
        <v>5</v>
      </c>
      <c r="E9" s="2">
        <v>7</v>
      </c>
      <c r="F9" s="1">
        <v>7</v>
      </c>
      <c r="G9" s="2">
        <v>10</v>
      </c>
      <c r="H9" s="1">
        <v>10</v>
      </c>
      <c r="I9" s="2">
        <v>12</v>
      </c>
      <c r="J9" s="1">
        <v>12</v>
      </c>
      <c r="K9" s="2">
        <v>14</v>
      </c>
      <c r="L9" s="1">
        <v>14</v>
      </c>
      <c r="M9" s="2">
        <v>16</v>
      </c>
      <c r="N9" s="1">
        <v>16</v>
      </c>
      <c r="O9" s="2">
        <v>18</v>
      </c>
      <c r="P9" s="1">
        <v>18</v>
      </c>
      <c r="Q9" s="2">
        <v>20</v>
      </c>
      <c r="R9" s="1">
        <v>20</v>
      </c>
    </row>
    <row r="10" spans="2:40">
      <c r="B10" s="1" t="s">
        <v>39</v>
      </c>
      <c r="C10" s="1">
        <v>5</v>
      </c>
      <c r="D10" s="1">
        <v>5</v>
      </c>
      <c r="E10" s="1">
        <v>5</v>
      </c>
      <c r="F10" s="1">
        <v>5</v>
      </c>
      <c r="G10" s="3">
        <v>5</v>
      </c>
      <c r="H10" s="1">
        <v>5</v>
      </c>
      <c r="I10" s="1">
        <v>5</v>
      </c>
      <c r="J10" s="1">
        <v>5</v>
      </c>
      <c r="K10" s="1">
        <v>5</v>
      </c>
      <c r="L10" s="2">
        <v>6</v>
      </c>
      <c r="M10" s="1">
        <v>6</v>
      </c>
      <c r="N10" s="1">
        <v>6</v>
      </c>
      <c r="O10" s="1">
        <v>6</v>
      </c>
      <c r="P10" s="2">
        <v>7</v>
      </c>
      <c r="Q10" s="1">
        <v>7</v>
      </c>
      <c r="R10" s="1">
        <v>7</v>
      </c>
    </row>
    <row r="11" spans="2:40">
      <c r="B11" s="1" t="s">
        <v>40</v>
      </c>
      <c r="C11" s="1">
        <v>2</v>
      </c>
      <c r="D11" s="1">
        <v>2</v>
      </c>
      <c r="E11" s="1">
        <v>2</v>
      </c>
      <c r="F11" s="1">
        <v>2</v>
      </c>
      <c r="G11" s="3">
        <v>2</v>
      </c>
      <c r="H11" s="1">
        <v>2</v>
      </c>
      <c r="I11" s="1">
        <v>2</v>
      </c>
      <c r="J11" s="1">
        <v>2</v>
      </c>
      <c r="K11" s="1">
        <v>2</v>
      </c>
      <c r="L11" s="2">
        <v>3</v>
      </c>
      <c r="M11" s="1">
        <v>3</v>
      </c>
      <c r="N11" s="1">
        <v>3</v>
      </c>
      <c r="O11" s="1">
        <v>3</v>
      </c>
      <c r="P11" s="2">
        <v>4</v>
      </c>
      <c r="Q11" s="1">
        <v>4</v>
      </c>
      <c r="R11" s="1">
        <v>4</v>
      </c>
    </row>
    <row r="12" spans="2:40">
      <c r="B12" s="1" t="s">
        <v>41</v>
      </c>
      <c r="C12" s="1">
        <v>0</v>
      </c>
      <c r="D12" s="1">
        <v>0</v>
      </c>
      <c r="E12" s="1">
        <v>0</v>
      </c>
      <c r="F12" s="3">
        <v>0</v>
      </c>
      <c r="G12" s="1">
        <v>0</v>
      </c>
      <c r="H12" s="2">
        <v>1</v>
      </c>
      <c r="I12" s="1">
        <v>1</v>
      </c>
      <c r="J12" s="1">
        <v>1</v>
      </c>
      <c r="K12" s="1">
        <v>1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</row>
    <row r="13" spans="2:40">
      <c r="B13" s="1" t="s">
        <v>42</v>
      </c>
      <c r="C13" s="1">
        <v>5</v>
      </c>
      <c r="D13" s="1">
        <v>5</v>
      </c>
      <c r="E13" s="1">
        <v>5</v>
      </c>
      <c r="F13" s="1">
        <v>5</v>
      </c>
      <c r="G13" s="3">
        <v>5</v>
      </c>
      <c r="H13" s="1">
        <v>5</v>
      </c>
      <c r="I13" s="1">
        <v>5</v>
      </c>
      <c r="J13" s="2">
        <v>6</v>
      </c>
      <c r="K13" s="1">
        <v>6</v>
      </c>
      <c r="L13" s="1">
        <v>6</v>
      </c>
      <c r="M13" s="1">
        <v>6</v>
      </c>
      <c r="N13" s="2">
        <v>7</v>
      </c>
      <c r="O13" s="1">
        <v>7</v>
      </c>
      <c r="P13" s="1">
        <v>7</v>
      </c>
      <c r="Q13" s="1">
        <v>7</v>
      </c>
      <c r="R13" s="1">
        <v>7</v>
      </c>
    </row>
    <row r="14" spans="2:40">
      <c r="B14" s="1" t="s">
        <v>43</v>
      </c>
      <c r="C14" s="1">
        <v>2</v>
      </c>
      <c r="D14" s="1">
        <v>2</v>
      </c>
      <c r="E14" s="1">
        <v>2</v>
      </c>
      <c r="F14" s="1">
        <v>2</v>
      </c>
      <c r="G14" s="3">
        <v>2</v>
      </c>
      <c r="H14" s="1">
        <v>2</v>
      </c>
      <c r="I14" s="1">
        <v>2</v>
      </c>
      <c r="J14" s="2">
        <v>3</v>
      </c>
      <c r="K14" s="1">
        <v>3</v>
      </c>
      <c r="L14" s="1">
        <v>3</v>
      </c>
      <c r="M14" s="1">
        <v>3</v>
      </c>
      <c r="N14" s="2">
        <v>4</v>
      </c>
      <c r="O14" s="1">
        <v>4</v>
      </c>
      <c r="P14" s="1">
        <v>4</v>
      </c>
      <c r="Q14" s="1">
        <v>4</v>
      </c>
      <c r="R14" s="1">
        <v>4</v>
      </c>
    </row>
    <row r="15" spans="2:40">
      <c r="B15" s="1" t="s">
        <v>44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3">
        <v>0</v>
      </c>
      <c r="I15" s="1">
        <v>0</v>
      </c>
      <c r="J15" s="1">
        <v>0</v>
      </c>
      <c r="K15" s="1">
        <v>0</v>
      </c>
      <c r="L15" s="2">
        <v>1</v>
      </c>
      <c r="M15" s="1">
        <v>1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</row>
    <row r="16" spans="2:40">
      <c r="B16" s="1" t="s">
        <v>45</v>
      </c>
      <c r="C16" s="1">
        <v>20</v>
      </c>
      <c r="D16" s="1">
        <v>20</v>
      </c>
      <c r="E16" s="2">
        <v>30</v>
      </c>
      <c r="F16" s="1">
        <v>30</v>
      </c>
      <c r="G16" s="2">
        <v>50</v>
      </c>
      <c r="H16" s="1">
        <v>50</v>
      </c>
      <c r="I16" s="2">
        <v>70</v>
      </c>
      <c r="J16" s="1">
        <v>70</v>
      </c>
      <c r="K16" s="2">
        <v>90</v>
      </c>
      <c r="L16" s="1">
        <v>90</v>
      </c>
      <c r="M16" s="2">
        <v>110</v>
      </c>
      <c r="N16" s="1">
        <v>110</v>
      </c>
      <c r="O16" s="2">
        <v>130</v>
      </c>
      <c r="P16" s="1">
        <v>130</v>
      </c>
      <c r="Q16" s="2">
        <v>150</v>
      </c>
      <c r="R16" s="1">
        <v>150</v>
      </c>
    </row>
    <row r="17" spans="2:18">
      <c r="B17" s="1" t="s">
        <v>46</v>
      </c>
      <c r="C17" s="1">
        <v>8</v>
      </c>
      <c r="D17" s="1">
        <v>8</v>
      </c>
      <c r="E17" s="1">
        <v>8</v>
      </c>
      <c r="F17" s="1">
        <v>8</v>
      </c>
      <c r="G17" s="1">
        <v>8</v>
      </c>
      <c r="H17" s="3">
        <v>9</v>
      </c>
      <c r="I17" s="2">
        <v>9</v>
      </c>
      <c r="J17" s="1">
        <v>9</v>
      </c>
      <c r="K17" s="1">
        <v>9</v>
      </c>
      <c r="L17" s="1">
        <v>9</v>
      </c>
      <c r="M17" s="2">
        <v>10</v>
      </c>
      <c r="N17" s="1">
        <v>10</v>
      </c>
      <c r="O17" s="1">
        <v>10</v>
      </c>
      <c r="P17" s="1">
        <v>10</v>
      </c>
      <c r="Q17" s="1">
        <v>10</v>
      </c>
      <c r="R17" s="1">
        <v>10</v>
      </c>
    </row>
    <row r="18" spans="2:18">
      <c r="B18" s="1" t="s">
        <v>47</v>
      </c>
      <c r="C18" s="1">
        <v>4</v>
      </c>
      <c r="D18" s="1">
        <v>4</v>
      </c>
      <c r="E18" s="1">
        <v>4</v>
      </c>
      <c r="F18" s="1">
        <v>4</v>
      </c>
      <c r="G18" s="1">
        <v>4</v>
      </c>
      <c r="H18" s="3">
        <v>5</v>
      </c>
      <c r="I18" s="2">
        <v>5</v>
      </c>
      <c r="J18" s="1">
        <v>5</v>
      </c>
      <c r="K18" s="1">
        <v>5</v>
      </c>
      <c r="L18" s="1">
        <v>5</v>
      </c>
      <c r="M18" s="2">
        <v>7</v>
      </c>
      <c r="N18" s="1">
        <v>7</v>
      </c>
      <c r="O18" s="1">
        <v>7</v>
      </c>
      <c r="P18" s="1">
        <v>7</v>
      </c>
      <c r="Q18" s="1">
        <v>7</v>
      </c>
      <c r="R18" s="1">
        <v>7</v>
      </c>
    </row>
    <row r="19" spans="2:18">
      <c r="B19" s="1" t="s">
        <v>48</v>
      </c>
      <c r="C19" s="1">
        <v>0</v>
      </c>
      <c r="D19" s="1">
        <v>0</v>
      </c>
      <c r="E19" s="1">
        <v>0</v>
      </c>
      <c r="F19" s="2">
        <v>1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>
        <v>1</v>
      </c>
      <c r="M19" s="1">
        <v>1</v>
      </c>
      <c r="N19" s="1">
        <v>1</v>
      </c>
      <c r="O19" s="1">
        <v>1</v>
      </c>
      <c r="P19" s="1">
        <v>1</v>
      </c>
      <c r="Q19" s="1">
        <v>1</v>
      </c>
      <c r="R19" s="1">
        <v>1</v>
      </c>
    </row>
    <row r="20" spans="2:18">
      <c r="B20" s="1" t="s">
        <v>49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2">
        <v>1</v>
      </c>
      <c r="J20" s="3">
        <v>1</v>
      </c>
      <c r="K20" s="1">
        <v>1</v>
      </c>
      <c r="L20" s="1">
        <v>1</v>
      </c>
      <c r="M20" s="1">
        <v>1</v>
      </c>
      <c r="N20" s="1">
        <v>1</v>
      </c>
      <c r="O20" s="1">
        <v>1</v>
      </c>
      <c r="P20" s="1">
        <v>1</v>
      </c>
      <c r="Q20" s="1">
        <v>1</v>
      </c>
      <c r="R20" s="1">
        <v>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104"/>
  <sheetViews>
    <sheetView tabSelected="1" workbookViewId="0">
      <pane xSplit="3" ySplit="2" topLeftCell="D72" activePane="bottomRight" state="frozen"/>
      <selection pane="topRight" activeCell="D1" sqref="D1"/>
      <selection pane="bottomLeft" activeCell="A3" sqref="A3"/>
      <selection pane="bottomRight" activeCell="D86" sqref="D86:D104"/>
    </sheetView>
  </sheetViews>
  <sheetFormatPr defaultRowHeight="11.25"/>
  <cols>
    <col min="1" max="2" width="9" style="1"/>
    <col min="3" max="3" width="35.375" style="1" customWidth="1"/>
    <col min="4" max="20" width="31.125" style="1" customWidth="1"/>
    <col min="21" max="29" width="23.75" style="1" customWidth="1"/>
    <col min="30" max="16384" width="9" style="1"/>
  </cols>
  <sheetData>
    <row r="1" spans="1:3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</row>
    <row r="2" spans="1:33" s="5" customFormat="1" ht="33.75">
      <c r="B2" s="5" t="s">
        <v>9</v>
      </c>
      <c r="C2" s="5" t="s">
        <v>50</v>
      </c>
      <c r="D2" s="1" t="s">
        <v>128</v>
      </c>
      <c r="E2" s="1" t="s">
        <v>153</v>
      </c>
      <c r="F2" s="1" t="s">
        <v>129</v>
      </c>
      <c r="G2" s="1" t="s">
        <v>144</v>
      </c>
      <c r="H2" s="1" t="s">
        <v>145</v>
      </c>
      <c r="I2" s="1" t="s">
        <v>150</v>
      </c>
      <c r="J2" s="1" t="s">
        <v>151</v>
      </c>
      <c r="K2" s="1" t="s">
        <v>155</v>
      </c>
      <c r="L2" s="1" t="s">
        <v>156</v>
      </c>
      <c r="M2" s="1" t="s">
        <v>157</v>
      </c>
      <c r="N2" s="1" t="s">
        <v>58</v>
      </c>
      <c r="O2" s="1" t="s">
        <v>63</v>
      </c>
      <c r="P2" s="1" t="s">
        <v>64</v>
      </c>
      <c r="Q2" s="1" t="s">
        <v>51</v>
      </c>
      <c r="R2" s="1" t="s">
        <v>52</v>
      </c>
      <c r="S2" s="1" t="s">
        <v>53</v>
      </c>
      <c r="T2" s="1" t="s">
        <v>60</v>
      </c>
      <c r="U2" s="1" t="s">
        <v>61</v>
      </c>
      <c r="V2" s="1" t="s">
        <v>54</v>
      </c>
      <c r="W2" s="1" t="s">
        <v>55</v>
      </c>
      <c r="X2" s="1" t="s">
        <v>125</v>
      </c>
      <c r="Y2" s="1" t="s">
        <v>126</v>
      </c>
      <c r="Z2" s="1" t="s">
        <v>57</v>
      </c>
      <c r="AA2" s="1" t="s">
        <v>124</v>
      </c>
      <c r="AB2" s="1" t="s">
        <v>59</v>
      </c>
      <c r="AC2" s="1" t="s">
        <v>62</v>
      </c>
      <c r="AD2" s="5" t="s">
        <v>56</v>
      </c>
      <c r="AE2" s="5" t="s">
        <v>122</v>
      </c>
      <c r="AF2" s="5" t="s">
        <v>123</v>
      </c>
      <c r="AG2" s="5" t="s">
        <v>127</v>
      </c>
    </row>
    <row r="4" spans="1:33">
      <c r="B4" s="1">
        <v>0</v>
      </c>
      <c r="C4" s="1">
        <v>0</v>
      </c>
      <c r="D4" s="1">
        <v>2</v>
      </c>
      <c r="E4" s="1">
        <v>3</v>
      </c>
      <c r="F4" s="1">
        <v>1</v>
      </c>
      <c r="G4" s="1">
        <v>2</v>
      </c>
      <c r="H4" s="1" t="s">
        <v>146</v>
      </c>
      <c r="I4" s="1">
        <v>10</v>
      </c>
      <c r="J4" s="1">
        <v>0</v>
      </c>
      <c r="K4" s="1">
        <v>0</v>
      </c>
      <c r="L4" s="1">
        <v>0</v>
      </c>
      <c r="M4" s="1">
        <v>0</v>
      </c>
      <c r="N4" s="1">
        <v>2</v>
      </c>
      <c r="O4" s="1">
        <v>5</v>
      </c>
      <c r="P4" s="1">
        <v>2</v>
      </c>
      <c r="Q4" s="1">
        <v>0</v>
      </c>
      <c r="R4" s="1">
        <v>5</v>
      </c>
      <c r="S4" s="1">
        <v>2</v>
      </c>
      <c r="T4" s="1">
        <v>5</v>
      </c>
      <c r="U4" s="1">
        <v>2</v>
      </c>
      <c r="V4" s="1">
        <v>5</v>
      </c>
      <c r="W4" s="1">
        <v>2</v>
      </c>
      <c r="X4" s="1">
        <v>6</v>
      </c>
      <c r="Y4" s="1">
        <v>20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</row>
    <row r="5" spans="1:33">
      <c r="B5" s="1">
        <v>1</v>
      </c>
      <c r="C5" s="1">
        <v>60</v>
      </c>
      <c r="D5" s="2">
        <v>3</v>
      </c>
      <c r="E5" s="2">
        <v>5</v>
      </c>
      <c r="F5" s="1">
        <v>1</v>
      </c>
      <c r="G5" s="1">
        <v>2</v>
      </c>
      <c r="H5" s="1" t="s">
        <v>146</v>
      </c>
      <c r="I5" s="1">
        <v>10</v>
      </c>
      <c r="J5" s="2">
        <v>0</v>
      </c>
      <c r="K5" s="2">
        <v>0</v>
      </c>
      <c r="L5" s="2">
        <v>0</v>
      </c>
      <c r="M5" s="2">
        <v>0</v>
      </c>
      <c r="N5" s="2">
        <v>2</v>
      </c>
      <c r="O5" s="1">
        <v>5</v>
      </c>
      <c r="P5" s="1">
        <v>2</v>
      </c>
      <c r="Q5" s="1">
        <v>0</v>
      </c>
      <c r="R5" s="1">
        <v>5</v>
      </c>
      <c r="S5" s="1">
        <v>2</v>
      </c>
      <c r="T5" s="1">
        <v>5</v>
      </c>
      <c r="U5" s="1">
        <v>2</v>
      </c>
      <c r="V5" s="1">
        <v>5</v>
      </c>
      <c r="W5" s="1">
        <v>2</v>
      </c>
      <c r="X5" s="1">
        <v>6</v>
      </c>
      <c r="Y5" s="1">
        <v>20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1</v>
      </c>
    </row>
    <row r="6" spans="1:33">
      <c r="B6" s="1">
        <v>2</v>
      </c>
      <c r="C6" s="1">
        <v>300</v>
      </c>
      <c r="D6" s="1">
        <v>4</v>
      </c>
      <c r="E6" s="1">
        <v>7</v>
      </c>
      <c r="F6" s="2">
        <v>2</v>
      </c>
      <c r="G6" s="2">
        <v>2</v>
      </c>
      <c r="H6" s="1" t="s">
        <v>146</v>
      </c>
      <c r="I6" s="1">
        <v>10</v>
      </c>
      <c r="J6" s="2">
        <v>0</v>
      </c>
      <c r="K6" s="2">
        <v>0</v>
      </c>
      <c r="L6" s="2">
        <v>0</v>
      </c>
      <c r="M6" s="2">
        <v>0</v>
      </c>
      <c r="N6" s="2">
        <v>2</v>
      </c>
      <c r="O6" s="1">
        <v>5</v>
      </c>
      <c r="P6" s="1">
        <v>2</v>
      </c>
      <c r="Q6" s="1">
        <v>0</v>
      </c>
      <c r="R6" s="1">
        <v>5</v>
      </c>
      <c r="S6" s="1">
        <v>2</v>
      </c>
      <c r="T6" s="1">
        <v>5</v>
      </c>
      <c r="U6" s="2">
        <v>2</v>
      </c>
      <c r="V6" s="1">
        <v>5</v>
      </c>
      <c r="W6" s="1">
        <v>2</v>
      </c>
      <c r="X6" s="1">
        <v>6</v>
      </c>
      <c r="Y6" s="1">
        <v>20</v>
      </c>
      <c r="Z6" s="1">
        <v>0</v>
      </c>
      <c r="AA6" s="1">
        <v>0</v>
      </c>
      <c r="AB6" s="1">
        <v>0</v>
      </c>
      <c r="AC6" s="1">
        <v>0</v>
      </c>
      <c r="AD6" s="1">
        <v>1</v>
      </c>
      <c r="AE6" s="1">
        <v>0</v>
      </c>
      <c r="AF6" s="1">
        <v>0</v>
      </c>
      <c r="AG6" s="1">
        <v>1</v>
      </c>
    </row>
    <row r="7" spans="1:33">
      <c r="B7" s="1">
        <v>3</v>
      </c>
      <c r="C7" s="1">
        <v>600</v>
      </c>
      <c r="D7" s="1">
        <v>5</v>
      </c>
      <c r="E7" s="1">
        <v>9</v>
      </c>
      <c r="F7" s="1">
        <v>2</v>
      </c>
      <c r="G7" s="1">
        <v>2</v>
      </c>
      <c r="H7" s="2" t="s">
        <v>146</v>
      </c>
      <c r="I7" s="2">
        <v>10</v>
      </c>
      <c r="J7" s="1">
        <v>0</v>
      </c>
      <c r="K7" s="1">
        <v>0</v>
      </c>
      <c r="L7" s="1">
        <v>0</v>
      </c>
      <c r="M7" s="1">
        <v>0</v>
      </c>
      <c r="N7" s="1">
        <v>2</v>
      </c>
      <c r="O7" s="1">
        <v>5</v>
      </c>
      <c r="P7" s="1">
        <v>2</v>
      </c>
      <c r="Q7" s="3">
        <v>0</v>
      </c>
      <c r="R7" s="1">
        <v>5</v>
      </c>
      <c r="S7" s="1">
        <v>2</v>
      </c>
      <c r="T7" s="1">
        <v>5</v>
      </c>
      <c r="U7" s="1">
        <v>2</v>
      </c>
      <c r="V7" s="1">
        <v>5</v>
      </c>
      <c r="W7" s="1">
        <v>2</v>
      </c>
      <c r="X7" s="1">
        <v>6</v>
      </c>
      <c r="Y7" s="1">
        <v>20</v>
      </c>
      <c r="Z7" s="2">
        <v>1</v>
      </c>
      <c r="AA7" s="1">
        <v>0</v>
      </c>
      <c r="AB7" s="1">
        <v>0</v>
      </c>
      <c r="AC7" s="1">
        <v>0</v>
      </c>
      <c r="AD7" s="1">
        <v>1</v>
      </c>
      <c r="AE7" s="1">
        <v>0</v>
      </c>
      <c r="AF7" s="1">
        <v>0</v>
      </c>
      <c r="AG7" s="1">
        <v>1</v>
      </c>
    </row>
    <row r="8" spans="1:33">
      <c r="B8" s="1">
        <v>4</v>
      </c>
      <c r="C8" s="1">
        <v>1000</v>
      </c>
      <c r="D8" s="1">
        <v>6</v>
      </c>
      <c r="E8" s="1">
        <v>12</v>
      </c>
      <c r="F8" s="2">
        <v>2</v>
      </c>
      <c r="G8" s="2">
        <v>2</v>
      </c>
      <c r="H8" s="1" t="s">
        <v>147</v>
      </c>
      <c r="I8" s="1">
        <v>10</v>
      </c>
      <c r="J8" s="2">
        <v>0</v>
      </c>
      <c r="K8" s="2">
        <v>0</v>
      </c>
      <c r="L8" s="2">
        <v>0</v>
      </c>
      <c r="M8" s="2">
        <v>0</v>
      </c>
      <c r="N8" s="2">
        <v>2</v>
      </c>
      <c r="O8" s="3">
        <v>5</v>
      </c>
      <c r="P8" s="3">
        <v>2</v>
      </c>
      <c r="Q8" s="1">
        <v>0</v>
      </c>
      <c r="R8" s="3">
        <v>5</v>
      </c>
      <c r="S8" s="3">
        <v>2</v>
      </c>
      <c r="T8" s="1">
        <v>5</v>
      </c>
      <c r="U8" s="2">
        <v>2</v>
      </c>
      <c r="V8" s="1">
        <v>5</v>
      </c>
      <c r="W8" s="1">
        <v>2</v>
      </c>
      <c r="X8" s="1">
        <v>6</v>
      </c>
      <c r="Y8" s="1">
        <v>20</v>
      </c>
      <c r="Z8" s="1">
        <v>1</v>
      </c>
      <c r="AA8" s="1">
        <v>0</v>
      </c>
      <c r="AB8" s="1">
        <v>0</v>
      </c>
      <c r="AC8" s="1">
        <v>0</v>
      </c>
      <c r="AD8" s="1">
        <v>1</v>
      </c>
      <c r="AE8" s="1">
        <v>0</v>
      </c>
      <c r="AF8" s="1">
        <v>0</v>
      </c>
      <c r="AG8" s="1">
        <v>1</v>
      </c>
    </row>
    <row r="9" spans="1:33">
      <c r="B9" s="1">
        <v>5</v>
      </c>
      <c r="C9" s="1">
        <v>2000</v>
      </c>
      <c r="D9" s="1">
        <v>7</v>
      </c>
      <c r="E9" s="1">
        <v>16</v>
      </c>
      <c r="F9" s="1">
        <v>3</v>
      </c>
      <c r="G9" s="1">
        <v>3</v>
      </c>
      <c r="H9" s="2" t="s">
        <v>147</v>
      </c>
      <c r="I9" s="2">
        <v>10</v>
      </c>
      <c r="J9" s="1">
        <v>1</v>
      </c>
      <c r="K9" s="1">
        <v>0</v>
      </c>
      <c r="L9" s="1">
        <v>0</v>
      </c>
      <c r="M9" s="1">
        <v>0</v>
      </c>
      <c r="N9" s="1">
        <v>2</v>
      </c>
      <c r="O9" s="1">
        <v>5</v>
      </c>
      <c r="P9" s="1">
        <v>2</v>
      </c>
      <c r="Q9" s="2">
        <v>1</v>
      </c>
      <c r="R9" s="1">
        <v>5</v>
      </c>
      <c r="S9" s="1">
        <v>2</v>
      </c>
      <c r="T9" s="3">
        <v>5</v>
      </c>
      <c r="U9" s="1">
        <v>2</v>
      </c>
      <c r="V9" s="3">
        <v>6</v>
      </c>
      <c r="W9" s="3">
        <v>3</v>
      </c>
      <c r="X9" s="3">
        <v>6</v>
      </c>
      <c r="Y9" s="3">
        <v>20</v>
      </c>
      <c r="Z9" s="1">
        <v>1</v>
      </c>
      <c r="AA9" s="1">
        <v>0</v>
      </c>
      <c r="AB9" s="1">
        <v>0</v>
      </c>
      <c r="AC9" s="1">
        <v>0</v>
      </c>
      <c r="AD9" s="1">
        <v>1</v>
      </c>
      <c r="AE9" s="1">
        <v>1</v>
      </c>
      <c r="AF9" s="1">
        <v>0</v>
      </c>
      <c r="AG9" s="1">
        <v>1</v>
      </c>
    </row>
    <row r="10" spans="1:33">
      <c r="B10" s="1">
        <v>6</v>
      </c>
      <c r="C10" s="1">
        <v>3000</v>
      </c>
      <c r="D10" s="1">
        <v>8</v>
      </c>
      <c r="E10" s="1">
        <v>20</v>
      </c>
      <c r="F10" s="2">
        <v>3</v>
      </c>
      <c r="G10" s="2">
        <v>3</v>
      </c>
      <c r="H10" s="1" t="s">
        <v>147</v>
      </c>
      <c r="I10" s="1">
        <v>10</v>
      </c>
      <c r="J10" s="2">
        <v>1</v>
      </c>
      <c r="K10" s="2">
        <v>0</v>
      </c>
      <c r="L10" s="2">
        <v>0</v>
      </c>
      <c r="M10" s="2">
        <v>0</v>
      </c>
      <c r="N10" s="2">
        <v>2</v>
      </c>
      <c r="O10" s="1">
        <v>5</v>
      </c>
      <c r="P10" s="1">
        <v>2</v>
      </c>
      <c r="Q10" s="1">
        <v>1</v>
      </c>
      <c r="R10" s="1">
        <v>5</v>
      </c>
      <c r="S10" s="1">
        <v>2</v>
      </c>
      <c r="T10" s="1">
        <v>5</v>
      </c>
      <c r="U10" s="2">
        <v>2</v>
      </c>
      <c r="V10" s="2">
        <v>6</v>
      </c>
      <c r="W10" s="2">
        <v>3</v>
      </c>
      <c r="X10" s="2">
        <v>6</v>
      </c>
      <c r="Y10" s="2">
        <v>20</v>
      </c>
      <c r="Z10" s="1">
        <v>1</v>
      </c>
      <c r="AA10" s="2">
        <v>0</v>
      </c>
      <c r="AB10" s="2">
        <v>0</v>
      </c>
      <c r="AC10" s="2">
        <v>1</v>
      </c>
      <c r="AD10" s="1">
        <v>1</v>
      </c>
      <c r="AE10" s="1">
        <v>1</v>
      </c>
      <c r="AF10" s="1">
        <v>0</v>
      </c>
      <c r="AG10" s="1">
        <v>1</v>
      </c>
    </row>
    <row r="11" spans="1:33">
      <c r="B11" s="1">
        <v>7</v>
      </c>
      <c r="C11" s="1">
        <v>5000</v>
      </c>
      <c r="D11" s="1">
        <v>9</v>
      </c>
      <c r="E11" s="1">
        <v>25</v>
      </c>
      <c r="F11" s="1">
        <v>3</v>
      </c>
      <c r="G11" s="1">
        <v>3</v>
      </c>
      <c r="H11" s="2" t="s">
        <v>147</v>
      </c>
      <c r="I11" s="2">
        <v>2</v>
      </c>
      <c r="J11" s="1">
        <v>1</v>
      </c>
      <c r="K11" s="1">
        <v>0</v>
      </c>
      <c r="L11" s="1">
        <v>0</v>
      </c>
      <c r="M11" s="1">
        <v>0</v>
      </c>
      <c r="N11" s="1">
        <v>2</v>
      </c>
      <c r="O11" s="1">
        <v>5</v>
      </c>
      <c r="P11" s="1">
        <v>2</v>
      </c>
      <c r="Q11" s="1">
        <v>1</v>
      </c>
      <c r="R11" s="2">
        <v>6</v>
      </c>
      <c r="S11" s="2">
        <v>3</v>
      </c>
      <c r="T11" s="1">
        <v>5</v>
      </c>
      <c r="U11" s="1">
        <v>2</v>
      </c>
      <c r="V11" s="1">
        <v>6</v>
      </c>
      <c r="W11" s="1">
        <v>3</v>
      </c>
      <c r="X11" s="1">
        <v>6</v>
      </c>
      <c r="Y11" s="1">
        <v>20</v>
      </c>
      <c r="Z11" s="1">
        <v>1</v>
      </c>
      <c r="AA11" s="3">
        <v>1</v>
      </c>
      <c r="AB11" s="3">
        <v>0</v>
      </c>
      <c r="AC11" s="3">
        <v>1</v>
      </c>
      <c r="AD11" s="1">
        <v>1</v>
      </c>
      <c r="AE11" s="1">
        <v>1</v>
      </c>
      <c r="AF11" s="1">
        <v>0</v>
      </c>
      <c r="AG11" s="1">
        <v>1</v>
      </c>
    </row>
    <row r="12" spans="1:33">
      <c r="B12" s="1">
        <v>8</v>
      </c>
      <c r="C12" s="1">
        <v>7000</v>
      </c>
      <c r="D12" s="1">
        <v>10</v>
      </c>
      <c r="E12" s="1">
        <v>30</v>
      </c>
      <c r="F12" s="2">
        <v>3</v>
      </c>
      <c r="G12" s="2">
        <v>3</v>
      </c>
      <c r="H12" s="1" t="s">
        <v>147</v>
      </c>
      <c r="I12" s="1">
        <v>2</v>
      </c>
      <c r="J12" s="2">
        <v>1</v>
      </c>
      <c r="K12" s="2">
        <v>1</v>
      </c>
      <c r="L12" s="2">
        <v>0</v>
      </c>
      <c r="M12" s="2">
        <v>0</v>
      </c>
      <c r="N12" s="2">
        <v>2</v>
      </c>
      <c r="O12" s="1">
        <v>5</v>
      </c>
      <c r="P12" s="1">
        <v>2</v>
      </c>
      <c r="Q12" s="1">
        <v>1</v>
      </c>
      <c r="R12" s="1">
        <v>6</v>
      </c>
      <c r="S12" s="1">
        <v>3</v>
      </c>
      <c r="T12" s="1">
        <v>5</v>
      </c>
      <c r="U12" s="2">
        <v>2</v>
      </c>
      <c r="V12" s="1">
        <v>6</v>
      </c>
      <c r="W12" s="1">
        <v>3</v>
      </c>
      <c r="X12" s="1">
        <v>8</v>
      </c>
      <c r="Y12" s="1">
        <v>20</v>
      </c>
      <c r="Z12" s="1">
        <v>1</v>
      </c>
      <c r="AA12" s="1">
        <v>0</v>
      </c>
      <c r="AB12" s="1">
        <v>0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</row>
    <row r="13" spans="1:33">
      <c r="B13" s="1">
        <v>9</v>
      </c>
      <c r="C13" s="1">
        <v>10000</v>
      </c>
      <c r="D13" s="1">
        <v>11</v>
      </c>
      <c r="E13" s="1">
        <v>35</v>
      </c>
      <c r="F13" s="1">
        <v>3</v>
      </c>
      <c r="G13" s="1">
        <v>4</v>
      </c>
      <c r="H13" s="2" t="s">
        <v>148</v>
      </c>
      <c r="I13" s="2">
        <v>2</v>
      </c>
      <c r="J13" s="1">
        <v>1</v>
      </c>
      <c r="K13" s="1">
        <v>1</v>
      </c>
      <c r="L13" s="1">
        <v>0</v>
      </c>
      <c r="M13" s="1">
        <v>1</v>
      </c>
      <c r="N13" s="1">
        <v>2</v>
      </c>
      <c r="O13" s="2">
        <v>6</v>
      </c>
      <c r="P13" s="2">
        <v>3</v>
      </c>
      <c r="Q13" s="1">
        <v>1</v>
      </c>
      <c r="R13" s="1">
        <v>6</v>
      </c>
      <c r="S13" s="1">
        <v>3</v>
      </c>
      <c r="T13" s="2">
        <v>6</v>
      </c>
      <c r="U13" s="1">
        <v>3</v>
      </c>
      <c r="V13" s="1">
        <v>6</v>
      </c>
      <c r="W13" s="1">
        <v>3</v>
      </c>
      <c r="X13" s="1">
        <v>8</v>
      </c>
      <c r="Y13" s="1">
        <v>20</v>
      </c>
      <c r="Z13" s="1">
        <v>1</v>
      </c>
      <c r="AA13" s="1">
        <v>0</v>
      </c>
      <c r="AB13" s="1">
        <v>0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</row>
    <row r="14" spans="1:33">
      <c r="B14" s="1">
        <v>10</v>
      </c>
      <c r="C14" s="1">
        <v>15000</v>
      </c>
      <c r="D14" s="1">
        <v>12</v>
      </c>
      <c r="E14" s="1">
        <v>40</v>
      </c>
      <c r="F14" s="2">
        <v>4</v>
      </c>
      <c r="G14" s="2">
        <v>4</v>
      </c>
      <c r="H14" s="1" t="s">
        <v>148</v>
      </c>
      <c r="I14" s="1">
        <v>1</v>
      </c>
      <c r="J14" s="2">
        <v>1</v>
      </c>
      <c r="K14" s="2">
        <v>1</v>
      </c>
      <c r="L14" s="2">
        <v>0</v>
      </c>
      <c r="M14" s="2">
        <v>1</v>
      </c>
      <c r="N14" s="2">
        <v>2</v>
      </c>
      <c r="O14" s="1">
        <v>6</v>
      </c>
      <c r="P14" s="1">
        <v>3</v>
      </c>
      <c r="Q14" s="1">
        <v>1</v>
      </c>
      <c r="R14" s="1">
        <v>6</v>
      </c>
      <c r="S14" s="1">
        <v>3</v>
      </c>
      <c r="T14" s="1">
        <v>6</v>
      </c>
      <c r="U14" s="2">
        <v>3</v>
      </c>
      <c r="V14" s="2">
        <v>7</v>
      </c>
      <c r="W14" s="2">
        <v>4</v>
      </c>
      <c r="X14" s="2">
        <v>8</v>
      </c>
      <c r="Y14" s="2">
        <v>20</v>
      </c>
      <c r="Z14" s="1">
        <v>1</v>
      </c>
      <c r="AA14" s="1">
        <v>0</v>
      </c>
      <c r="AB14" s="1">
        <v>0</v>
      </c>
      <c r="AC14" s="1">
        <v>1</v>
      </c>
      <c r="AD14" s="1">
        <v>1</v>
      </c>
      <c r="AE14" s="1">
        <v>1</v>
      </c>
      <c r="AF14" s="1">
        <v>1</v>
      </c>
      <c r="AG14" s="1">
        <v>2</v>
      </c>
    </row>
    <row r="15" spans="1:33">
      <c r="B15" s="1">
        <v>11</v>
      </c>
      <c r="C15" s="1">
        <v>20000</v>
      </c>
      <c r="D15" s="1">
        <v>13</v>
      </c>
      <c r="E15" s="1">
        <v>50</v>
      </c>
      <c r="F15" s="1">
        <v>4</v>
      </c>
      <c r="G15" s="1">
        <v>4</v>
      </c>
      <c r="H15" s="2" t="s">
        <v>148</v>
      </c>
      <c r="I15" s="2">
        <v>1</v>
      </c>
      <c r="J15" s="1">
        <v>1</v>
      </c>
      <c r="K15" s="1">
        <v>1</v>
      </c>
      <c r="L15" s="1">
        <v>0</v>
      </c>
      <c r="M15" s="1">
        <v>1</v>
      </c>
      <c r="N15" s="1">
        <v>2</v>
      </c>
      <c r="O15" s="1">
        <v>6</v>
      </c>
      <c r="P15" s="1">
        <v>3</v>
      </c>
      <c r="Q15" s="1">
        <v>1</v>
      </c>
      <c r="R15" s="2">
        <v>7</v>
      </c>
      <c r="S15" s="2">
        <v>4</v>
      </c>
      <c r="T15" s="1">
        <v>6</v>
      </c>
      <c r="U15" s="1">
        <v>3</v>
      </c>
      <c r="V15" s="1">
        <v>7</v>
      </c>
      <c r="W15" s="1">
        <v>4</v>
      </c>
      <c r="X15" s="1">
        <v>8</v>
      </c>
      <c r="Y15" s="1">
        <v>20</v>
      </c>
      <c r="Z15" s="1">
        <v>1</v>
      </c>
      <c r="AA15" s="1">
        <v>0</v>
      </c>
      <c r="AB15" s="1">
        <v>0</v>
      </c>
      <c r="AC15" s="1">
        <v>1</v>
      </c>
      <c r="AD15" s="1">
        <v>1</v>
      </c>
      <c r="AE15" s="1">
        <v>1</v>
      </c>
      <c r="AF15" s="1">
        <v>1</v>
      </c>
      <c r="AG15" s="1">
        <v>2</v>
      </c>
    </row>
    <row r="16" spans="1:33">
      <c r="B16" s="1">
        <v>12</v>
      </c>
      <c r="C16" s="1">
        <v>30000</v>
      </c>
      <c r="D16" s="1">
        <v>14</v>
      </c>
      <c r="E16" s="1">
        <v>60</v>
      </c>
      <c r="F16" s="2">
        <v>4</v>
      </c>
      <c r="G16" s="2">
        <v>4</v>
      </c>
      <c r="H16" s="3" t="s">
        <v>148</v>
      </c>
      <c r="I16" s="3">
        <v>1</v>
      </c>
      <c r="J16" s="2">
        <v>1</v>
      </c>
      <c r="K16" s="2">
        <v>1</v>
      </c>
      <c r="L16" s="2">
        <v>1</v>
      </c>
      <c r="M16" s="2">
        <v>1</v>
      </c>
      <c r="N16" s="2">
        <v>2</v>
      </c>
      <c r="O16" s="1">
        <v>6</v>
      </c>
      <c r="P16" s="1">
        <v>3</v>
      </c>
      <c r="Q16" s="1">
        <v>1</v>
      </c>
      <c r="R16" s="1">
        <v>7</v>
      </c>
      <c r="S16" s="1">
        <v>4</v>
      </c>
      <c r="T16" s="1">
        <v>6</v>
      </c>
      <c r="U16" s="2">
        <v>3</v>
      </c>
      <c r="V16" s="1">
        <v>7</v>
      </c>
      <c r="W16" s="1">
        <v>4</v>
      </c>
      <c r="X16" s="1">
        <v>10</v>
      </c>
      <c r="Y16" s="1">
        <v>20</v>
      </c>
      <c r="Z16" s="1">
        <v>1</v>
      </c>
      <c r="AA16" s="1">
        <v>0</v>
      </c>
      <c r="AB16" s="1">
        <v>1</v>
      </c>
      <c r="AC16" s="1">
        <v>1</v>
      </c>
      <c r="AD16" s="1">
        <v>1</v>
      </c>
      <c r="AE16" s="1">
        <v>1</v>
      </c>
      <c r="AF16" s="1">
        <v>1</v>
      </c>
      <c r="AG16" s="1">
        <v>2</v>
      </c>
    </row>
    <row r="17" spans="2:33">
      <c r="B17" s="1">
        <v>13</v>
      </c>
      <c r="C17" s="1">
        <v>60000</v>
      </c>
      <c r="D17" s="1">
        <v>15</v>
      </c>
      <c r="E17" s="1">
        <v>80</v>
      </c>
      <c r="F17" s="1">
        <v>5</v>
      </c>
      <c r="G17" s="1">
        <v>5</v>
      </c>
      <c r="H17" s="2" t="s">
        <v>148</v>
      </c>
      <c r="I17" s="2">
        <v>1</v>
      </c>
      <c r="J17" s="1">
        <v>1</v>
      </c>
      <c r="K17" s="1">
        <v>1</v>
      </c>
      <c r="L17" s="1">
        <v>1</v>
      </c>
      <c r="M17" s="1">
        <v>1</v>
      </c>
      <c r="N17" s="1">
        <v>3</v>
      </c>
      <c r="O17" s="2">
        <v>7</v>
      </c>
      <c r="P17" s="2">
        <v>4</v>
      </c>
      <c r="Q17" s="1">
        <v>1</v>
      </c>
      <c r="R17" s="1">
        <v>7</v>
      </c>
      <c r="S17" s="1">
        <v>4</v>
      </c>
      <c r="T17" s="1">
        <v>6</v>
      </c>
      <c r="U17" s="1">
        <v>3</v>
      </c>
      <c r="V17" s="1">
        <v>7</v>
      </c>
      <c r="W17" s="1">
        <v>4</v>
      </c>
      <c r="X17" s="1">
        <v>10</v>
      </c>
      <c r="Y17" s="1">
        <v>20</v>
      </c>
      <c r="Z17" s="1">
        <v>1</v>
      </c>
      <c r="AA17" s="1">
        <v>0</v>
      </c>
      <c r="AB17" s="1">
        <v>1</v>
      </c>
      <c r="AC17" s="1">
        <v>1</v>
      </c>
      <c r="AD17" s="1">
        <v>1</v>
      </c>
      <c r="AE17" s="1">
        <v>1</v>
      </c>
      <c r="AF17" s="1">
        <v>1</v>
      </c>
      <c r="AG17" s="1">
        <v>2</v>
      </c>
    </row>
    <row r="18" spans="2:33">
      <c r="B18" s="1">
        <v>14</v>
      </c>
      <c r="C18" s="1">
        <v>120000</v>
      </c>
      <c r="D18" s="1">
        <v>16</v>
      </c>
      <c r="E18" s="1">
        <v>100</v>
      </c>
      <c r="F18" s="2">
        <v>5</v>
      </c>
      <c r="G18" s="2">
        <v>5</v>
      </c>
      <c r="H18" s="3" t="s">
        <v>148</v>
      </c>
      <c r="I18" s="3">
        <v>1</v>
      </c>
      <c r="J18" s="2">
        <v>1</v>
      </c>
      <c r="K18" s="2">
        <v>1</v>
      </c>
      <c r="L18" s="2">
        <v>1</v>
      </c>
      <c r="M18" s="2">
        <v>1</v>
      </c>
      <c r="N18" s="2">
        <v>3</v>
      </c>
      <c r="O18" s="1">
        <v>7</v>
      </c>
      <c r="P18" s="1">
        <v>4</v>
      </c>
      <c r="Q18" s="1">
        <v>1</v>
      </c>
      <c r="R18" s="1">
        <v>7</v>
      </c>
      <c r="S18" s="1">
        <v>4</v>
      </c>
      <c r="T18" s="1">
        <v>6</v>
      </c>
      <c r="U18" s="2">
        <v>3</v>
      </c>
      <c r="V18" s="1">
        <v>7</v>
      </c>
      <c r="W18" s="1">
        <v>4</v>
      </c>
      <c r="X18" s="1">
        <v>10</v>
      </c>
      <c r="Y18" s="1">
        <v>20</v>
      </c>
      <c r="Z18" s="1">
        <v>1</v>
      </c>
      <c r="AA18" s="1">
        <v>0</v>
      </c>
      <c r="AB18" s="1">
        <v>1</v>
      </c>
      <c r="AC18" s="1">
        <v>1</v>
      </c>
      <c r="AD18" s="1">
        <v>1</v>
      </c>
      <c r="AE18" s="1">
        <v>1</v>
      </c>
      <c r="AF18" s="1">
        <v>1</v>
      </c>
      <c r="AG18" s="1">
        <v>2</v>
      </c>
    </row>
    <row r="19" spans="2:33">
      <c r="B19" s="1">
        <v>15</v>
      </c>
      <c r="C19" s="1">
        <v>200000</v>
      </c>
      <c r="D19" s="1">
        <v>17</v>
      </c>
      <c r="E19" s="1">
        <v>160</v>
      </c>
      <c r="F19" s="1">
        <v>5</v>
      </c>
      <c r="G19" s="2">
        <v>5</v>
      </c>
      <c r="H19" s="2" t="s">
        <v>148</v>
      </c>
      <c r="I19" s="2">
        <v>1</v>
      </c>
      <c r="J19" s="1">
        <v>1</v>
      </c>
      <c r="K19" s="1">
        <v>1</v>
      </c>
      <c r="L19" s="1">
        <v>1</v>
      </c>
      <c r="M19" s="1">
        <v>1</v>
      </c>
      <c r="N19" s="1">
        <v>3</v>
      </c>
      <c r="O19" s="1">
        <v>7</v>
      </c>
      <c r="P19" s="1">
        <v>4</v>
      </c>
      <c r="Q19" s="1">
        <v>1</v>
      </c>
      <c r="R19" s="1">
        <v>7</v>
      </c>
      <c r="S19" s="1">
        <v>4</v>
      </c>
      <c r="T19" s="1">
        <v>6</v>
      </c>
      <c r="U19" s="1">
        <v>3</v>
      </c>
      <c r="V19" s="1">
        <v>7</v>
      </c>
      <c r="W19" s="1">
        <v>4</v>
      </c>
      <c r="X19" s="1">
        <v>12</v>
      </c>
      <c r="Y19" s="1">
        <v>20</v>
      </c>
      <c r="Z19" s="1">
        <v>1</v>
      </c>
      <c r="AA19" s="1">
        <v>0</v>
      </c>
      <c r="AB19" s="1">
        <v>1</v>
      </c>
      <c r="AC19" s="1">
        <v>1</v>
      </c>
      <c r="AD19" s="1">
        <v>1</v>
      </c>
      <c r="AE19" s="1">
        <v>1</v>
      </c>
      <c r="AF19" s="1">
        <v>1</v>
      </c>
      <c r="AG19" s="1">
        <v>2</v>
      </c>
    </row>
    <row r="20" spans="2:33">
      <c r="B20" s="1">
        <v>16</v>
      </c>
      <c r="C20" s="1">
        <v>300000</v>
      </c>
      <c r="D20" s="1">
        <v>18</v>
      </c>
      <c r="E20" s="1">
        <v>160</v>
      </c>
      <c r="F20" s="1">
        <v>5</v>
      </c>
      <c r="G20" s="1">
        <v>5</v>
      </c>
      <c r="H20" s="1" t="s">
        <v>148</v>
      </c>
      <c r="I20" s="1">
        <v>1</v>
      </c>
      <c r="J20" s="1">
        <v>1</v>
      </c>
      <c r="K20" s="1">
        <v>1</v>
      </c>
      <c r="L20" s="1">
        <v>1</v>
      </c>
      <c r="M20" s="1">
        <v>1</v>
      </c>
    </row>
    <row r="21" spans="2:33">
      <c r="B21" s="1">
        <v>17</v>
      </c>
      <c r="C21" s="1">
        <v>500000</v>
      </c>
      <c r="D21" s="1">
        <v>19</v>
      </c>
      <c r="E21" s="1">
        <v>160</v>
      </c>
      <c r="F21" s="1">
        <v>5</v>
      </c>
      <c r="G21" s="1">
        <v>5</v>
      </c>
      <c r="H21" s="1" t="s">
        <v>148</v>
      </c>
      <c r="I21" s="1">
        <v>1</v>
      </c>
      <c r="J21" s="1">
        <v>1</v>
      </c>
      <c r="K21" s="1">
        <v>1</v>
      </c>
      <c r="L21" s="1">
        <v>1</v>
      </c>
      <c r="M21" s="1">
        <v>1</v>
      </c>
    </row>
    <row r="22" spans="2:33">
      <c r="B22" s="1">
        <v>18</v>
      </c>
      <c r="C22" s="1">
        <v>800000</v>
      </c>
      <c r="D22" s="1">
        <v>20</v>
      </c>
      <c r="E22" s="1">
        <v>160</v>
      </c>
      <c r="F22" s="1">
        <v>5</v>
      </c>
      <c r="G22" s="1">
        <v>5</v>
      </c>
      <c r="H22" s="1" t="s">
        <v>148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</row>
    <row r="25" spans="2:33" s="5" customFormat="1" ht="67.5">
      <c r="B25" s="5" t="s">
        <v>14</v>
      </c>
      <c r="C25" s="5" t="s">
        <v>162</v>
      </c>
      <c r="D25" s="5" t="s">
        <v>130</v>
      </c>
      <c r="E25" s="5" t="s">
        <v>161</v>
      </c>
      <c r="F25" s="5" t="s">
        <v>163</v>
      </c>
      <c r="G25" s="5" t="s">
        <v>164</v>
      </c>
      <c r="H25" s="5" t="s">
        <v>149</v>
      </c>
      <c r="I25" s="5" t="s">
        <v>154</v>
      </c>
      <c r="J25" s="5" t="s">
        <v>152</v>
      </c>
      <c r="K25" s="5" t="s">
        <v>158</v>
      </c>
      <c r="L25" s="5" t="s">
        <v>159</v>
      </c>
      <c r="M25" s="5" t="s">
        <v>160</v>
      </c>
      <c r="N25" s="5" t="s">
        <v>131</v>
      </c>
      <c r="O25" s="5" t="s">
        <v>132</v>
      </c>
      <c r="P25" s="5" t="s">
        <v>133</v>
      </c>
      <c r="Q25" s="5" t="s">
        <v>121</v>
      </c>
      <c r="R25" s="5" t="s">
        <v>134</v>
      </c>
      <c r="S25" s="5" t="s">
        <v>135</v>
      </c>
      <c r="T25" s="5" t="s">
        <v>136</v>
      </c>
      <c r="U25" s="5" t="s">
        <v>137</v>
      </c>
      <c r="V25" s="5" t="s">
        <v>138</v>
      </c>
      <c r="W25" s="5" t="s">
        <v>139</v>
      </c>
      <c r="X25" s="5" t="s">
        <v>140</v>
      </c>
      <c r="Y25" s="5" t="s">
        <v>141</v>
      </c>
      <c r="Z25" s="5" t="s">
        <v>57</v>
      </c>
      <c r="AA25" s="1" t="s">
        <v>142</v>
      </c>
      <c r="AB25" s="1" t="s">
        <v>59</v>
      </c>
      <c r="AC25" s="1" t="s">
        <v>62</v>
      </c>
      <c r="AD25" s="5" t="s">
        <v>56</v>
      </c>
      <c r="AE25" s="5" t="s">
        <v>122</v>
      </c>
      <c r="AF25" s="5" t="s">
        <v>123</v>
      </c>
      <c r="AG25" s="5" t="s">
        <v>143</v>
      </c>
    </row>
    <row r="26" spans="2:33">
      <c r="B26" s="1">
        <v>0</v>
      </c>
      <c r="C26" s="1">
        <f>IF(C4&gt;C3,1,0)</f>
        <v>0</v>
      </c>
      <c r="D26" s="1">
        <f>IF(D4&gt;D3,1,0)</f>
        <v>1</v>
      </c>
      <c r="E26" s="1">
        <f>IF(E4&gt;E3,1,0)</f>
        <v>1</v>
      </c>
      <c r="F26" s="1">
        <v>0</v>
      </c>
      <c r="G26" s="1">
        <v>0</v>
      </c>
    </row>
    <row r="27" spans="2:33">
      <c r="B27" s="1">
        <v>1</v>
      </c>
      <c r="C27" s="1">
        <f t="shared" ref="C27:C44" si="0">IF(C5&gt;C4,1,0)</f>
        <v>1</v>
      </c>
      <c r="D27" s="1">
        <f t="shared" ref="D27:D36" si="1">IF(D5&gt;D4,1,0)</f>
        <v>1</v>
      </c>
      <c r="E27" s="1">
        <f t="shared" ref="E27:E44" si="2">IF(E5&gt;E4,1,0)</f>
        <v>1</v>
      </c>
      <c r="F27" s="1">
        <f t="shared" ref="F27:U27" si="3">IF(F5&gt;F4,1,0)</f>
        <v>0</v>
      </c>
      <c r="G27" s="1">
        <f t="shared" si="3"/>
        <v>0</v>
      </c>
      <c r="H27" s="1">
        <f t="shared" si="3"/>
        <v>0</v>
      </c>
      <c r="I27" s="1">
        <f>IF(I5&lt;I4,1,0)</f>
        <v>0</v>
      </c>
      <c r="J27" s="1">
        <f t="shared" si="3"/>
        <v>0</v>
      </c>
      <c r="K27" s="1">
        <f t="shared" si="3"/>
        <v>0</v>
      </c>
      <c r="L27" s="1">
        <f t="shared" si="3"/>
        <v>0</v>
      </c>
      <c r="M27" s="1">
        <f t="shared" si="3"/>
        <v>0</v>
      </c>
      <c r="N27" s="1">
        <f t="shared" si="3"/>
        <v>0</v>
      </c>
      <c r="O27" s="1">
        <f t="shared" si="3"/>
        <v>0</v>
      </c>
      <c r="P27" s="1">
        <f t="shared" si="3"/>
        <v>0</v>
      </c>
      <c r="Q27" s="1">
        <f t="shared" si="3"/>
        <v>0</v>
      </c>
      <c r="R27" s="1">
        <f t="shared" si="3"/>
        <v>0</v>
      </c>
      <c r="S27" s="1">
        <f t="shared" si="3"/>
        <v>0</v>
      </c>
      <c r="T27" s="1">
        <f t="shared" si="3"/>
        <v>0</v>
      </c>
      <c r="U27" s="1">
        <f t="shared" si="3"/>
        <v>0</v>
      </c>
      <c r="V27" s="1">
        <f t="shared" ref="V27:AA27" si="4">IF(V5&gt;V4,1,0)</f>
        <v>0</v>
      </c>
      <c r="W27" s="1">
        <f t="shared" si="4"/>
        <v>0</v>
      </c>
      <c r="X27" s="1">
        <f t="shared" ref="X27:Y27" si="5">IF(X5&gt;X4,1,0)</f>
        <v>0</v>
      </c>
      <c r="Y27" s="1">
        <f t="shared" si="5"/>
        <v>0</v>
      </c>
      <c r="Z27" s="1">
        <f t="shared" si="4"/>
        <v>0</v>
      </c>
      <c r="AA27" s="1">
        <f t="shared" si="4"/>
        <v>0</v>
      </c>
      <c r="AB27" s="1">
        <f t="shared" ref="AB27:AC27" si="6">IF(AB5&gt;AB4,1,0)</f>
        <v>0</v>
      </c>
      <c r="AC27" s="1">
        <f t="shared" si="6"/>
        <v>0</v>
      </c>
      <c r="AD27" s="1">
        <f t="shared" ref="AD27:AE27" si="7">IF(AD5&gt;AD4,1,0)</f>
        <v>0</v>
      </c>
      <c r="AE27" s="1">
        <f t="shared" si="7"/>
        <v>0</v>
      </c>
      <c r="AF27" s="1">
        <f t="shared" ref="AF27:AG27" si="8">IF(AF5&gt;AF4,1,0)</f>
        <v>0</v>
      </c>
      <c r="AG27" s="1">
        <f t="shared" si="8"/>
        <v>1</v>
      </c>
    </row>
    <row r="28" spans="2:33">
      <c r="B28" s="1">
        <v>2</v>
      </c>
      <c r="C28" s="1">
        <f t="shared" si="0"/>
        <v>1</v>
      </c>
      <c r="D28" s="1">
        <f t="shared" si="1"/>
        <v>1</v>
      </c>
      <c r="E28" s="1">
        <f t="shared" si="2"/>
        <v>1</v>
      </c>
      <c r="F28" s="1">
        <f t="shared" ref="F28:U28" si="9">IF(F6&gt;F5,1,0)</f>
        <v>1</v>
      </c>
      <c r="G28" s="1">
        <f t="shared" si="9"/>
        <v>0</v>
      </c>
      <c r="H28" s="1">
        <f t="shared" si="9"/>
        <v>0</v>
      </c>
      <c r="I28" s="1">
        <f t="shared" ref="I28:I44" si="10">IF(I6&lt;I5,1,0)</f>
        <v>0</v>
      </c>
      <c r="J28" s="1">
        <f t="shared" si="9"/>
        <v>0</v>
      </c>
      <c r="K28" s="1">
        <f t="shared" si="9"/>
        <v>0</v>
      </c>
      <c r="L28" s="1">
        <f t="shared" si="9"/>
        <v>0</v>
      </c>
      <c r="M28" s="1">
        <f t="shared" si="9"/>
        <v>0</v>
      </c>
      <c r="N28" s="1">
        <f t="shared" si="9"/>
        <v>0</v>
      </c>
      <c r="O28" s="1">
        <f t="shared" si="9"/>
        <v>0</v>
      </c>
      <c r="P28" s="1">
        <f t="shared" si="9"/>
        <v>0</v>
      </c>
      <c r="Q28" s="1">
        <f t="shared" si="9"/>
        <v>0</v>
      </c>
      <c r="R28" s="1">
        <f t="shared" si="9"/>
        <v>0</v>
      </c>
      <c r="S28" s="1">
        <f t="shared" si="9"/>
        <v>0</v>
      </c>
      <c r="T28" s="1">
        <f t="shared" si="9"/>
        <v>0</v>
      </c>
      <c r="U28" s="1">
        <f t="shared" si="9"/>
        <v>0</v>
      </c>
      <c r="V28" s="1">
        <f t="shared" ref="V28:AA28" si="11">IF(V6&gt;V5,1,0)</f>
        <v>0</v>
      </c>
      <c r="W28" s="1">
        <f t="shared" si="11"/>
        <v>0</v>
      </c>
      <c r="X28" s="1">
        <f t="shared" ref="X28:Y28" si="12">IF(X6&gt;X5,1,0)</f>
        <v>0</v>
      </c>
      <c r="Y28" s="1">
        <f t="shared" si="12"/>
        <v>0</v>
      </c>
      <c r="Z28" s="1">
        <f t="shared" si="11"/>
        <v>0</v>
      </c>
      <c r="AA28" s="1">
        <f t="shared" si="11"/>
        <v>0</v>
      </c>
      <c r="AB28" s="1">
        <f t="shared" ref="AB28:AC28" si="13">IF(AB6&gt;AB5,1,0)</f>
        <v>0</v>
      </c>
      <c r="AC28" s="1">
        <f t="shared" si="13"/>
        <v>0</v>
      </c>
      <c r="AD28" s="1">
        <v>0</v>
      </c>
      <c r="AE28" s="1">
        <f t="shared" ref="AE28:AG28" si="14">IF(AE6&gt;AE5,1,0)</f>
        <v>0</v>
      </c>
      <c r="AF28" s="1">
        <f t="shared" si="14"/>
        <v>0</v>
      </c>
      <c r="AG28" s="1">
        <f t="shared" si="14"/>
        <v>0</v>
      </c>
    </row>
    <row r="29" spans="2:33">
      <c r="B29" s="1">
        <v>3</v>
      </c>
      <c r="C29" s="1">
        <f t="shared" si="0"/>
        <v>1</v>
      </c>
      <c r="D29" s="1">
        <f t="shared" si="1"/>
        <v>1</v>
      </c>
      <c r="E29" s="1">
        <f t="shared" si="2"/>
        <v>1</v>
      </c>
      <c r="F29" s="1">
        <f t="shared" ref="F29:U29" si="15">IF(F7&gt;F6,1,0)</f>
        <v>0</v>
      </c>
      <c r="G29" s="1">
        <f t="shared" si="15"/>
        <v>0</v>
      </c>
      <c r="H29" s="1">
        <f t="shared" si="15"/>
        <v>0</v>
      </c>
      <c r="I29" s="1">
        <f t="shared" si="10"/>
        <v>0</v>
      </c>
      <c r="J29" s="1">
        <f t="shared" si="15"/>
        <v>0</v>
      </c>
      <c r="K29" s="1">
        <f t="shared" si="15"/>
        <v>0</v>
      </c>
      <c r="L29" s="1">
        <f t="shared" si="15"/>
        <v>0</v>
      </c>
      <c r="M29" s="1">
        <f t="shared" si="15"/>
        <v>0</v>
      </c>
      <c r="N29" s="1">
        <f t="shared" si="15"/>
        <v>0</v>
      </c>
      <c r="O29" s="1">
        <f t="shared" si="15"/>
        <v>0</v>
      </c>
      <c r="P29" s="1">
        <f t="shared" si="15"/>
        <v>0</v>
      </c>
      <c r="Q29" s="1">
        <f t="shared" si="15"/>
        <v>0</v>
      </c>
      <c r="R29" s="1">
        <f t="shared" si="15"/>
        <v>0</v>
      </c>
      <c r="S29" s="1">
        <f t="shared" si="15"/>
        <v>0</v>
      </c>
      <c r="T29" s="1">
        <f t="shared" si="15"/>
        <v>0</v>
      </c>
      <c r="U29" s="1">
        <f t="shared" si="15"/>
        <v>0</v>
      </c>
      <c r="V29" s="1">
        <f t="shared" ref="V29:AA29" si="16">IF(V7&gt;V6,1,0)</f>
        <v>0</v>
      </c>
      <c r="W29" s="1">
        <f t="shared" si="16"/>
        <v>0</v>
      </c>
      <c r="X29" s="1">
        <f t="shared" ref="X29:Y29" si="17">IF(X7&gt;X6,1,0)</f>
        <v>0</v>
      </c>
      <c r="Y29" s="1">
        <f t="shared" si="17"/>
        <v>0</v>
      </c>
      <c r="Z29" s="1">
        <f t="shared" si="16"/>
        <v>1</v>
      </c>
      <c r="AA29" s="1">
        <f t="shared" si="16"/>
        <v>0</v>
      </c>
      <c r="AB29" s="1">
        <f t="shared" ref="AB29:AC29" si="18">IF(AB7&gt;AB6,1,0)</f>
        <v>0</v>
      </c>
      <c r="AC29" s="1">
        <f t="shared" si="18"/>
        <v>0</v>
      </c>
      <c r="AD29" s="1">
        <v>1</v>
      </c>
      <c r="AE29" s="1">
        <f t="shared" ref="AE29:AG29" si="19">IF(AE7&gt;AE6,1,0)</f>
        <v>0</v>
      </c>
      <c r="AF29" s="1">
        <f t="shared" si="19"/>
        <v>0</v>
      </c>
      <c r="AG29" s="1">
        <f t="shared" si="19"/>
        <v>0</v>
      </c>
    </row>
    <row r="30" spans="2:33">
      <c r="B30" s="1">
        <v>4</v>
      </c>
      <c r="C30" s="1">
        <f t="shared" si="0"/>
        <v>1</v>
      </c>
      <c r="D30" s="1">
        <f t="shared" si="1"/>
        <v>1</v>
      </c>
      <c r="E30" s="1">
        <f t="shared" si="2"/>
        <v>1</v>
      </c>
      <c r="F30" s="1">
        <f t="shared" ref="F30:U30" si="20">IF(F8&gt;F7,1,0)</f>
        <v>0</v>
      </c>
      <c r="G30" s="1">
        <f t="shared" si="20"/>
        <v>0</v>
      </c>
      <c r="H30" s="1">
        <f t="shared" si="20"/>
        <v>0</v>
      </c>
      <c r="I30" s="1">
        <f t="shared" si="10"/>
        <v>0</v>
      </c>
      <c r="J30" s="1">
        <f t="shared" si="20"/>
        <v>0</v>
      </c>
      <c r="K30" s="1">
        <f t="shared" si="20"/>
        <v>0</v>
      </c>
      <c r="L30" s="1">
        <f t="shared" si="20"/>
        <v>0</v>
      </c>
      <c r="M30" s="1">
        <f t="shared" si="20"/>
        <v>0</v>
      </c>
      <c r="N30" s="1">
        <f t="shared" si="20"/>
        <v>0</v>
      </c>
      <c r="O30" s="1">
        <f t="shared" si="20"/>
        <v>0</v>
      </c>
      <c r="P30" s="1">
        <f t="shared" si="20"/>
        <v>0</v>
      </c>
      <c r="Q30" s="1">
        <f t="shared" si="20"/>
        <v>0</v>
      </c>
      <c r="R30" s="1">
        <f t="shared" si="20"/>
        <v>0</v>
      </c>
      <c r="S30" s="1">
        <f t="shared" si="20"/>
        <v>0</v>
      </c>
      <c r="T30" s="1">
        <f t="shared" si="20"/>
        <v>0</v>
      </c>
      <c r="U30" s="1">
        <f t="shared" si="20"/>
        <v>0</v>
      </c>
      <c r="V30" s="1">
        <f t="shared" ref="V30:AA30" si="21">IF(V8&gt;V7,1,0)</f>
        <v>0</v>
      </c>
      <c r="W30" s="1">
        <f t="shared" si="21"/>
        <v>0</v>
      </c>
      <c r="X30" s="1">
        <f t="shared" ref="X30:Y30" si="22">IF(X8&gt;X7,1,0)</f>
        <v>0</v>
      </c>
      <c r="Y30" s="1">
        <f t="shared" si="22"/>
        <v>0</v>
      </c>
      <c r="Z30" s="1">
        <f t="shared" si="21"/>
        <v>0</v>
      </c>
      <c r="AA30" s="1">
        <f t="shared" si="21"/>
        <v>0</v>
      </c>
      <c r="AB30" s="1">
        <f t="shared" ref="AB30:AC30" si="23">IF(AB8&gt;AB7,1,0)</f>
        <v>0</v>
      </c>
      <c r="AC30" s="1">
        <f t="shared" si="23"/>
        <v>0</v>
      </c>
      <c r="AD30" s="1">
        <f t="shared" ref="AD30:AE30" si="24">IF(AD8&gt;AD7,1,0)</f>
        <v>0</v>
      </c>
      <c r="AE30" s="1">
        <f t="shared" si="24"/>
        <v>0</v>
      </c>
      <c r="AF30" s="1">
        <f t="shared" ref="AF30:AG30" si="25">IF(AF8&gt;AF7,1,0)</f>
        <v>0</v>
      </c>
      <c r="AG30" s="1">
        <f t="shared" si="25"/>
        <v>0</v>
      </c>
    </row>
    <row r="31" spans="2:33">
      <c r="B31" s="1">
        <v>5</v>
      </c>
      <c r="C31" s="1">
        <f t="shared" si="0"/>
        <v>1</v>
      </c>
      <c r="D31" s="1">
        <f t="shared" si="1"/>
        <v>1</v>
      </c>
      <c r="E31" s="1">
        <f t="shared" si="2"/>
        <v>1</v>
      </c>
      <c r="F31" s="1">
        <f t="shared" ref="F31:U31" si="26">IF(F9&gt;F8,1,0)</f>
        <v>1</v>
      </c>
      <c r="G31" s="1">
        <f t="shared" si="26"/>
        <v>1</v>
      </c>
      <c r="H31" s="1">
        <f t="shared" si="26"/>
        <v>0</v>
      </c>
      <c r="I31" s="1">
        <f t="shared" si="10"/>
        <v>0</v>
      </c>
      <c r="J31" s="1">
        <f t="shared" si="26"/>
        <v>1</v>
      </c>
      <c r="K31" s="1">
        <f t="shared" si="26"/>
        <v>0</v>
      </c>
      <c r="L31" s="1">
        <f t="shared" si="26"/>
        <v>0</v>
      </c>
      <c r="M31" s="1">
        <f t="shared" si="26"/>
        <v>0</v>
      </c>
      <c r="N31" s="1">
        <f t="shared" si="26"/>
        <v>0</v>
      </c>
      <c r="O31" s="1">
        <f t="shared" si="26"/>
        <v>0</v>
      </c>
      <c r="P31" s="1">
        <f t="shared" si="26"/>
        <v>0</v>
      </c>
      <c r="Q31" s="1">
        <f t="shared" si="26"/>
        <v>1</v>
      </c>
      <c r="R31" s="1">
        <f t="shared" si="26"/>
        <v>0</v>
      </c>
      <c r="S31" s="1">
        <f t="shared" si="26"/>
        <v>0</v>
      </c>
      <c r="T31" s="1">
        <f t="shared" si="26"/>
        <v>0</v>
      </c>
      <c r="U31" s="1">
        <f t="shared" si="26"/>
        <v>0</v>
      </c>
      <c r="V31" s="1">
        <f t="shared" ref="V31:AA31" si="27">IF(V9&gt;V8,1,0)</f>
        <v>1</v>
      </c>
      <c r="W31" s="1">
        <f t="shared" si="27"/>
        <v>1</v>
      </c>
      <c r="X31" s="1">
        <f t="shared" ref="X31:Y31" si="28">IF(X9&gt;X8,1,0)</f>
        <v>0</v>
      </c>
      <c r="Y31" s="1">
        <f t="shared" si="28"/>
        <v>0</v>
      </c>
      <c r="Z31" s="1">
        <f t="shared" si="27"/>
        <v>0</v>
      </c>
      <c r="AA31" s="1">
        <f t="shared" si="27"/>
        <v>0</v>
      </c>
      <c r="AB31" s="1">
        <f t="shared" ref="AB31:AC31" si="29">IF(AB9&gt;AB8,1,0)</f>
        <v>0</v>
      </c>
      <c r="AC31" s="1">
        <f t="shared" si="29"/>
        <v>0</v>
      </c>
      <c r="AD31" s="1">
        <f t="shared" ref="AD31:AE31" si="30">IF(AD9&gt;AD8,1,0)</f>
        <v>0</v>
      </c>
      <c r="AE31" s="1">
        <f t="shared" si="30"/>
        <v>1</v>
      </c>
      <c r="AF31" s="1">
        <f t="shared" ref="AF31:AG31" si="31">IF(AF9&gt;AF8,1,0)</f>
        <v>0</v>
      </c>
      <c r="AG31" s="1">
        <f t="shared" si="31"/>
        <v>0</v>
      </c>
    </row>
    <row r="32" spans="2:33">
      <c r="B32" s="1">
        <v>6</v>
      </c>
      <c r="C32" s="1">
        <f t="shared" si="0"/>
        <v>1</v>
      </c>
      <c r="D32" s="1">
        <f t="shared" si="1"/>
        <v>1</v>
      </c>
      <c r="E32" s="1">
        <f t="shared" si="2"/>
        <v>1</v>
      </c>
      <c r="F32" s="1">
        <f t="shared" ref="F32:U32" si="32">IF(F10&gt;F9,1,0)</f>
        <v>0</v>
      </c>
      <c r="G32" s="1">
        <f t="shared" si="32"/>
        <v>0</v>
      </c>
      <c r="H32" s="1">
        <f t="shared" si="32"/>
        <v>0</v>
      </c>
      <c r="I32" s="1">
        <f t="shared" si="10"/>
        <v>0</v>
      </c>
      <c r="J32" s="1">
        <f t="shared" si="32"/>
        <v>0</v>
      </c>
      <c r="K32" s="1">
        <f t="shared" si="32"/>
        <v>0</v>
      </c>
      <c r="L32" s="1">
        <f t="shared" si="32"/>
        <v>0</v>
      </c>
      <c r="M32" s="1">
        <f t="shared" si="32"/>
        <v>0</v>
      </c>
      <c r="N32" s="1">
        <f t="shared" si="32"/>
        <v>0</v>
      </c>
      <c r="O32" s="1">
        <f t="shared" si="32"/>
        <v>0</v>
      </c>
      <c r="P32" s="1">
        <f t="shared" si="32"/>
        <v>0</v>
      </c>
      <c r="Q32" s="1">
        <f t="shared" si="32"/>
        <v>0</v>
      </c>
      <c r="R32" s="1">
        <f t="shared" si="32"/>
        <v>0</v>
      </c>
      <c r="S32" s="1">
        <f t="shared" si="32"/>
        <v>0</v>
      </c>
      <c r="T32" s="1">
        <f t="shared" si="32"/>
        <v>0</v>
      </c>
      <c r="U32" s="1">
        <f t="shared" si="32"/>
        <v>0</v>
      </c>
      <c r="V32" s="1">
        <f t="shared" ref="V32:AA32" si="33">IF(V10&gt;V9,1,0)</f>
        <v>0</v>
      </c>
      <c r="W32" s="1">
        <f t="shared" si="33"/>
        <v>0</v>
      </c>
      <c r="X32" s="1">
        <f t="shared" ref="X32:Y32" si="34">IF(X10&gt;X9,1,0)</f>
        <v>0</v>
      </c>
      <c r="Y32" s="1">
        <f t="shared" si="34"/>
        <v>0</v>
      </c>
      <c r="Z32" s="1">
        <f t="shared" si="33"/>
        <v>0</v>
      </c>
      <c r="AA32" s="1">
        <f t="shared" si="33"/>
        <v>0</v>
      </c>
      <c r="AB32" s="1">
        <f t="shared" ref="AB32:AC32" si="35">IF(AB10&gt;AB9,1,0)</f>
        <v>0</v>
      </c>
      <c r="AC32" s="1">
        <f t="shared" si="35"/>
        <v>1</v>
      </c>
      <c r="AD32" s="1">
        <f t="shared" ref="AD32:AE32" si="36">IF(AD10&gt;AD9,1,0)</f>
        <v>0</v>
      </c>
      <c r="AE32" s="1">
        <f t="shared" si="36"/>
        <v>0</v>
      </c>
      <c r="AF32" s="1">
        <f t="shared" ref="AF32:AG32" si="37">IF(AF10&gt;AF9,1,0)</f>
        <v>0</v>
      </c>
      <c r="AG32" s="1">
        <f t="shared" si="37"/>
        <v>0</v>
      </c>
    </row>
    <row r="33" spans="2:33">
      <c r="B33" s="1">
        <v>7</v>
      </c>
      <c r="C33" s="1">
        <f t="shared" si="0"/>
        <v>1</v>
      </c>
      <c r="D33" s="1">
        <f t="shared" si="1"/>
        <v>1</v>
      </c>
      <c r="E33" s="1">
        <f t="shared" si="2"/>
        <v>1</v>
      </c>
      <c r="F33" s="1">
        <f t="shared" ref="F33:U33" si="38">IF(F11&gt;F10,1,0)</f>
        <v>0</v>
      </c>
      <c r="G33" s="1">
        <f t="shared" si="38"/>
        <v>0</v>
      </c>
      <c r="H33" s="1">
        <f t="shared" si="38"/>
        <v>0</v>
      </c>
      <c r="I33" s="1">
        <f t="shared" si="10"/>
        <v>1</v>
      </c>
      <c r="J33" s="1">
        <f t="shared" si="38"/>
        <v>0</v>
      </c>
      <c r="K33" s="1">
        <f t="shared" si="38"/>
        <v>0</v>
      </c>
      <c r="L33" s="1">
        <f t="shared" si="38"/>
        <v>0</v>
      </c>
      <c r="M33" s="1">
        <f t="shared" si="38"/>
        <v>0</v>
      </c>
      <c r="N33" s="1">
        <f t="shared" si="38"/>
        <v>0</v>
      </c>
      <c r="O33" s="1">
        <f t="shared" si="38"/>
        <v>0</v>
      </c>
      <c r="P33" s="1">
        <f t="shared" si="38"/>
        <v>0</v>
      </c>
      <c r="Q33" s="1">
        <f t="shared" si="38"/>
        <v>0</v>
      </c>
      <c r="R33" s="1">
        <f t="shared" si="38"/>
        <v>1</v>
      </c>
      <c r="S33" s="1">
        <f t="shared" si="38"/>
        <v>1</v>
      </c>
      <c r="T33" s="1">
        <f t="shared" si="38"/>
        <v>0</v>
      </c>
      <c r="U33" s="1">
        <f t="shared" si="38"/>
        <v>0</v>
      </c>
      <c r="V33" s="1">
        <f t="shared" ref="V33:AA33" si="39">IF(V11&gt;V10,1,0)</f>
        <v>0</v>
      </c>
      <c r="W33" s="1">
        <f t="shared" si="39"/>
        <v>0</v>
      </c>
      <c r="X33" s="1">
        <f t="shared" ref="X33:Y33" si="40">IF(X11&gt;X10,1,0)</f>
        <v>0</v>
      </c>
      <c r="Y33" s="1">
        <f t="shared" si="40"/>
        <v>0</v>
      </c>
      <c r="Z33" s="1">
        <f t="shared" si="39"/>
        <v>0</v>
      </c>
      <c r="AA33" s="1">
        <f t="shared" si="39"/>
        <v>1</v>
      </c>
      <c r="AB33" s="1">
        <f t="shared" ref="AB33:AC33" si="41">IF(AB11&gt;AB10,1,0)</f>
        <v>0</v>
      </c>
      <c r="AC33" s="1">
        <f t="shared" si="41"/>
        <v>0</v>
      </c>
      <c r="AD33" s="1">
        <f t="shared" ref="AD33:AE33" si="42">IF(AD11&gt;AD10,1,0)</f>
        <v>0</v>
      </c>
      <c r="AE33" s="1">
        <f t="shared" si="42"/>
        <v>0</v>
      </c>
      <c r="AF33" s="1">
        <f t="shared" ref="AF33:AG33" si="43">IF(AF11&gt;AF10,1,0)</f>
        <v>0</v>
      </c>
      <c r="AG33" s="1">
        <f t="shared" si="43"/>
        <v>0</v>
      </c>
    </row>
    <row r="34" spans="2:33">
      <c r="B34" s="1">
        <v>8</v>
      </c>
      <c r="C34" s="1">
        <f t="shared" si="0"/>
        <v>1</v>
      </c>
      <c r="D34" s="1">
        <f t="shared" si="1"/>
        <v>1</v>
      </c>
      <c r="E34" s="1">
        <f t="shared" si="2"/>
        <v>1</v>
      </c>
      <c r="F34" s="1">
        <f t="shared" ref="F34:U34" si="44">IF(F12&gt;F11,1,0)</f>
        <v>0</v>
      </c>
      <c r="G34" s="1">
        <f t="shared" si="44"/>
        <v>0</v>
      </c>
      <c r="H34" s="1">
        <f t="shared" si="44"/>
        <v>0</v>
      </c>
      <c r="I34" s="1">
        <f t="shared" si="10"/>
        <v>0</v>
      </c>
      <c r="J34" s="1">
        <f t="shared" si="44"/>
        <v>0</v>
      </c>
      <c r="K34" s="1">
        <f t="shared" si="44"/>
        <v>1</v>
      </c>
      <c r="L34" s="1">
        <f t="shared" si="44"/>
        <v>0</v>
      </c>
      <c r="M34" s="1">
        <f t="shared" si="44"/>
        <v>0</v>
      </c>
      <c r="N34" s="1">
        <f t="shared" si="44"/>
        <v>0</v>
      </c>
      <c r="O34" s="1">
        <f t="shared" si="44"/>
        <v>0</v>
      </c>
      <c r="P34" s="1">
        <f t="shared" si="44"/>
        <v>0</v>
      </c>
      <c r="Q34" s="1">
        <f t="shared" si="44"/>
        <v>0</v>
      </c>
      <c r="R34" s="1">
        <f t="shared" si="44"/>
        <v>0</v>
      </c>
      <c r="S34" s="1">
        <f t="shared" si="44"/>
        <v>0</v>
      </c>
      <c r="T34" s="1">
        <f t="shared" si="44"/>
        <v>0</v>
      </c>
      <c r="U34" s="1">
        <f t="shared" si="44"/>
        <v>0</v>
      </c>
      <c r="V34" s="1">
        <f t="shared" ref="V34:AA34" si="45">IF(V12&gt;V11,1,0)</f>
        <v>0</v>
      </c>
      <c r="W34" s="1">
        <f t="shared" si="45"/>
        <v>0</v>
      </c>
      <c r="X34" s="1">
        <f t="shared" ref="X34:Y34" si="46">IF(X12&gt;X11,1,0)</f>
        <v>1</v>
      </c>
      <c r="Y34" s="1">
        <f t="shared" si="46"/>
        <v>0</v>
      </c>
      <c r="Z34" s="1">
        <f t="shared" si="45"/>
        <v>0</v>
      </c>
      <c r="AA34" s="1">
        <f t="shared" si="45"/>
        <v>0</v>
      </c>
      <c r="AB34" s="1">
        <f t="shared" ref="AB34:AC34" si="47">IF(AB12&gt;AB11,1,0)</f>
        <v>0</v>
      </c>
      <c r="AC34" s="1">
        <f t="shared" si="47"/>
        <v>0</v>
      </c>
      <c r="AD34" s="1">
        <f t="shared" ref="AD34:AE34" si="48">IF(AD12&gt;AD11,1,0)</f>
        <v>0</v>
      </c>
      <c r="AE34" s="1">
        <f t="shared" si="48"/>
        <v>0</v>
      </c>
      <c r="AF34" s="1">
        <f t="shared" ref="AF34:AG34" si="49">IF(AF12&gt;AF11,1,0)</f>
        <v>1</v>
      </c>
      <c r="AG34" s="1">
        <f t="shared" si="49"/>
        <v>0</v>
      </c>
    </row>
    <row r="35" spans="2:33">
      <c r="B35" s="1">
        <v>9</v>
      </c>
      <c r="C35" s="1">
        <f t="shared" si="0"/>
        <v>1</v>
      </c>
      <c r="D35" s="1">
        <f t="shared" si="1"/>
        <v>1</v>
      </c>
      <c r="E35" s="1">
        <f t="shared" si="2"/>
        <v>1</v>
      </c>
      <c r="F35" s="1">
        <f t="shared" ref="F35:R35" si="50">IF(F13&gt;F12,1,0)</f>
        <v>0</v>
      </c>
      <c r="G35" s="1">
        <f t="shared" si="50"/>
        <v>1</v>
      </c>
      <c r="H35" s="1">
        <f t="shared" si="50"/>
        <v>1</v>
      </c>
      <c r="I35" s="1">
        <f t="shared" si="10"/>
        <v>0</v>
      </c>
      <c r="J35" s="1">
        <f t="shared" si="50"/>
        <v>0</v>
      </c>
      <c r="K35" s="1">
        <f t="shared" si="50"/>
        <v>0</v>
      </c>
      <c r="L35" s="1">
        <f t="shared" si="50"/>
        <v>0</v>
      </c>
      <c r="M35" s="1">
        <f t="shared" si="50"/>
        <v>1</v>
      </c>
      <c r="N35" s="1">
        <f t="shared" si="50"/>
        <v>0</v>
      </c>
      <c r="O35" s="1">
        <f t="shared" si="50"/>
        <v>1</v>
      </c>
      <c r="P35" s="1">
        <f t="shared" si="50"/>
        <v>1</v>
      </c>
      <c r="Q35" s="1">
        <f t="shared" si="50"/>
        <v>0</v>
      </c>
      <c r="R35" s="1">
        <f t="shared" si="50"/>
        <v>0</v>
      </c>
      <c r="S35" s="1">
        <f t="shared" ref="S35:U36" si="51">IF(S13&gt;S12,1,0)</f>
        <v>0</v>
      </c>
      <c r="T35" s="1">
        <f t="shared" si="51"/>
        <v>1</v>
      </c>
      <c r="U35" s="1">
        <f t="shared" si="51"/>
        <v>1</v>
      </c>
      <c r="V35" s="1">
        <f t="shared" ref="V35:AA35" si="52">IF(V13&gt;V12,1,0)</f>
        <v>0</v>
      </c>
      <c r="W35" s="1">
        <f t="shared" si="52"/>
        <v>0</v>
      </c>
      <c r="X35" s="1">
        <f t="shared" ref="X35:Y35" si="53">IF(X13&gt;X12,1,0)</f>
        <v>0</v>
      </c>
      <c r="Y35" s="1">
        <f t="shared" si="53"/>
        <v>0</v>
      </c>
      <c r="Z35" s="1">
        <f t="shared" si="52"/>
        <v>0</v>
      </c>
      <c r="AA35" s="1">
        <f t="shared" si="52"/>
        <v>0</v>
      </c>
      <c r="AB35" s="1">
        <f t="shared" ref="AB35:AC35" si="54">IF(AB13&gt;AB12,1,0)</f>
        <v>0</v>
      </c>
      <c r="AC35" s="1">
        <f t="shared" si="54"/>
        <v>0</v>
      </c>
      <c r="AD35" s="1">
        <f t="shared" ref="AD35:AE35" si="55">IF(AD13&gt;AD12,1,0)</f>
        <v>0</v>
      </c>
      <c r="AE35" s="1">
        <f t="shared" si="55"/>
        <v>0</v>
      </c>
      <c r="AF35" s="1">
        <f t="shared" ref="AF35:AG35" si="56">IF(AF13&gt;AF12,1,0)</f>
        <v>0</v>
      </c>
      <c r="AG35" s="1">
        <f t="shared" si="56"/>
        <v>0</v>
      </c>
    </row>
    <row r="36" spans="2:33">
      <c r="B36" s="1">
        <v>10</v>
      </c>
      <c r="C36" s="1">
        <f t="shared" si="0"/>
        <v>1</v>
      </c>
      <c r="D36" s="1">
        <f t="shared" si="1"/>
        <v>1</v>
      </c>
      <c r="E36" s="1">
        <f t="shared" si="2"/>
        <v>1</v>
      </c>
      <c r="F36" s="1">
        <f t="shared" ref="F36:R36" si="57">IF(F14&gt;F13,1,0)</f>
        <v>1</v>
      </c>
      <c r="G36" s="1">
        <f t="shared" si="57"/>
        <v>0</v>
      </c>
      <c r="H36" s="1">
        <f t="shared" si="57"/>
        <v>0</v>
      </c>
      <c r="I36" s="1">
        <f t="shared" si="10"/>
        <v>1</v>
      </c>
      <c r="J36" s="1">
        <f t="shared" si="57"/>
        <v>0</v>
      </c>
      <c r="K36" s="1">
        <f t="shared" si="57"/>
        <v>0</v>
      </c>
      <c r="L36" s="1">
        <f t="shared" si="57"/>
        <v>0</v>
      </c>
      <c r="M36" s="1">
        <f t="shared" si="57"/>
        <v>0</v>
      </c>
      <c r="N36" s="1">
        <f t="shared" si="57"/>
        <v>0</v>
      </c>
      <c r="O36" s="1">
        <f t="shared" si="57"/>
        <v>0</v>
      </c>
      <c r="P36" s="1">
        <f t="shared" si="57"/>
        <v>0</v>
      </c>
      <c r="Q36" s="1">
        <f t="shared" si="57"/>
        <v>0</v>
      </c>
      <c r="R36" s="1">
        <f t="shared" si="57"/>
        <v>0</v>
      </c>
      <c r="S36" s="1">
        <f t="shared" si="51"/>
        <v>0</v>
      </c>
      <c r="T36" s="1">
        <f t="shared" si="51"/>
        <v>0</v>
      </c>
      <c r="U36" s="1">
        <f t="shared" si="51"/>
        <v>0</v>
      </c>
      <c r="V36" s="1">
        <f t="shared" ref="V36:AA36" si="58">IF(V14&gt;V13,1,0)</f>
        <v>1</v>
      </c>
      <c r="W36" s="1">
        <f t="shared" si="58"/>
        <v>1</v>
      </c>
      <c r="X36" s="1">
        <f t="shared" ref="X36:Y36" si="59">IF(X14&gt;X13,1,0)</f>
        <v>0</v>
      </c>
      <c r="Y36" s="1">
        <f t="shared" si="59"/>
        <v>0</v>
      </c>
      <c r="Z36" s="1">
        <f t="shared" si="58"/>
        <v>0</v>
      </c>
      <c r="AA36" s="1">
        <f t="shared" si="58"/>
        <v>0</v>
      </c>
      <c r="AB36" s="1">
        <f t="shared" ref="AB36:AC36" si="60">IF(AB14&gt;AB13,1,0)</f>
        <v>0</v>
      </c>
      <c r="AC36" s="1">
        <f t="shared" si="60"/>
        <v>0</v>
      </c>
      <c r="AD36" s="1">
        <f>IF(AD14&gt;AD13,1,0)</f>
        <v>0</v>
      </c>
      <c r="AE36" s="1">
        <f>IF(AE14&gt;AE13,1,0)</f>
        <v>0</v>
      </c>
      <c r="AF36" s="1">
        <f t="shared" ref="AF36:AG36" si="61">IF(AF14&gt;AF13,1,0)</f>
        <v>0</v>
      </c>
      <c r="AG36" s="1">
        <f t="shared" si="61"/>
        <v>1</v>
      </c>
    </row>
    <row r="37" spans="2:33">
      <c r="B37" s="1">
        <v>11</v>
      </c>
      <c r="C37" s="1">
        <f t="shared" si="0"/>
        <v>1</v>
      </c>
      <c r="D37" s="1">
        <f t="shared" ref="D37:AA37" si="62">IF(D15&gt;D14,1,0)</f>
        <v>1</v>
      </c>
      <c r="E37" s="1">
        <f t="shared" si="2"/>
        <v>1</v>
      </c>
      <c r="F37" s="1">
        <f t="shared" si="62"/>
        <v>0</v>
      </c>
      <c r="G37" s="1">
        <f t="shared" si="62"/>
        <v>0</v>
      </c>
      <c r="H37" s="1">
        <f t="shared" si="62"/>
        <v>0</v>
      </c>
      <c r="I37" s="1">
        <f t="shared" si="10"/>
        <v>0</v>
      </c>
      <c r="J37" s="1">
        <f t="shared" si="62"/>
        <v>0</v>
      </c>
      <c r="K37" s="1">
        <f t="shared" si="62"/>
        <v>0</v>
      </c>
      <c r="L37" s="1">
        <f t="shared" si="62"/>
        <v>0</v>
      </c>
      <c r="M37" s="1">
        <f t="shared" si="62"/>
        <v>0</v>
      </c>
      <c r="N37" s="1">
        <f t="shared" si="62"/>
        <v>0</v>
      </c>
      <c r="O37" s="1">
        <f t="shared" si="62"/>
        <v>0</v>
      </c>
      <c r="P37" s="1">
        <f t="shared" si="62"/>
        <v>0</v>
      </c>
      <c r="Q37" s="1">
        <f t="shared" si="62"/>
        <v>0</v>
      </c>
      <c r="R37" s="1">
        <f t="shared" si="62"/>
        <v>1</v>
      </c>
      <c r="S37" s="1">
        <f t="shared" si="62"/>
        <v>1</v>
      </c>
      <c r="T37" s="1">
        <f t="shared" si="62"/>
        <v>0</v>
      </c>
      <c r="U37" s="1">
        <f t="shared" si="62"/>
        <v>0</v>
      </c>
      <c r="V37" s="1">
        <f t="shared" si="62"/>
        <v>0</v>
      </c>
      <c r="W37" s="1">
        <f t="shared" si="62"/>
        <v>0</v>
      </c>
      <c r="X37" s="1">
        <f t="shared" ref="X37:Y37" si="63">IF(X15&gt;X14,1,0)</f>
        <v>0</v>
      </c>
      <c r="Y37" s="1">
        <f t="shared" si="63"/>
        <v>0</v>
      </c>
      <c r="Z37" s="1">
        <f t="shared" si="62"/>
        <v>0</v>
      </c>
      <c r="AA37" s="1">
        <f t="shared" si="62"/>
        <v>0</v>
      </c>
      <c r="AB37" s="1">
        <f t="shared" ref="AB37:AC37" si="64">IF(AB15&gt;AB14,1,0)</f>
        <v>0</v>
      </c>
      <c r="AC37" s="1">
        <f t="shared" si="64"/>
        <v>0</v>
      </c>
      <c r="AD37" s="1">
        <f t="shared" ref="AD37" si="65">IF(AD15&gt;AD14,1,0)</f>
        <v>0</v>
      </c>
      <c r="AE37" s="1">
        <f>IF(AE15&gt;AE14,1,0)</f>
        <v>0</v>
      </c>
      <c r="AF37" s="1">
        <f t="shared" ref="AF37:AG37" si="66">IF(AF15&gt;AF14,1,0)</f>
        <v>0</v>
      </c>
      <c r="AG37" s="1">
        <f t="shared" si="66"/>
        <v>0</v>
      </c>
    </row>
    <row r="38" spans="2:33">
      <c r="B38" s="1">
        <v>12</v>
      </c>
      <c r="C38" s="1">
        <f t="shared" si="0"/>
        <v>1</v>
      </c>
      <c r="D38" s="1">
        <f t="shared" ref="D38:AA38" si="67">IF(D16&gt;D15,1,0)</f>
        <v>1</v>
      </c>
      <c r="E38" s="1">
        <f t="shared" si="2"/>
        <v>1</v>
      </c>
      <c r="F38" s="1">
        <f t="shared" si="67"/>
        <v>0</v>
      </c>
      <c r="G38" s="1">
        <f t="shared" si="67"/>
        <v>0</v>
      </c>
      <c r="H38" s="1">
        <f t="shared" si="67"/>
        <v>0</v>
      </c>
      <c r="I38" s="1">
        <f t="shared" si="10"/>
        <v>0</v>
      </c>
      <c r="J38" s="1">
        <f t="shared" si="67"/>
        <v>0</v>
      </c>
      <c r="K38" s="1">
        <f t="shared" si="67"/>
        <v>0</v>
      </c>
      <c r="L38" s="1">
        <f t="shared" si="67"/>
        <v>1</v>
      </c>
      <c r="M38" s="1">
        <f t="shared" si="67"/>
        <v>0</v>
      </c>
      <c r="N38" s="1">
        <f t="shared" si="67"/>
        <v>0</v>
      </c>
      <c r="O38" s="1">
        <f t="shared" si="67"/>
        <v>0</v>
      </c>
      <c r="P38" s="1">
        <f t="shared" si="67"/>
        <v>0</v>
      </c>
      <c r="Q38" s="1">
        <f t="shared" si="67"/>
        <v>0</v>
      </c>
      <c r="R38" s="1">
        <f t="shared" si="67"/>
        <v>0</v>
      </c>
      <c r="S38" s="1">
        <f t="shared" si="67"/>
        <v>0</v>
      </c>
      <c r="T38" s="1">
        <f t="shared" si="67"/>
        <v>0</v>
      </c>
      <c r="U38" s="1">
        <f t="shared" si="67"/>
        <v>0</v>
      </c>
      <c r="V38" s="1">
        <f t="shared" si="67"/>
        <v>0</v>
      </c>
      <c r="W38" s="1">
        <f t="shared" si="67"/>
        <v>0</v>
      </c>
      <c r="X38" s="1">
        <f t="shared" ref="X38:Y38" si="68">IF(X16&gt;X15,1,0)</f>
        <v>1</v>
      </c>
      <c r="Y38" s="1">
        <f t="shared" si="68"/>
        <v>0</v>
      </c>
      <c r="Z38" s="1">
        <f t="shared" si="67"/>
        <v>0</v>
      </c>
      <c r="AA38" s="1">
        <f t="shared" si="67"/>
        <v>0</v>
      </c>
      <c r="AB38" s="1">
        <f t="shared" ref="AB38:AC38" si="69">IF(AB16&gt;AB15,1,0)</f>
        <v>1</v>
      </c>
      <c r="AC38" s="1">
        <f t="shared" si="69"/>
        <v>0</v>
      </c>
      <c r="AD38" s="1">
        <f t="shared" ref="AD38" si="70">IF(AD16&gt;AD15,1,0)</f>
        <v>0</v>
      </c>
      <c r="AE38" s="1">
        <f>IF(AE16&gt;AE15,1,0)</f>
        <v>0</v>
      </c>
      <c r="AF38" s="1">
        <f t="shared" ref="AF38:AG38" si="71">IF(AF16&gt;AF15,1,0)</f>
        <v>0</v>
      </c>
      <c r="AG38" s="1">
        <f t="shared" si="71"/>
        <v>0</v>
      </c>
    </row>
    <row r="39" spans="2:33">
      <c r="B39" s="1">
        <v>13</v>
      </c>
      <c r="C39" s="1">
        <f t="shared" si="0"/>
        <v>1</v>
      </c>
      <c r="D39" s="1">
        <f t="shared" ref="D39:AA39" si="72">IF(D17&gt;D16,1,0)</f>
        <v>1</v>
      </c>
      <c r="E39" s="1">
        <f t="shared" si="2"/>
        <v>1</v>
      </c>
      <c r="F39" s="1">
        <f t="shared" si="72"/>
        <v>1</v>
      </c>
      <c r="G39" s="1">
        <f t="shared" si="72"/>
        <v>1</v>
      </c>
      <c r="H39" s="1">
        <f t="shared" si="72"/>
        <v>0</v>
      </c>
      <c r="I39" s="1">
        <f t="shared" si="10"/>
        <v>0</v>
      </c>
      <c r="J39" s="1">
        <f t="shared" si="72"/>
        <v>0</v>
      </c>
      <c r="K39" s="1">
        <f t="shared" si="72"/>
        <v>0</v>
      </c>
      <c r="L39" s="1">
        <f t="shared" si="72"/>
        <v>0</v>
      </c>
      <c r="M39" s="1">
        <f t="shared" si="72"/>
        <v>0</v>
      </c>
      <c r="N39" s="1">
        <f t="shared" si="72"/>
        <v>1</v>
      </c>
      <c r="O39" s="1">
        <f t="shared" si="72"/>
        <v>1</v>
      </c>
      <c r="P39" s="1">
        <f t="shared" si="72"/>
        <v>1</v>
      </c>
      <c r="Q39" s="1">
        <f t="shared" si="72"/>
        <v>0</v>
      </c>
      <c r="R39" s="1">
        <f t="shared" si="72"/>
        <v>0</v>
      </c>
      <c r="S39" s="1">
        <f t="shared" si="72"/>
        <v>0</v>
      </c>
      <c r="T39" s="1">
        <f t="shared" si="72"/>
        <v>0</v>
      </c>
      <c r="U39" s="1">
        <f t="shared" si="72"/>
        <v>0</v>
      </c>
      <c r="V39" s="1">
        <f t="shared" si="72"/>
        <v>0</v>
      </c>
      <c r="W39" s="1">
        <f t="shared" si="72"/>
        <v>0</v>
      </c>
      <c r="X39" s="1">
        <f t="shared" ref="X39:Y39" si="73">IF(X17&gt;X16,1,0)</f>
        <v>0</v>
      </c>
      <c r="Y39" s="1">
        <f t="shared" si="73"/>
        <v>0</v>
      </c>
      <c r="Z39" s="1">
        <f t="shared" si="72"/>
        <v>0</v>
      </c>
      <c r="AA39" s="1">
        <f t="shared" si="72"/>
        <v>0</v>
      </c>
      <c r="AB39" s="1">
        <f t="shared" ref="AB39:AC39" si="74">IF(AB17&gt;AB16,1,0)</f>
        <v>0</v>
      </c>
      <c r="AC39" s="1">
        <f t="shared" si="74"/>
        <v>0</v>
      </c>
      <c r="AD39" s="1">
        <f t="shared" ref="AD39:AE39" si="75">IF(AD17&gt;AD16,1,0)</f>
        <v>0</v>
      </c>
      <c r="AE39" s="1">
        <f t="shared" si="75"/>
        <v>0</v>
      </c>
      <c r="AF39" s="1">
        <f t="shared" ref="AF39:AG39" si="76">IF(AF17&gt;AF16,1,0)</f>
        <v>0</v>
      </c>
      <c r="AG39" s="1">
        <f t="shared" si="76"/>
        <v>0</v>
      </c>
    </row>
    <row r="40" spans="2:33">
      <c r="B40" s="1">
        <v>14</v>
      </c>
      <c r="C40" s="1">
        <f t="shared" si="0"/>
        <v>1</v>
      </c>
      <c r="D40" s="1">
        <f t="shared" ref="D40:AG42" si="77">IF(D18&gt;D17,1,0)</f>
        <v>1</v>
      </c>
      <c r="E40" s="1">
        <f t="shared" si="2"/>
        <v>1</v>
      </c>
      <c r="F40" s="1">
        <f t="shared" si="77"/>
        <v>0</v>
      </c>
      <c r="G40" s="1">
        <f t="shared" si="77"/>
        <v>0</v>
      </c>
      <c r="H40" s="1">
        <f t="shared" si="77"/>
        <v>0</v>
      </c>
      <c r="I40" s="1">
        <f t="shared" si="10"/>
        <v>0</v>
      </c>
      <c r="J40" s="1">
        <f t="shared" si="77"/>
        <v>0</v>
      </c>
      <c r="K40" s="1">
        <f t="shared" si="77"/>
        <v>0</v>
      </c>
      <c r="L40" s="1">
        <f t="shared" si="77"/>
        <v>0</v>
      </c>
      <c r="M40" s="1">
        <f t="shared" si="77"/>
        <v>0</v>
      </c>
      <c r="N40" s="1">
        <f t="shared" si="77"/>
        <v>0</v>
      </c>
      <c r="O40" s="1">
        <f t="shared" si="77"/>
        <v>0</v>
      </c>
      <c r="P40" s="1">
        <f t="shared" si="77"/>
        <v>0</v>
      </c>
      <c r="Q40" s="1">
        <f t="shared" si="77"/>
        <v>0</v>
      </c>
      <c r="R40" s="1">
        <f t="shared" si="77"/>
        <v>0</v>
      </c>
      <c r="S40" s="1">
        <f t="shared" si="77"/>
        <v>0</v>
      </c>
      <c r="T40" s="1">
        <f t="shared" si="77"/>
        <v>0</v>
      </c>
      <c r="U40" s="1">
        <f t="shared" si="77"/>
        <v>0</v>
      </c>
      <c r="V40" s="1">
        <f t="shared" si="77"/>
        <v>0</v>
      </c>
      <c r="W40" s="1">
        <f t="shared" si="77"/>
        <v>0</v>
      </c>
      <c r="X40" s="1">
        <f t="shared" si="77"/>
        <v>0</v>
      </c>
      <c r="Y40" s="1">
        <f t="shared" si="77"/>
        <v>0</v>
      </c>
      <c r="Z40" s="1">
        <f t="shared" si="77"/>
        <v>0</v>
      </c>
      <c r="AA40" s="1">
        <f t="shared" si="77"/>
        <v>0</v>
      </c>
      <c r="AB40" s="1">
        <f t="shared" si="77"/>
        <v>0</v>
      </c>
      <c r="AC40" s="1">
        <f t="shared" si="77"/>
        <v>0</v>
      </c>
      <c r="AD40" s="1">
        <f t="shared" si="77"/>
        <v>0</v>
      </c>
      <c r="AE40" s="1">
        <f t="shared" si="77"/>
        <v>0</v>
      </c>
      <c r="AF40" s="1">
        <f t="shared" si="77"/>
        <v>0</v>
      </c>
      <c r="AG40" s="1">
        <f t="shared" si="77"/>
        <v>0</v>
      </c>
    </row>
    <row r="41" spans="2:33">
      <c r="B41" s="1">
        <v>15</v>
      </c>
      <c r="C41" s="1">
        <f t="shared" si="0"/>
        <v>1</v>
      </c>
      <c r="D41" s="1">
        <f t="shared" ref="D41:AC41" si="78">IF(D19&gt;D18,1,0)</f>
        <v>1</v>
      </c>
      <c r="E41" s="1">
        <f t="shared" si="2"/>
        <v>1</v>
      </c>
      <c r="F41" s="1">
        <f t="shared" si="78"/>
        <v>0</v>
      </c>
      <c r="G41" s="1">
        <f t="shared" si="78"/>
        <v>0</v>
      </c>
      <c r="H41" s="1">
        <f t="shared" si="78"/>
        <v>0</v>
      </c>
      <c r="I41" s="1">
        <f t="shared" si="10"/>
        <v>0</v>
      </c>
      <c r="J41" s="1">
        <f t="shared" si="78"/>
        <v>0</v>
      </c>
      <c r="K41" s="1">
        <f t="shared" si="78"/>
        <v>0</v>
      </c>
      <c r="L41" s="1">
        <f t="shared" si="78"/>
        <v>0</v>
      </c>
      <c r="M41" s="1">
        <f t="shared" si="78"/>
        <v>0</v>
      </c>
      <c r="N41" s="1">
        <f t="shared" si="78"/>
        <v>0</v>
      </c>
      <c r="O41" s="1">
        <f t="shared" si="78"/>
        <v>0</v>
      </c>
      <c r="P41" s="1">
        <f t="shared" si="78"/>
        <v>0</v>
      </c>
      <c r="Q41" s="1">
        <f t="shared" si="78"/>
        <v>0</v>
      </c>
      <c r="R41" s="1">
        <f t="shared" si="78"/>
        <v>0</v>
      </c>
      <c r="S41" s="1">
        <f t="shared" si="78"/>
        <v>0</v>
      </c>
      <c r="T41" s="1">
        <f t="shared" si="78"/>
        <v>0</v>
      </c>
      <c r="U41" s="1">
        <f t="shared" si="78"/>
        <v>0</v>
      </c>
      <c r="V41" s="1">
        <f t="shared" si="78"/>
        <v>0</v>
      </c>
      <c r="W41" s="1">
        <f t="shared" si="78"/>
        <v>0</v>
      </c>
      <c r="X41" s="1">
        <f t="shared" si="78"/>
        <v>1</v>
      </c>
      <c r="Y41" s="1">
        <f t="shared" si="78"/>
        <v>0</v>
      </c>
      <c r="Z41" s="1">
        <f t="shared" si="78"/>
        <v>0</v>
      </c>
      <c r="AA41" s="1">
        <f t="shared" si="78"/>
        <v>0</v>
      </c>
      <c r="AB41" s="1">
        <f t="shared" si="78"/>
        <v>0</v>
      </c>
      <c r="AC41" s="1">
        <f t="shared" si="78"/>
        <v>0</v>
      </c>
      <c r="AD41" s="1">
        <f t="shared" si="77"/>
        <v>0</v>
      </c>
      <c r="AE41" s="1">
        <f t="shared" si="77"/>
        <v>0</v>
      </c>
      <c r="AF41" s="1">
        <f t="shared" si="77"/>
        <v>0</v>
      </c>
      <c r="AG41" s="1">
        <f t="shared" si="77"/>
        <v>0</v>
      </c>
    </row>
    <row r="42" spans="2:33">
      <c r="B42" s="1">
        <v>16</v>
      </c>
      <c r="C42" s="1">
        <f t="shared" si="0"/>
        <v>1</v>
      </c>
      <c r="D42" s="1">
        <f t="shared" ref="D42:AC42" si="79">IF(D20&gt;D19,1,0)</f>
        <v>1</v>
      </c>
      <c r="E42" s="1">
        <f t="shared" si="2"/>
        <v>0</v>
      </c>
      <c r="F42" s="1">
        <f t="shared" si="79"/>
        <v>0</v>
      </c>
      <c r="G42" s="1">
        <f t="shared" si="79"/>
        <v>0</v>
      </c>
      <c r="H42" s="1">
        <f t="shared" si="79"/>
        <v>0</v>
      </c>
      <c r="I42" s="1">
        <f t="shared" si="10"/>
        <v>0</v>
      </c>
      <c r="J42" s="1">
        <f t="shared" si="79"/>
        <v>0</v>
      </c>
      <c r="K42" s="1">
        <f t="shared" si="79"/>
        <v>0</v>
      </c>
      <c r="L42" s="1">
        <f t="shared" si="79"/>
        <v>0</v>
      </c>
      <c r="M42" s="1">
        <f t="shared" si="79"/>
        <v>0</v>
      </c>
      <c r="N42" s="1">
        <f t="shared" si="79"/>
        <v>0</v>
      </c>
      <c r="O42" s="1">
        <f t="shared" si="79"/>
        <v>0</v>
      </c>
      <c r="P42" s="1">
        <f t="shared" si="79"/>
        <v>0</v>
      </c>
      <c r="Q42" s="1">
        <f t="shared" si="79"/>
        <v>0</v>
      </c>
      <c r="R42" s="1">
        <f t="shared" si="79"/>
        <v>0</v>
      </c>
      <c r="S42" s="1">
        <f t="shared" si="79"/>
        <v>0</v>
      </c>
      <c r="T42" s="1">
        <f t="shared" si="79"/>
        <v>0</v>
      </c>
      <c r="U42" s="1">
        <f t="shared" si="79"/>
        <v>0</v>
      </c>
      <c r="V42" s="1">
        <f t="shared" si="79"/>
        <v>0</v>
      </c>
      <c r="W42" s="1">
        <f t="shared" si="79"/>
        <v>0</v>
      </c>
      <c r="X42" s="1">
        <f t="shared" si="79"/>
        <v>0</v>
      </c>
      <c r="Y42" s="1">
        <f t="shared" si="79"/>
        <v>0</v>
      </c>
      <c r="Z42" s="1">
        <f t="shared" si="79"/>
        <v>0</v>
      </c>
      <c r="AA42" s="1">
        <f t="shared" si="79"/>
        <v>0</v>
      </c>
      <c r="AB42" s="1">
        <f t="shared" si="79"/>
        <v>0</v>
      </c>
      <c r="AC42" s="1">
        <f t="shared" si="79"/>
        <v>0</v>
      </c>
      <c r="AD42" s="1">
        <f t="shared" si="77"/>
        <v>0</v>
      </c>
      <c r="AE42" s="1">
        <f t="shared" si="77"/>
        <v>0</v>
      </c>
      <c r="AF42" s="1">
        <f t="shared" si="77"/>
        <v>0</v>
      </c>
      <c r="AG42" s="1">
        <f t="shared" si="77"/>
        <v>0</v>
      </c>
    </row>
    <row r="43" spans="2:33">
      <c r="B43" s="1">
        <v>17</v>
      </c>
      <c r="C43" s="1">
        <f t="shared" si="0"/>
        <v>1</v>
      </c>
      <c r="D43" s="1">
        <f t="shared" ref="D43:AG43" si="80">IF(D21&gt;D20,1,0)</f>
        <v>1</v>
      </c>
      <c r="E43" s="1">
        <f t="shared" si="2"/>
        <v>0</v>
      </c>
      <c r="F43" s="1">
        <f t="shared" si="80"/>
        <v>0</v>
      </c>
      <c r="G43" s="1">
        <f t="shared" si="80"/>
        <v>0</v>
      </c>
      <c r="H43" s="1">
        <f t="shared" si="80"/>
        <v>0</v>
      </c>
      <c r="I43" s="1">
        <f t="shared" si="10"/>
        <v>0</v>
      </c>
      <c r="J43" s="1">
        <f t="shared" si="80"/>
        <v>0</v>
      </c>
      <c r="K43" s="1">
        <f t="shared" si="80"/>
        <v>0</v>
      </c>
      <c r="L43" s="1">
        <f t="shared" si="80"/>
        <v>0</v>
      </c>
      <c r="M43" s="1">
        <f t="shared" si="80"/>
        <v>0</v>
      </c>
      <c r="N43" s="1">
        <f t="shared" si="80"/>
        <v>0</v>
      </c>
      <c r="O43" s="1">
        <f t="shared" si="80"/>
        <v>0</v>
      </c>
      <c r="P43" s="1">
        <f t="shared" si="80"/>
        <v>0</v>
      </c>
      <c r="Q43" s="1">
        <f t="shared" si="80"/>
        <v>0</v>
      </c>
      <c r="R43" s="1">
        <f t="shared" si="80"/>
        <v>0</v>
      </c>
      <c r="S43" s="1">
        <f t="shared" si="80"/>
        <v>0</v>
      </c>
      <c r="T43" s="1">
        <f t="shared" si="80"/>
        <v>0</v>
      </c>
      <c r="U43" s="1">
        <f t="shared" si="80"/>
        <v>0</v>
      </c>
      <c r="V43" s="1">
        <f t="shared" si="80"/>
        <v>0</v>
      </c>
      <c r="W43" s="1">
        <f t="shared" si="80"/>
        <v>0</v>
      </c>
      <c r="X43" s="1">
        <f t="shared" si="80"/>
        <v>0</v>
      </c>
      <c r="Y43" s="1">
        <f t="shared" si="80"/>
        <v>0</v>
      </c>
      <c r="Z43" s="1">
        <f t="shared" si="80"/>
        <v>0</v>
      </c>
      <c r="AA43" s="1">
        <f t="shared" si="80"/>
        <v>0</v>
      </c>
      <c r="AB43" s="1">
        <f t="shared" si="80"/>
        <v>0</v>
      </c>
      <c r="AC43" s="1">
        <f t="shared" si="80"/>
        <v>0</v>
      </c>
      <c r="AD43" s="1">
        <f t="shared" si="80"/>
        <v>0</v>
      </c>
      <c r="AE43" s="1">
        <f t="shared" si="80"/>
        <v>0</v>
      </c>
      <c r="AF43" s="1">
        <f t="shared" si="80"/>
        <v>0</v>
      </c>
      <c r="AG43" s="1">
        <f t="shared" si="80"/>
        <v>0</v>
      </c>
    </row>
    <row r="44" spans="2:33">
      <c r="B44" s="1">
        <v>18</v>
      </c>
      <c r="C44" s="1">
        <f t="shared" si="0"/>
        <v>1</v>
      </c>
      <c r="D44" s="1">
        <f t="shared" ref="D44:AG44" si="81">IF(D22&gt;D21,1,0)</f>
        <v>1</v>
      </c>
      <c r="E44" s="1">
        <f t="shared" si="2"/>
        <v>0</v>
      </c>
      <c r="F44" s="1">
        <f t="shared" si="81"/>
        <v>0</v>
      </c>
      <c r="G44" s="1">
        <f t="shared" si="81"/>
        <v>0</v>
      </c>
      <c r="H44" s="1">
        <f t="shared" si="81"/>
        <v>0</v>
      </c>
      <c r="I44" s="1">
        <f t="shared" si="10"/>
        <v>0</v>
      </c>
      <c r="J44" s="1">
        <f t="shared" si="81"/>
        <v>0</v>
      </c>
      <c r="K44" s="1">
        <f t="shared" si="81"/>
        <v>0</v>
      </c>
      <c r="L44" s="1">
        <f t="shared" si="81"/>
        <v>0</v>
      </c>
      <c r="M44" s="1">
        <f t="shared" si="81"/>
        <v>0</v>
      </c>
      <c r="N44" s="1">
        <f t="shared" si="81"/>
        <v>0</v>
      </c>
      <c r="O44" s="1">
        <f t="shared" si="81"/>
        <v>0</v>
      </c>
      <c r="P44" s="1">
        <f t="shared" si="81"/>
        <v>0</v>
      </c>
      <c r="Q44" s="1">
        <f t="shared" si="81"/>
        <v>0</v>
      </c>
      <c r="R44" s="1">
        <f t="shared" si="81"/>
        <v>0</v>
      </c>
      <c r="S44" s="1">
        <f t="shared" si="81"/>
        <v>0</v>
      </c>
      <c r="T44" s="1">
        <f t="shared" si="81"/>
        <v>0</v>
      </c>
      <c r="U44" s="1">
        <f t="shared" si="81"/>
        <v>0</v>
      </c>
      <c r="V44" s="1">
        <f t="shared" si="81"/>
        <v>0</v>
      </c>
      <c r="W44" s="1">
        <f t="shared" si="81"/>
        <v>0</v>
      </c>
      <c r="X44" s="1">
        <f t="shared" si="81"/>
        <v>0</v>
      </c>
      <c r="Y44" s="1">
        <f t="shared" si="81"/>
        <v>0</v>
      </c>
      <c r="Z44" s="1">
        <f t="shared" si="81"/>
        <v>0</v>
      </c>
      <c r="AA44" s="1">
        <f t="shared" si="81"/>
        <v>0</v>
      </c>
      <c r="AB44" s="1">
        <f t="shared" si="81"/>
        <v>0</v>
      </c>
      <c r="AC44" s="1">
        <f t="shared" si="81"/>
        <v>0</v>
      </c>
      <c r="AD44" s="1">
        <f t="shared" si="81"/>
        <v>0</v>
      </c>
      <c r="AE44" s="1">
        <f t="shared" si="81"/>
        <v>0</v>
      </c>
      <c r="AF44" s="1">
        <f t="shared" si="81"/>
        <v>0</v>
      </c>
      <c r="AG44" s="1">
        <f t="shared" si="81"/>
        <v>0</v>
      </c>
    </row>
    <row r="45" spans="2:33" s="6" customFormat="1"/>
    <row r="46" spans="2:33">
      <c r="B46" s="1">
        <v>0</v>
      </c>
      <c r="C46" s="1" t="str">
        <f>IF(SUM(C$26:C26)&gt;0,SUBSTITUTE(C$25,"x",C4,1),"")</f>
        <v/>
      </c>
      <c r="D46" s="1" t="str">
        <f>IF(SUM(D$26:D26)&gt;0,SUBSTITUTE(D$25,"x",D4,1),"")</f>
        <v>每日可购买体力&lt;color=#37c21b&gt;2&lt;/color&gt;次</v>
      </c>
      <c r="E46" s="1" t="str">
        <f>IF(SUM(E$26:E26)&gt;0,SUBSTITUTE(E$25,"x",E4,1),"")</f>
        <v>每日可点金&lt;color=#37c21b&gt;3&lt;/color&gt;次</v>
      </c>
      <c r="F46" s="1" t="str">
        <f>SUBSTITUTE(F$25,"x",F4,1)</f>
        <v>每天每个精英副本可重置&lt;color=#37c21b&gt;1&lt;/color&gt;次</v>
      </c>
      <c r="G46" s="1" t="str">
        <f t="shared" ref="G46:H64" si="82">SUBSTITUTE(G$25,"x",G4,1)</f>
        <v>每日可购买竞技场&lt;color=#37c21b&gt;2&lt;/color&gt;次</v>
      </c>
      <c r="H46" s="1" t="str">
        <f t="shared" si="82"/>
        <v>单次副本最大扫荡次数提高至&lt;color=#37c21b&gt;5&lt;/color&gt;次</v>
      </c>
      <c r="I46" s="1" t="str">
        <f>IF(SUM(I$26:I26)&gt;0,SUBSTITUTE(I$25,"x",I4,1),"")</f>
        <v/>
      </c>
      <c r="J46" s="1" t="str">
        <f>IF(SUM(J$26:J26)&gt;0,J$25,"")</f>
        <v/>
      </c>
      <c r="K46" s="1" t="str">
        <f>IF(SUM(K$26:K26)&gt;0,SUBSTITUTE(K$25,"x",K4,1),"")</f>
        <v/>
      </c>
      <c r="L46" s="1" t="str">
        <f>IF(SUM(L$26:L26)&gt;0,SUBSTITUTE(L$25,"x",L4,1),"")</f>
        <v/>
      </c>
      <c r="M46" s="1" t="str">
        <f>IF(SUM(M$26:M26)&gt;0,M$25,"")</f>
        <v/>
      </c>
      <c r="N46" s="1" t="str">
        <f>IF(SUM(N$26:N26)&gt;0,N$25,"")</f>
        <v/>
      </c>
      <c r="O46" s="1" t="str">
        <f>IF(SUM(O$26:O26)&gt;0,O$25,"")</f>
        <v/>
      </c>
      <c r="P46" s="1" t="str">
        <f>IF(SUM(P$26:P26)&gt;0,P$25,"")</f>
        <v/>
      </c>
      <c r="Q46" s="1" t="str">
        <f>IF(SUM(Q$26:Q26)&gt;0,Q$25,"")</f>
        <v/>
      </c>
      <c r="R46" s="1" t="str">
        <f>IF(SUM(R$26:R26)&gt;0,R$25,"")</f>
        <v/>
      </c>
      <c r="S46" s="1" t="str">
        <f>IF(SUM(S$26:S26)&gt;0,S$25,"")</f>
        <v/>
      </c>
      <c r="T46" s="1" t="str">
        <f>IF(SUM(T$26:T26)&gt;0,T$25,"")</f>
        <v/>
      </c>
      <c r="U46" s="1" t="str">
        <f>IF(SUM(U$26:U26)&gt;0,U$25,"")</f>
        <v/>
      </c>
      <c r="V46" s="1" t="str">
        <f>IF(SUM(V$26:V26)&gt;0,V$25,"")</f>
        <v/>
      </c>
      <c r="W46" s="1" t="str">
        <f>IF(SUM(W$26:W26)&gt;0,W$25,"")</f>
        <v/>
      </c>
      <c r="X46" s="1" t="str">
        <f>IF(SUM(X$26:X26)&gt;0,X$25,"")</f>
        <v/>
      </c>
      <c r="Y46" s="1" t="str">
        <f>IF(SUM(Y$26:Y26)&gt;0,Y$25,"")</f>
        <v/>
      </c>
      <c r="Z46" s="1" t="str">
        <f>IF(SUM(Z$26:Z26)&gt;0,Z$25,"")</f>
        <v/>
      </c>
      <c r="AA46" s="1" t="str">
        <f>IF(SUM(AA$26:AA26)&gt;0,AA$25,"")</f>
        <v/>
      </c>
      <c r="AB46" s="1" t="str">
        <f>IF(SUM(AB$26:AB26)&gt;0,AB$25,"")</f>
        <v/>
      </c>
      <c r="AC46" s="1" t="str">
        <f>IF(SUM(AC$26:AC26)&gt;0,AC$25,"")</f>
        <v/>
      </c>
      <c r="AD46" s="1" t="str">
        <f>IF(SUM(AD$26:AD26)&gt;0,AD$25,"")</f>
        <v/>
      </c>
      <c r="AE46" s="1" t="str">
        <f>IF(SUM(AE$26:AE26)&gt;0,AE$25,"")</f>
        <v/>
      </c>
      <c r="AF46" s="1" t="str">
        <f>IF(SUM(AF$26:AF26)&gt;0,AF$25,"")</f>
        <v/>
      </c>
      <c r="AG46" s="1" t="str">
        <f>IF(SUM(AG$26:AG26)&gt;0,AG$25,"")</f>
        <v/>
      </c>
    </row>
    <row r="47" spans="2:33">
      <c r="B47" s="1">
        <v>1</v>
      </c>
      <c r="C47" s="1" t="str">
        <f>IF(SUM(C$26:C27)&gt;0,SUBSTITUTE(C$25,"x",C5,1),"")</f>
        <v>需要充值达到&lt;color=#37c21b&gt;60&lt;/color&gt;钻石即可享受相应特权</v>
      </c>
      <c r="D47" s="1" t="str">
        <f>IF(SUM(D$26:D27)&gt;0,SUBSTITUTE(D$25,"x",D5,1),"")</f>
        <v>每日可购买体力&lt;color=#37c21b&gt;3&lt;/color&gt;次</v>
      </c>
      <c r="E47" s="1" t="str">
        <f>IF(SUM(E$26:E27)&gt;0,SUBSTITUTE(E$25,"x",E5,1),"")</f>
        <v>每日可点金&lt;color=#37c21b&gt;5&lt;/color&gt;次</v>
      </c>
      <c r="F47" s="1" t="str">
        <f t="shared" ref="F47:F64" si="83">SUBSTITUTE(F$25,"x",F5,1)</f>
        <v>每天每个精英副本可重置&lt;color=#37c21b&gt;1&lt;/color&gt;次</v>
      </c>
      <c r="G47" s="1" t="str">
        <f t="shared" si="82"/>
        <v>每日可购买竞技场&lt;color=#37c21b&gt;2&lt;/color&gt;次</v>
      </c>
      <c r="H47" s="1" t="str">
        <f t="shared" si="82"/>
        <v>单次副本最大扫荡次数提高至&lt;color=#37c21b&gt;5&lt;/color&gt;次</v>
      </c>
      <c r="I47" s="1" t="str">
        <f>IF(SUM(I$26:I27)&gt;0,SUBSTITUTE(I$25,"x",I5,1),"")</f>
        <v/>
      </c>
      <c r="J47" s="1" t="str">
        <f>IF(SUM(J$26:J27)&gt;0,J$25,"")</f>
        <v/>
      </c>
      <c r="K47" s="1" t="str">
        <f>IF(SUM(K$26:K27)&gt;0,SUBSTITUTE(K$25,"x",K5,1),"")</f>
        <v/>
      </c>
      <c r="L47" s="1" t="str">
        <f>IF(SUM(L$26:L27)&gt;0,SUBSTITUTE(L$25,"x",L5,1),"")</f>
        <v/>
      </c>
      <c r="M47" s="1" t="str">
        <f>IF(SUM(M$26:M27)&gt;0,M$25,"")</f>
        <v/>
      </c>
      <c r="N47" s="1" t="str">
        <f>IF(SUM(N$26:N27)&gt;0,N$25,"")</f>
        <v/>
      </c>
      <c r="O47" s="1" t="str">
        <f>IF(SUM(O$26:O27)&gt;0,O$25,"")</f>
        <v/>
      </c>
      <c r="P47" s="1" t="str">
        <f>IF(SUM(P$26:P27)&gt;0,P$25,"")</f>
        <v/>
      </c>
      <c r="Q47" s="1" t="str">
        <f>IF(SUM(Q$26:Q27)&gt;0,Q$25,"")</f>
        <v/>
      </c>
      <c r="R47" s="1" t="str">
        <f>IF(SUM(R$26:R27)&gt;0,R$25,"")</f>
        <v/>
      </c>
      <c r="S47" s="1" t="str">
        <f>IF(SUM(S$26:S27)&gt;0,S$25,"")</f>
        <v/>
      </c>
      <c r="T47" s="1" t="str">
        <f>IF(SUM(T$26:T27)&gt;0,T$25,"")</f>
        <v/>
      </c>
      <c r="U47" s="1" t="str">
        <f>IF(SUM(U$26:U27)&gt;0,U$25,"")</f>
        <v/>
      </c>
      <c r="V47" s="1" t="str">
        <f>IF(SUM(V$26:V27)&gt;0,V$25,"")</f>
        <v/>
      </c>
      <c r="W47" s="1" t="str">
        <f>IF(SUM(W$26:W27)&gt;0,W$25,"")</f>
        <v/>
      </c>
      <c r="X47" s="1" t="str">
        <f>IF(SUM(X$26:X27)&gt;0,X$25,"")</f>
        <v/>
      </c>
      <c r="Y47" s="1" t="str">
        <f>IF(SUM(Y$26:Y27)&gt;0,Y$25,"")</f>
        <v/>
      </c>
      <c r="Z47" s="1" t="str">
        <f>IF(SUM(Z$26:Z27)&gt;0,Z$25,"")</f>
        <v/>
      </c>
      <c r="AA47" s="1" t="str">
        <f>IF(SUM(AA$26:AA27)&gt;0,AA$25,"")</f>
        <v/>
      </c>
      <c r="AB47" s="1" t="str">
        <f>IF(SUM(AB$26:AB27)&gt;0,AB$25,"")</f>
        <v/>
      </c>
      <c r="AC47" s="1" t="str">
        <f>IF(SUM(AC$26:AC27)&gt;0,AC$25,"")</f>
        <v/>
      </c>
      <c r="AD47" s="1" t="str">
        <f>IF(SUM(AD$26:AD27)&gt;0,AD$25,"")</f>
        <v/>
      </c>
      <c r="AE47" s="1" t="str">
        <f>IF(SUM(AE$26:AE27)&gt;0,AE$25,"")</f>
        <v/>
      </c>
      <c r="AF47" s="1" t="str">
        <f>IF(SUM(AF$26:AF27)&gt;0,AF$25,"")</f>
        <v/>
      </c>
      <c r="AG47" s="1" t="str">
        <f>IF(SUM(AG$26:AG27)&gt;0,AG$25,"")</f>
        <v>每日可开启神秘魔石增加&lt;color=#37c21b&gt;x&lt;/color&gt;次</v>
      </c>
    </row>
    <row r="48" spans="2:33">
      <c r="B48" s="1">
        <v>2</v>
      </c>
      <c r="C48" s="1" t="str">
        <f>IF(SUM(C$26:C28)&gt;0,SUBSTITUTE(C$25,"x",C6,1),"")</f>
        <v>需要充值达到&lt;color=#37c21b&gt;300&lt;/color&gt;钻石即可享受相应特权</v>
      </c>
      <c r="D48" s="1" t="str">
        <f>IF(SUM(D$26:D28)&gt;0,SUBSTITUTE(D$25,"x",D6,1),"")</f>
        <v>每日可购买体力&lt;color=#37c21b&gt;4&lt;/color&gt;次</v>
      </c>
      <c r="E48" s="1" t="str">
        <f>IF(SUM(E$26:E28)&gt;0,SUBSTITUTE(E$25,"x",E6,1),"")</f>
        <v>每日可点金&lt;color=#37c21b&gt;7&lt;/color&gt;次</v>
      </c>
      <c r="F48" s="1" t="str">
        <f t="shared" si="83"/>
        <v>每天每个精英副本可重置&lt;color=#37c21b&gt;2&lt;/color&gt;次</v>
      </c>
      <c r="G48" s="1" t="str">
        <f t="shared" si="82"/>
        <v>每日可购买竞技场&lt;color=#37c21b&gt;2&lt;/color&gt;次</v>
      </c>
      <c r="H48" s="1" t="str">
        <f t="shared" si="82"/>
        <v>单次副本最大扫荡次数提高至&lt;color=#37c21b&gt;5&lt;/color&gt;次</v>
      </c>
      <c r="I48" s="1" t="str">
        <f>IF(SUM(I$26:I28)&gt;0,SUBSTITUTE(I$25,"x",I6,1),"")</f>
        <v/>
      </c>
      <c r="J48" s="1" t="str">
        <f>IF(SUM(J$26:J28)&gt;0,J$25,"")</f>
        <v/>
      </c>
      <c r="K48" s="1" t="str">
        <f>IF(SUM(K$26:K28)&gt;0,SUBSTITUTE(K$25,"x",K6,1),"")</f>
        <v/>
      </c>
      <c r="L48" s="1" t="str">
        <f>IF(SUM(L$26:L28)&gt;0,SUBSTITUTE(L$25,"x",L6,1),"")</f>
        <v/>
      </c>
      <c r="M48" s="1" t="str">
        <f>IF(SUM(M$26:M28)&gt;0,M$25,"")</f>
        <v/>
      </c>
      <c r="N48" s="1" t="str">
        <f>IF(SUM(N$26:N28)&gt;0,N$25,"")</f>
        <v/>
      </c>
      <c r="O48" s="1" t="str">
        <f>IF(SUM(O$26:O28)&gt;0,O$25,"")</f>
        <v/>
      </c>
      <c r="P48" s="1" t="str">
        <f>IF(SUM(P$26:P28)&gt;0,P$25,"")</f>
        <v/>
      </c>
      <c r="Q48" s="1" t="str">
        <f>IF(SUM(Q$26:Q28)&gt;0,Q$25,"")</f>
        <v/>
      </c>
      <c r="R48" s="1" t="str">
        <f>IF(SUM(R$26:R28)&gt;0,R$25,"")</f>
        <v/>
      </c>
      <c r="S48" s="1" t="str">
        <f>IF(SUM(S$26:S28)&gt;0,S$25,"")</f>
        <v/>
      </c>
      <c r="T48" s="1" t="str">
        <f>IF(SUM(T$26:T28)&gt;0,T$25,"")</f>
        <v/>
      </c>
      <c r="U48" s="1" t="str">
        <f>IF(SUM(U$26:U28)&gt;0,U$25,"")</f>
        <v/>
      </c>
      <c r="V48" s="1" t="str">
        <f>IF(SUM(V$26:V28)&gt;0,V$25,"")</f>
        <v/>
      </c>
      <c r="W48" s="1" t="str">
        <f>IF(SUM(W$26:W28)&gt;0,W$25,"")</f>
        <v/>
      </c>
      <c r="X48" s="1" t="str">
        <f>IF(SUM(X$26:X28)&gt;0,X$25,"")</f>
        <v/>
      </c>
      <c r="Y48" s="1" t="str">
        <f>IF(SUM(Y$26:Y28)&gt;0,Y$25,"")</f>
        <v/>
      </c>
      <c r="Z48" s="1" t="str">
        <f>IF(SUM(Z$26:Z28)&gt;0,Z$25,"")</f>
        <v/>
      </c>
      <c r="AA48" s="1" t="str">
        <f>IF(SUM(AA$26:AA28)&gt;0,AA$25,"")</f>
        <v/>
      </c>
      <c r="AB48" s="1" t="str">
        <f>IF(SUM(AB$26:AB28)&gt;0,AB$25,"")</f>
        <v/>
      </c>
      <c r="AC48" s="1" t="str">
        <f>IF(SUM(AC$26:AC28)&gt;0,AC$25,"")</f>
        <v/>
      </c>
      <c r="AD48" s="1" t="str">
        <f>IF(SUM(AD$26:AD28)&gt;0,AD$25,"")</f>
        <v/>
      </c>
      <c r="AE48" s="1" t="str">
        <f>IF(SUM(AE$26:AE28)&gt;0,AE$25,"")</f>
        <v/>
      </c>
      <c r="AF48" s="1" t="str">
        <f>IF(SUM(AF$26:AF28)&gt;0,AF$25,"")</f>
        <v/>
      </c>
      <c r="AG48" s="1" t="str">
        <f>IF(SUM(AG$26:AG28)&gt;0,AG$25,"")</f>
        <v>每日可开启神秘魔石增加&lt;color=#37c21b&gt;x&lt;/color&gt;次</v>
      </c>
    </row>
    <row r="49" spans="2:33">
      <c r="B49" s="1">
        <v>3</v>
      </c>
      <c r="C49" s="1" t="str">
        <f>IF(SUM(C$26:C29)&gt;0,SUBSTITUTE(C$25,"x",C7,1),"")</f>
        <v>需要充值达到&lt;color=#37c21b&gt;600&lt;/color&gt;钻石即可享受相应特权</v>
      </c>
      <c r="D49" s="1" t="str">
        <f>IF(SUM(D$26:D29)&gt;0,SUBSTITUTE(D$25,"x",D7,1),"")</f>
        <v>每日可购买体力&lt;color=#37c21b&gt;5&lt;/color&gt;次</v>
      </c>
      <c r="E49" s="1" t="str">
        <f>IF(SUM(E$26:E29)&gt;0,SUBSTITUTE(E$25,"x",E7,1),"")</f>
        <v>每日可点金&lt;color=#37c21b&gt;9&lt;/color&gt;次</v>
      </c>
      <c r="F49" s="1" t="str">
        <f t="shared" si="83"/>
        <v>每天每个精英副本可重置&lt;color=#37c21b&gt;2&lt;/color&gt;次</v>
      </c>
      <c r="G49" s="1" t="str">
        <f t="shared" si="82"/>
        <v>每日可购买竞技场&lt;color=#37c21b&gt;2&lt;/color&gt;次</v>
      </c>
      <c r="H49" s="1" t="str">
        <f t="shared" si="82"/>
        <v>单次副本最大扫荡次数提高至&lt;color=#37c21b&gt;5&lt;/color&gt;次</v>
      </c>
      <c r="I49" s="1" t="str">
        <f>IF(SUM(I$26:I29)&gt;0,SUBSTITUTE(I$25,"x",I7,1),"")</f>
        <v/>
      </c>
      <c r="J49" s="1" t="str">
        <f>IF(SUM(J$26:J29)&gt;0,J$25,"")</f>
        <v/>
      </c>
      <c r="K49" s="1" t="str">
        <f>IF(SUM(K$26:K29)&gt;0,SUBSTITUTE(K$25,"x",K7,1),"")</f>
        <v/>
      </c>
      <c r="L49" s="1" t="str">
        <f>IF(SUM(L$26:L29)&gt;0,SUBSTITUTE(L$25,"x",L7,1),"")</f>
        <v/>
      </c>
      <c r="M49" s="1" t="str">
        <f>IF(SUM(M$26:M29)&gt;0,M$25,"")</f>
        <v/>
      </c>
      <c r="N49" s="1" t="str">
        <f>IF(SUM(N$26:N29)&gt;0,N$25,"")</f>
        <v/>
      </c>
      <c r="O49" s="1" t="str">
        <f>IF(SUM(O$26:O29)&gt;0,O$25,"")</f>
        <v/>
      </c>
      <c r="P49" s="1" t="str">
        <f>IF(SUM(P$26:P29)&gt;0,P$25,"")</f>
        <v/>
      </c>
      <c r="Q49" s="1" t="str">
        <f>IF(SUM(Q$26:Q29)&gt;0,Q$25,"")</f>
        <v/>
      </c>
      <c r="R49" s="1" t="str">
        <f>IF(SUM(R$26:R29)&gt;0,R$25,"")</f>
        <v/>
      </c>
      <c r="S49" s="1" t="str">
        <f>IF(SUM(S$26:S29)&gt;0,S$25,"")</f>
        <v/>
      </c>
      <c r="T49" s="1" t="str">
        <f>IF(SUM(T$26:T29)&gt;0,T$25,"")</f>
        <v/>
      </c>
      <c r="U49" s="1" t="str">
        <f>IF(SUM(U$26:U29)&gt;0,U$25,"")</f>
        <v/>
      </c>
      <c r="V49" s="1" t="str">
        <f>IF(SUM(V$26:V29)&gt;0,V$25,"")</f>
        <v/>
      </c>
      <c r="W49" s="1" t="str">
        <f>IF(SUM(W$26:W29)&gt;0,W$25,"")</f>
        <v/>
      </c>
      <c r="X49" s="1" t="str">
        <f>IF(SUM(X$26:X29)&gt;0,X$25,"")</f>
        <v/>
      </c>
      <c r="Y49" s="1" t="str">
        <f>IF(SUM(Y$26:Y29)&gt;0,Y$25,"")</f>
        <v/>
      </c>
      <c r="Z49" s="1" t="str">
        <f>IF(SUM(Z$26:Z29)&gt;0,Z$25,"")</f>
        <v>可在时装界面购买时装</v>
      </c>
      <c r="AA49" s="1" t="str">
        <f>IF(SUM(AA$26:AA29)&gt;0,AA$25,"")</f>
        <v/>
      </c>
      <c r="AB49" s="1" t="str">
        <f>IF(SUM(AB$26:AB29)&gt;0,AB$25,"")</f>
        <v/>
      </c>
      <c r="AC49" s="1" t="str">
        <f>IF(SUM(AC$26:AC29)&gt;0,AC$25,"")</f>
        <v/>
      </c>
      <c r="AD49" s="1" t="str">
        <f>IF(SUM(AD$26:AD29)&gt;0,AD$25,"")</f>
        <v>可在精彩活动界面购买投资计划</v>
      </c>
      <c r="AE49" s="1" t="str">
        <f>IF(SUM(AE$26:AE29)&gt;0,AE$25,"")</f>
        <v/>
      </c>
      <c r="AF49" s="1" t="str">
        <f>IF(SUM(AF$26:AF29)&gt;0,AF$25,"")</f>
        <v/>
      </c>
      <c r="AG49" s="1" t="str">
        <f>IF(SUM(AG$26:AG29)&gt;0,AG$25,"")</f>
        <v>每日可开启神秘魔石增加&lt;color=#37c21b&gt;x&lt;/color&gt;次</v>
      </c>
    </row>
    <row r="50" spans="2:33">
      <c r="B50" s="1">
        <v>4</v>
      </c>
      <c r="C50" s="1" t="str">
        <f>IF(SUM(C$26:C30)&gt;0,SUBSTITUTE(C$25,"x",C8,1),"")</f>
        <v>需要充值达到&lt;color=#37c21b&gt;1000&lt;/color&gt;钻石即可享受相应特权</v>
      </c>
      <c r="D50" s="1" t="str">
        <f>IF(SUM(D$26:D30)&gt;0,SUBSTITUTE(D$25,"x",D8,1),"")</f>
        <v>每日可购买体力&lt;color=#37c21b&gt;6&lt;/color&gt;次</v>
      </c>
      <c r="E50" s="1" t="str">
        <f>IF(SUM(E$26:E30)&gt;0,SUBSTITUTE(E$25,"x",E8,1),"")</f>
        <v>每日可点金&lt;color=#37c21b&gt;12&lt;/color&gt;次</v>
      </c>
      <c r="F50" s="1" t="str">
        <f t="shared" si="83"/>
        <v>每天每个精英副本可重置&lt;color=#37c21b&gt;2&lt;/color&gt;次</v>
      </c>
      <c r="G50" s="1" t="str">
        <f t="shared" si="82"/>
        <v>每日可购买竞技场&lt;color=#37c21b&gt;2&lt;/color&gt;次</v>
      </c>
      <c r="H50" s="1" t="str">
        <f t="shared" si="82"/>
        <v>单次副本最大扫荡次数提高至&lt;color=#37c21b&gt;10&lt;/color&gt;次</v>
      </c>
      <c r="I50" s="1" t="str">
        <f>IF(SUM(I$26:I30)&gt;0,SUBSTITUTE(I$25,"x",I8,1),"")</f>
        <v/>
      </c>
      <c r="J50" s="1" t="str">
        <f>IF(SUM(J$26:J30)&gt;0,J$25,"")</f>
        <v/>
      </c>
      <c r="K50" s="1" t="str">
        <f>IF(SUM(K$26:K30)&gt;0,SUBSTITUTE(K$25,"x",K8,1),"")</f>
        <v/>
      </c>
      <c r="L50" s="1" t="str">
        <f>IF(SUM(L$26:L30)&gt;0,SUBSTITUTE(L$25,"x",L8,1),"")</f>
        <v/>
      </c>
      <c r="M50" s="1" t="str">
        <f>IF(SUM(M$26:M30)&gt;0,M$25,"")</f>
        <v/>
      </c>
      <c r="N50" s="1" t="str">
        <f>IF(SUM(N$26:N30)&gt;0,N$25,"")</f>
        <v/>
      </c>
      <c r="O50" s="1" t="str">
        <f>IF(SUM(O$26:O30)&gt;0,O$25,"")</f>
        <v/>
      </c>
      <c r="P50" s="1" t="str">
        <f>IF(SUM(P$26:P30)&gt;0,P$25,"")</f>
        <v/>
      </c>
      <c r="Q50" s="1" t="str">
        <f>IF(SUM(Q$26:Q30)&gt;0,Q$25,"")</f>
        <v/>
      </c>
      <c r="R50" s="1" t="str">
        <f>IF(SUM(R$26:R30)&gt;0,R$25,"")</f>
        <v/>
      </c>
      <c r="S50" s="1" t="str">
        <f>IF(SUM(S$26:S30)&gt;0,S$25,"")</f>
        <v/>
      </c>
      <c r="T50" s="1" t="str">
        <f>IF(SUM(T$26:T30)&gt;0,T$25,"")</f>
        <v/>
      </c>
      <c r="U50" s="1" t="str">
        <f>IF(SUM(U$26:U30)&gt;0,U$25,"")</f>
        <v/>
      </c>
      <c r="V50" s="1" t="str">
        <f>IF(SUM(V$26:V30)&gt;0,V$25,"")</f>
        <v/>
      </c>
      <c r="W50" s="1" t="str">
        <f>IF(SUM(W$26:W30)&gt;0,W$25,"")</f>
        <v/>
      </c>
      <c r="X50" s="1" t="str">
        <f>IF(SUM(X$26:X30)&gt;0,X$25,"")</f>
        <v/>
      </c>
      <c r="Y50" s="1" t="str">
        <f>IF(SUM(Y$26:Y30)&gt;0,Y$25,"")</f>
        <v/>
      </c>
      <c r="Z50" s="1" t="str">
        <f>IF(SUM(Z$26:Z30)&gt;0,Z$25,"")</f>
        <v>可在时装界面购买时装</v>
      </c>
      <c r="AA50" s="1" t="str">
        <f>IF(SUM(AA$26:AA30)&gt;0,AA$25,"")</f>
        <v/>
      </c>
      <c r="AB50" s="1" t="str">
        <f>IF(SUM(AB$26:AB30)&gt;0,AB$25,"")</f>
        <v/>
      </c>
      <c r="AC50" s="1" t="str">
        <f>IF(SUM(AC$26:AC30)&gt;0,AC$25,"")</f>
        <v/>
      </c>
      <c r="AD50" s="1" t="str">
        <f>IF(SUM(AD$26:AD30)&gt;0,AD$25,"")</f>
        <v>可在精彩活动界面购买投资计划</v>
      </c>
      <c r="AE50" s="1" t="str">
        <f>IF(SUM(AE$26:AE30)&gt;0,AE$25,"")</f>
        <v/>
      </c>
      <c r="AF50" s="1" t="str">
        <f>IF(SUM(AF$26:AF30)&gt;0,AF$25,"")</f>
        <v/>
      </c>
      <c r="AG50" s="1" t="str">
        <f>IF(SUM(AG$26:AG30)&gt;0,AG$25,"")</f>
        <v>每日可开启神秘魔石增加&lt;color=#37c21b&gt;x&lt;/color&gt;次</v>
      </c>
    </row>
    <row r="51" spans="2:33">
      <c r="B51" s="1">
        <v>5</v>
      </c>
      <c r="C51" s="1" t="str">
        <f>IF(SUM(C$26:C31)&gt;0,SUBSTITUTE(C$25,"x",C9,1),"")</f>
        <v>需要充值达到&lt;color=#37c21b&gt;2000&lt;/color&gt;钻石即可享受相应特权</v>
      </c>
      <c r="D51" s="1" t="str">
        <f>IF(SUM(D$26:D31)&gt;0,SUBSTITUTE(D$25,"x",D9,1),"")</f>
        <v>每日可购买体力&lt;color=#37c21b&gt;7&lt;/color&gt;次</v>
      </c>
      <c r="E51" s="1" t="str">
        <f>IF(SUM(E$26:E31)&gt;0,SUBSTITUTE(E$25,"x",E9,1),"")</f>
        <v>每日可点金&lt;color=#37c21b&gt;16&lt;/color&gt;次</v>
      </c>
      <c r="F51" s="1" t="str">
        <f t="shared" si="83"/>
        <v>每天每个精英副本可重置&lt;color=#37c21b&gt;3&lt;/color&gt;次</v>
      </c>
      <c r="G51" s="1" t="str">
        <f t="shared" si="82"/>
        <v>每日可购买竞技场&lt;color=#37c21b&gt;3&lt;/color&gt;次</v>
      </c>
      <c r="H51" s="1" t="str">
        <f t="shared" si="82"/>
        <v>单次副本最大扫荡次数提高至&lt;color=#37c21b&gt;10&lt;/color&gt;次</v>
      </c>
      <c r="I51" s="1" t="str">
        <f>IF(SUM(I$26:I31)&gt;0,SUBSTITUTE(I$25,"x",I9,1),"")</f>
        <v/>
      </c>
      <c r="J51" s="1" t="str">
        <f>IF(SUM(J$26:J31)&gt;0,J$25,"")</f>
        <v>公会内可使用高级建设功能</v>
      </c>
      <c r="K51" s="1" t="str">
        <f>IF(SUM(K$26:K31)&gt;0,SUBSTITUTE(K$25,"x",K9,1),"")</f>
        <v/>
      </c>
      <c r="L51" s="1" t="str">
        <f>IF(SUM(L$26:L31)&gt;0,SUBSTITUTE(L$25,"x",L9,1),"")</f>
        <v/>
      </c>
      <c r="M51" s="1" t="str">
        <f>IF(SUM(M$26:M31)&gt;0,M$25,"")</f>
        <v/>
      </c>
      <c r="N51" s="1" t="str">
        <f>IF(SUM(N$26:N31)&gt;0,N$25,"")</f>
        <v/>
      </c>
      <c r="O51" s="1" t="str">
        <f>IF(SUM(O$26:O31)&gt;0,O$25,"")</f>
        <v/>
      </c>
      <c r="P51" s="1" t="str">
        <f>IF(SUM(P$26:P31)&gt;0,P$25,"")</f>
        <v/>
      </c>
      <c r="Q51" s="1" t="str">
        <f>IF(SUM(Q$26:Q31)&gt;0,Q$25,"")</f>
        <v>开启五连扫荡功能</v>
      </c>
      <c r="R51" s="1" t="str">
        <f>IF(SUM(R$26:R31)&gt;0,R$25,"")</f>
        <v/>
      </c>
      <c r="S51" s="1" t="str">
        <f>IF(SUM(S$26:S31)&gt;0,S$25,"")</f>
        <v/>
      </c>
      <c r="T51" s="1" t="str">
        <f>IF(SUM(T$26:T31)&gt;0,T$25,"")</f>
        <v/>
      </c>
      <c r="U51" s="1" t="str">
        <f>IF(SUM(U$26:U31)&gt;0,U$25,"")</f>
        <v/>
      </c>
      <c r="V51" s="1" t="str">
        <f>IF(SUM(V$26:V31)&gt;0,V$25,"")</f>
        <v>每日可参与排位赛&lt;color=#37c21b&gt;x&lt;/color&gt;次</v>
      </c>
      <c r="W51" s="1" t="str">
        <f>IF(SUM(W$26:W31)&gt;0,W$25,"")</f>
        <v>每日可购买排位赛&lt;color=#37c21b&gt;x&lt;/color&gt;次</v>
      </c>
      <c r="X51" s="1" t="str">
        <f>IF(SUM(X$26:X31)&gt;0,X$25,"")</f>
        <v/>
      </c>
      <c r="Y51" s="1" t="str">
        <f>IF(SUM(Y$26:Y31)&gt;0,Y$25,"")</f>
        <v/>
      </c>
      <c r="Z51" s="1" t="str">
        <f>IF(SUM(Z$26:Z31)&gt;0,Z$25,"")</f>
        <v>可在时装界面购买时装</v>
      </c>
      <c r="AA51" s="1" t="str">
        <f>IF(SUM(AA$26:AA31)&gt;0,AA$25,"")</f>
        <v/>
      </c>
      <c r="AB51" s="1" t="str">
        <f>IF(SUM(AB$26:AB31)&gt;0,AB$25,"")</f>
        <v/>
      </c>
      <c r="AC51" s="1" t="str">
        <f>IF(SUM(AC$26:AC31)&gt;0,AC$25,"")</f>
        <v/>
      </c>
      <c r="AD51" s="1" t="str">
        <f>IF(SUM(AD$26:AD31)&gt;0,AD$25,"")</f>
        <v>可在精彩活动界面购买投资计划</v>
      </c>
      <c r="AE51" s="1" t="str">
        <f>IF(SUM(AE$26:AE31)&gt;0,AE$25,"")</f>
        <v>可在公会使用高级捐献</v>
      </c>
      <c r="AF51" s="1" t="str">
        <f>IF(SUM(AF$26:AF31)&gt;0,AF$25,"")</f>
        <v/>
      </c>
      <c r="AG51" s="1" t="str">
        <f>IF(SUM(AG$26:AG31)&gt;0,AG$25,"")</f>
        <v>每日可开启神秘魔石增加&lt;color=#37c21b&gt;x&lt;/color&gt;次</v>
      </c>
    </row>
    <row r="52" spans="2:33">
      <c r="B52" s="1">
        <v>6</v>
      </c>
      <c r="C52" s="1" t="str">
        <f>IF(SUM(C$26:C32)&gt;0,SUBSTITUTE(C$25,"x",C10,1),"")</f>
        <v>需要充值达到&lt;color=#37c21b&gt;3000&lt;/color&gt;钻石即可享受相应特权</v>
      </c>
      <c r="D52" s="1" t="str">
        <f>IF(SUM(D$26:D32)&gt;0,SUBSTITUTE(D$25,"x",D10,1),"")</f>
        <v>每日可购买体力&lt;color=#37c21b&gt;8&lt;/color&gt;次</v>
      </c>
      <c r="E52" s="1" t="str">
        <f>IF(SUM(E$26:E32)&gt;0,SUBSTITUTE(E$25,"x",E10,1),"")</f>
        <v>每日可点金&lt;color=#37c21b&gt;20&lt;/color&gt;次</v>
      </c>
      <c r="F52" s="1" t="str">
        <f t="shared" si="83"/>
        <v>每天每个精英副本可重置&lt;color=#37c21b&gt;3&lt;/color&gt;次</v>
      </c>
      <c r="G52" s="1" t="str">
        <f t="shared" si="82"/>
        <v>每日可购买竞技场&lt;color=#37c21b&gt;3&lt;/color&gt;次</v>
      </c>
      <c r="H52" s="1" t="str">
        <f t="shared" si="82"/>
        <v>单次副本最大扫荡次数提高至&lt;color=#37c21b&gt;10&lt;/color&gt;次</v>
      </c>
      <c r="I52" s="1" t="str">
        <f>IF(SUM(I$26:I32)&gt;0,SUBSTITUTE(I$25,"x",I10,1),"")</f>
        <v/>
      </c>
      <c r="J52" s="1" t="str">
        <f>IF(SUM(J$26:J32)&gt;0,J$25,"")</f>
        <v>公会内可使用高级建设功能</v>
      </c>
      <c r="K52" s="1" t="str">
        <f>IF(SUM(K$26:K32)&gt;0,SUBSTITUTE(K$25,"x",K10,1),"")</f>
        <v/>
      </c>
      <c r="L52" s="1" t="str">
        <f>IF(SUM(L$26:L32)&gt;0,SUBSTITUTE(L$25,"x",L10,1),"")</f>
        <v/>
      </c>
      <c r="M52" s="1" t="str">
        <f>IF(SUM(M$26:M32)&gt;0,M$25,"")</f>
        <v/>
      </c>
      <c r="N52" s="1" t="str">
        <f>IF(SUM(N$26:N32)&gt;0,N$25,"")</f>
        <v/>
      </c>
      <c r="O52" s="1" t="str">
        <f>IF(SUM(O$26:O32)&gt;0,O$25,"")</f>
        <v/>
      </c>
      <c r="P52" s="1" t="str">
        <f>IF(SUM(P$26:P32)&gt;0,P$25,"")</f>
        <v/>
      </c>
      <c r="Q52" s="1" t="str">
        <f>IF(SUM(Q$26:Q32)&gt;0,Q$25,"")</f>
        <v>开启五连扫荡功能</v>
      </c>
      <c r="R52" s="1" t="str">
        <f>IF(SUM(R$26:R32)&gt;0,R$25,"")</f>
        <v/>
      </c>
      <c r="S52" s="1" t="str">
        <f>IF(SUM(S$26:S32)&gt;0,S$25,"")</f>
        <v/>
      </c>
      <c r="T52" s="1" t="str">
        <f>IF(SUM(T$26:T32)&gt;0,T$25,"")</f>
        <v/>
      </c>
      <c r="U52" s="1" t="str">
        <f>IF(SUM(U$26:U32)&gt;0,U$25,"")</f>
        <v/>
      </c>
      <c r="V52" s="1" t="str">
        <f>IF(SUM(V$26:V32)&gt;0,V$25,"")</f>
        <v>每日可参与排位赛&lt;color=#37c21b&gt;x&lt;/color&gt;次</v>
      </c>
      <c r="W52" s="1" t="str">
        <f>IF(SUM(W$26:W32)&gt;0,W$25,"")</f>
        <v>每日可购买排位赛&lt;color=#37c21b&gt;x&lt;/color&gt;次</v>
      </c>
      <c r="X52" s="1" t="str">
        <f>IF(SUM(X$26:X32)&gt;0,X$25,"")</f>
        <v/>
      </c>
      <c r="Y52" s="1" t="str">
        <f>IF(SUM(Y$26:Y32)&gt;0,Y$25,"")</f>
        <v/>
      </c>
      <c r="Z52" s="1" t="str">
        <f>IF(SUM(Z$26:Z32)&gt;0,Z$25,"")</f>
        <v>可在时装界面购买时装</v>
      </c>
      <c r="AA52" s="1" t="str">
        <f>IF(SUM(AA$26:AA32)&gt;0,AA$25,"")</f>
        <v/>
      </c>
      <c r="AB52" s="1" t="str">
        <f>IF(SUM(AB$26:AB32)&gt;0,AB$25,"")</f>
        <v/>
      </c>
      <c r="AC52" s="1" t="str">
        <f>IF(SUM(AC$26:AC32)&gt;0,AC$25,"")</f>
        <v>超神之路各难度通关后可直接扫荡</v>
      </c>
      <c r="AD52" s="1" t="str">
        <f>IF(SUM(AD$26:AD32)&gt;0,AD$25,"")</f>
        <v>可在精彩活动界面购买投资计划</v>
      </c>
      <c r="AE52" s="1" t="str">
        <f>IF(SUM(AE$26:AE32)&gt;0,AE$25,"")</f>
        <v>可在公会使用高级捐献</v>
      </c>
      <c r="AF52" s="1" t="str">
        <f>IF(SUM(AF$26:AF32)&gt;0,AF$25,"")</f>
        <v/>
      </c>
      <c r="AG52" s="1" t="str">
        <f>IF(SUM(AG$26:AG32)&gt;0,AG$25,"")</f>
        <v>每日可开启神秘魔石增加&lt;color=#37c21b&gt;x&lt;/color&gt;次</v>
      </c>
    </row>
    <row r="53" spans="2:33">
      <c r="B53" s="1">
        <v>7</v>
      </c>
      <c r="C53" s="1" t="str">
        <f>IF(SUM(C$26:C33)&gt;0,SUBSTITUTE(C$25,"x",C11,1),"")</f>
        <v>需要充值达到&lt;color=#37c21b&gt;5000&lt;/color&gt;钻石即可享受相应特权</v>
      </c>
      <c r="D53" s="1" t="str">
        <f>IF(SUM(D$26:D33)&gt;0,SUBSTITUTE(D$25,"x",D11,1),"")</f>
        <v>每日可购买体力&lt;color=#37c21b&gt;9&lt;/color&gt;次</v>
      </c>
      <c r="E53" s="1" t="str">
        <f>IF(SUM(E$26:E33)&gt;0,SUBSTITUTE(E$25,"x",E11,1),"")</f>
        <v>每日可点金&lt;color=#37c21b&gt;25&lt;/color&gt;次</v>
      </c>
      <c r="F53" s="1" t="str">
        <f t="shared" si="83"/>
        <v>每天每个精英副本可重置&lt;color=#37c21b&gt;3&lt;/color&gt;次</v>
      </c>
      <c r="G53" s="1" t="str">
        <f t="shared" si="82"/>
        <v>每日可购买竞技场&lt;color=#37c21b&gt;3&lt;/color&gt;次</v>
      </c>
      <c r="H53" s="1" t="str">
        <f t="shared" si="82"/>
        <v>单次副本最大扫荡次数提高至&lt;color=#37c21b&gt;10&lt;/color&gt;次</v>
      </c>
      <c r="I53" s="1" t="str">
        <f>IF(SUM(I$26:I33)&gt;0,SUBSTITUTE(I$25,"x",I11,1),"")</f>
        <v>竞技场冷却时间降至&lt;color=#37c21b&gt;2&lt;/color&gt;分钟</v>
      </c>
      <c r="J53" s="1" t="str">
        <f>IF(SUM(J$26:J33)&gt;0,J$25,"")</f>
        <v>公会内可使用高级建设功能</v>
      </c>
      <c r="K53" s="1" t="str">
        <f>IF(SUM(K$26:K33)&gt;0,SUBSTITUTE(K$25,"x",K11,1),"")</f>
        <v/>
      </c>
      <c r="L53" s="1" t="str">
        <f>IF(SUM(L$26:L33)&gt;0,SUBSTITUTE(L$25,"x",L11,1),"")</f>
        <v/>
      </c>
      <c r="M53" s="1" t="str">
        <f>IF(SUM(M$26:M33)&gt;0,M$25,"")</f>
        <v/>
      </c>
      <c r="N53" s="1" t="str">
        <f>IF(SUM(N$26:N33)&gt;0,N$25,"")</f>
        <v/>
      </c>
      <c r="O53" s="1" t="str">
        <f>IF(SUM(O$26:O33)&gt;0,O$25,"")</f>
        <v/>
      </c>
      <c r="P53" s="1" t="str">
        <f>IF(SUM(P$26:P33)&gt;0,P$25,"")</f>
        <v/>
      </c>
      <c r="Q53" s="1" t="str">
        <f>IF(SUM(Q$26:Q33)&gt;0,Q$25,"")</f>
        <v>开启五连扫荡功能</v>
      </c>
      <c r="R53" s="1" t="str">
        <f>IF(SUM(R$26:R33)&gt;0,R$25,"")</f>
        <v>每日可参与擂台赛&lt;color=#37c21b&gt;x&lt;/color&gt;次</v>
      </c>
      <c r="S53" s="1" t="str">
        <f>IF(SUM(S$26:S33)&gt;0,S$25,"")</f>
        <v>每日可购买擂台赛&lt;color=#37c21b&gt;x&lt;/color&gt;次</v>
      </c>
      <c r="T53" s="1" t="str">
        <f>IF(SUM(T$26:T33)&gt;0,T$25,"")</f>
        <v/>
      </c>
      <c r="U53" s="1" t="str">
        <f>IF(SUM(U$26:U33)&gt;0,U$25,"")</f>
        <v/>
      </c>
      <c r="V53" s="1" t="str">
        <f>IF(SUM(V$26:V33)&gt;0,V$25,"")</f>
        <v>每日可参与排位赛&lt;color=#37c21b&gt;x&lt;/color&gt;次</v>
      </c>
      <c r="W53" s="1" t="str">
        <f>IF(SUM(W$26:W33)&gt;0,W$25,"")</f>
        <v>每日可购买排位赛&lt;color=#37c21b&gt;x&lt;/color&gt;次</v>
      </c>
      <c r="X53" s="1" t="str">
        <f>IF(SUM(X$26:X33)&gt;0,X$25,"")</f>
        <v/>
      </c>
      <c r="Y53" s="1" t="str">
        <f>IF(SUM(Y$26:Y33)&gt;0,Y$25,"")</f>
        <v/>
      </c>
      <c r="Z53" s="1" t="str">
        <f>IF(SUM(Z$26:Z33)&gt;0,Z$25,"")</f>
        <v>可在时装界面购买时装</v>
      </c>
      <c r="AA53" s="1" t="str">
        <f>IF(SUM(AA$26:AA33)&gt;0,AA$25,"")</f>
        <v>每日精英关卡挑战加&lt;color=#37c21b&gt;1&lt;/color&gt;次</v>
      </c>
      <c r="AB53" s="1" t="str">
        <f>IF(SUM(AB$26:AB33)&gt;0,AB$25,"")</f>
        <v/>
      </c>
      <c r="AC53" s="1" t="str">
        <f>IF(SUM(AC$26:AC33)&gt;0,AC$25,"")</f>
        <v>超神之路各难度通关后可直接扫荡</v>
      </c>
      <c r="AD53" s="1" t="str">
        <f>IF(SUM(AD$26:AD33)&gt;0,AD$25,"")</f>
        <v>可在精彩活动界面购买投资计划</v>
      </c>
      <c r="AE53" s="1" t="str">
        <f>IF(SUM(AE$26:AE33)&gt;0,AE$25,"")</f>
        <v>可在公会使用高级捐献</v>
      </c>
      <c r="AF53" s="1" t="str">
        <f>IF(SUM(AF$26:AF33)&gt;0,AF$25,"")</f>
        <v/>
      </c>
      <c r="AG53" s="1" t="str">
        <f>IF(SUM(AG$26:AG33)&gt;0,AG$25,"")</f>
        <v>每日可开启神秘魔石增加&lt;color=#37c21b&gt;x&lt;/color&gt;次</v>
      </c>
    </row>
    <row r="54" spans="2:33">
      <c r="B54" s="1">
        <v>8</v>
      </c>
      <c r="C54" s="1" t="str">
        <f>IF(SUM(C$26:C34)&gt;0,SUBSTITUTE(C$25,"x",C12,1),"")</f>
        <v>需要充值达到&lt;color=#37c21b&gt;7000&lt;/color&gt;钻石即可享受相应特权</v>
      </c>
      <c r="D54" s="1" t="str">
        <f>IF(SUM(D$26:D34)&gt;0,SUBSTITUTE(D$25,"x",D12,1),"")</f>
        <v>每日可购买体力&lt;color=#37c21b&gt;10&lt;/color&gt;次</v>
      </c>
      <c r="E54" s="1" t="str">
        <f>IF(SUM(E$26:E34)&gt;0,SUBSTITUTE(E$25,"x",E12,1),"")</f>
        <v>每日可点金&lt;color=#37c21b&gt;30&lt;/color&gt;次</v>
      </c>
      <c r="F54" s="1" t="str">
        <f t="shared" si="83"/>
        <v>每天每个精英副本可重置&lt;color=#37c21b&gt;3&lt;/color&gt;次</v>
      </c>
      <c r="G54" s="1" t="str">
        <f t="shared" si="82"/>
        <v>每日可购买竞技场&lt;color=#37c21b&gt;3&lt;/color&gt;次</v>
      </c>
      <c r="H54" s="1" t="str">
        <f t="shared" si="82"/>
        <v>单次副本最大扫荡次数提高至&lt;color=#37c21b&gt;10&lt;/color&gt;次</v>
      </c>
      <c r="I54" s="1" t="str">
        <f>IF(SUM(I$26:I34)&gt;0,SUBSTITUTE(I$25,"x",I12,1),"")</f>
        <v>竞技场冷却时间降至&lt;color=#37c21b&gt;2&lt;/color&gt;分钟</v>
      </c>
      <c r="J54" s="1" t="str">
        <f>IF(SUM(J$26:J34)&gt;0,J$25,"")</f>
        <v>公会内可使用高级建设功能</v>
      </c>
      <c r="K54" s="1" t="str">
        <f>IF(SUM(K$26:K34)&gt;0,SUBSTITUTE(K$25,"x",K12,1),"")</f>
        <v>每日可领取高级令&lt;color=#37c21b&gt;1&lt;/color&gt;个</v>
      </c>
      <c r="L54" s="1" t="str">
        <f>IF(SUM(L$26:L34)&gt;0,SUBSTITUTE(L$25,"x",L12,1),"")</f>
        <v/>
      </c>
      <c r="M54" s="1" t="str">
        <f>IF(SUM(M$26:M34)&gt;0,M$25,"")</f>
        <v/>
      </c>
      <c r="N54" s="1" t="str">
        <f>IF(SUM(N$26:N34)&gt;0,N$25,"")</f>
        <v/>
      </c>
      <c r="O54" s="1" t="str">
        <f>IF(SUM(O$26:O34)&gt;0,O$25,"")</f>
        <v/>
      </c>
      <c r="P54" s="1" t="str">
        <f>IF(SUM(P$26:P34)&gt;0,P$25,"")</f>
        <v/>
      </c>
      <c r="Q54" s="1" t="str">
        <f>IF(SUM(Q$26:Q34)&gt;0,Q$25,"")</f>
        <v>开启五连扫荡功能</v>
      </c>
      <c r="R54" s="1" t="str">
        <f>IF(SUM(R$26:R34)&gt;0,R$25,"")</f>
        <v>每日可参与擂台赛&lt;color=#37c21b&gt;x&lt;/color&gt;次</v>
      </c>
      <c r="S54" s="1" t="str">
        <f>IF(SUM(S$26:S34)&gt;0,S$25,"")</f>
        <v>每日可购买擂台赛&lt;color=#37c21b&gt;x&lt;/color&gt;次</v>
      </c>
      <c r="T54" s="1" t="str">
        <f>IF(SUM(T$26:T34)&gt;0,T$25,"")</f>
        <v/>
      </c>
      <c r="U54" s="1" t="str">
        <f>IF(SUM(U$26:U34)&gt;0,U$25,"")</f>
        <v/>
      </c>
      <c r="V54" s="1" t="str">
        <f>IF(SUM(V$26:V34)&gt;0,V$25,"")</f>
        <v>每日可参与排位赛&lt;color=#37c21b&gt;x&lt;/color&gt;次</v>
      </c>
      <c r="W54" s="1" t="str">
        <f>IF(SUM(W$26:W34)&gt;0,W$25,"")</f>
        <v>每日可购买排位赛&lt;color=#37c21b&gt;x&lt;/color&gt;次</v>
      </c>
      <c r="X54" s="1" t="str">
        <f>IF(SUM(X$26:X34)&gt;0,X$25,"")</f>
        <v>每日可参与跨服演武&lt;color=#37c21b&gt;x&lt;/color&gt;次</v>
      </c>
      <c r="Y54" s="1" t="str">
        <f>IF(SUM(Y$26:Y34)&gt;0,Y$25,"")</f>
        <v/>
      </c>
      <c r="Z54" s="1" t="str">
        <f>IF(SUM(Z$26:Z34)&gt;0,Z$25,"")</f>
        <v>可在时装界面购买时装</v>
      </c>
      <c r="AA54" s="1" t="str">
        <f>IF(SUM(AA$26:AA34)&gt;0,AA$25,"")</f>
        <v>每日精英关卡挑战加&lt;color=#37c21b&gt;1&lt;/color&gt;次</v>
      </c>
      <c r="AB54" s="1" t="str">
        <f>IF(SUM(AB$26:AB34)&gt;0,AB$25,"")</f>
        <v/>
      </c>
      <c r="AC54" s="1" t="str">
        <f>IF(SUM(AC$26:AC34)&gt;0,AC$25,"")</f>
        <v>超神之路各难度通关后可直接扫荡</v>
      </c>
      <c r="AD54" s="1" t="str">
        <f>IF(SUM(AD$26:AD34)&gt;0,AD$25,"")</f>
        <v>可在精彩活动界面购买投资计划</v>
      </c>
      <c r="AE54" s="1" t="str">
        <f>IF(SUM(AE$26:AE34)&gt;0,AE$25,"")</f>
        <v>可在公会使用高级捐献</v>
      </c>
      <c r="AF54" s="1" t="str">
        <f>IF(SUM(AF$26:AF34)&gt;0,AF$25,"")</f>
        <v>可使用觉醒十次功能</v>
      </c>
      <c r="AG54" s="1" t="str">
        <f>IF(SUM(AG$26:AG34)&gt;0,AG$25,"")</f>
        <v>每日可开启神秘魔石增加&lt;color=#37c21b&gt;x&lt;/color&gt;次</v>
      </c>
    </row>
    <row r="55" spans="2:33">
      <c r="B55" s="1">
        <v>9</v>
      </c>
      <c r="C55" s="1" t="str">
        <f>IF(SUM(C$26:C35)&gt;0,SUBSTITUTE(C$25,"x",C13,1),"")</f>
        <v>需要充值达到&lt;color=#37c21b&gt;10000&lt;/color&gt;钻石即可享受相应特权</v>
      </c>
      <c r="D55" s="1" t="str">
        <f>IF(SUM(D$26:D35)&gt;0,SUBSTITUTE(D$25,"x",D13,1),"")</f>
        <v>每日可购买体力&lt;color=#37c21b&gt;11&lt;/color&gt;次</v>
      </c>
      <c r="E55" s="1" t="str">
        <f>IF(SUM(E$26:E35)&gt;0,SUBSTITUTE(E$25,"x",E13,1),"")</f>
        <v>每日可点金&lt;color=#37c21b&gt;35&lt;/color&gt;次</v>
      </c>
      <c r="F55" s="1" t="str">
        <f t="shared" si="83"/>
        <v>每天每个精英副本可重置&lt;color=#37c21b&gt;3&lt;/color&gt;次</v>
      </c>
      <c r="G55" s="1" t="str">
        <f t="shared" si="82"/>
        <v>每日可购买竞技场&lt;color=#37c21b&gt;4&lt;/color&gt;次</v>
      </c>
      <c r="H55" s="1" t="str">
        <f>SUBSTITUTE(H$25,"x",H13,1)</f>
        <v>单次副本最大扫荡次数提高至&lt;color=#37c21b&gt;20&lt;/color&gt;次</v>
      </c>
      <c r="I55" s="1" t="str">
        <f>IF(SUM(I$26:I35)&gt;0,SUBSTITUTE(I$25,"x",I13,1),"")</f>
        <v>竞技场冷却时间降至&lt;color=#37c21b&gt;2&lt;/color&gt;分钟</v>
      </c>
      <c r="J55" s="1" t="str">
        <f>IF(SUM(J$26:J35)&gt;0,J$25,"")</f>
        <v>公会内可使用高级建设功能</v>
      </c>
      <c r="K55" s="1" t="str">
        <f>IF(SUM(K$26:K35)&gt;0,SUBSTITUTE(K$25,"x",K13,1),"")</f>
        <v>每日可领取高级令&lt;color=#37c21b&gt;1&lt;/color&gt;个</v>
      </c>
      <c r="L55" s="1" t="str">
        <f>IF(SUM(L$26:L35)&gt;0,SUBSTITUTE(L$25,"x",L13,1),"")</f>
        <v/>
      </c>
      <c r="M55" s="1" t="str">
        <f>IF(SUM(M$26:M35)&gt;0,M$25,"")</f>
        <v>可快速完成勇士试炼任务</v>
      </c>
      <c r="N55" s="1" t="str">
        <f>IF(SUM(N$26:N35)&gt;0,N$25,"")</f>
        <v/>
      </c>
      <c r="O55" s="1" t="str">
        <f>IF(SUM(O$26:O35)&gt;0,O$25,"")</f>
        <v>每日可参与符石争夺&lt;color=#37c21b&gt;x&lt;/color&gt;次</v>
      </c>
      <c r="P55" s="1" t="str">
        <f>IF(SUM(P$26:P35)&gt;0,P$25,"")</f>
        <v>每日可购买符石争夺&lt;color=#37c21b&gt;x&lt;/color&gt;次</v>
      </c>
      <c r="Q55" s="1" t="str">
        <f>IF(SUM(Q$26:Q35)&gt;0,Q$25,"")</f>
        <v>开启五连扫荡功能</v>
      </c>
      <c r="R55" s="1" t="str">
        <f>IF(SUM(R$26:R35)&gt;0,R$25,"")</f>
        <v>每日可参与擂台赛&lt;color=#37c21b&gt;x&lt;/color&gt;次</v>
      </c>
      <c r="S55" s="1" t="str">
        <f>IF(SUM(S$26:S35)&gt;0,S$25,"")</f>
        <v>每日可购买擂台赛&lt;color=#37c21b&gt;x&lt;/color&gt;次</v>
      </c>
      <c r="T55" s="1" t="str">
        <f>IF(SUM(T$26:T35)&gt;0,T$25,"")</f>
        <v>每日可参与大乱斗&lt;color=#37c21b&gt;x&lt;/color&gt;次</v>
      </c>
      <c r="U55" s="1" t="str">
        <f>IF(SUM(U$26:U35)&gt;0,U$25,"")</f>
        <v>每日可购买大乱斗&lt;color=#37c21b&gt;x&lt;/color&gt;次</v>
      </c>
      <c r="V55" s="1" t="str">
        <f>IF(SUM(V$26:V35)&gt;0,V$25,"")</f>
        <v>每日可参与排位赛&lt;color=#37c21b&gt;x&lt;/color&gt;次</v>
      </c>
      <c r="W55" s="1" t="str">
        <f>IF(SUM(W$26:W35)&gt;0,W$25,"")</f>
        <v>每日可购买排位赛&lt;color=#37c21b&gt;x&lt;/color&gt;次</v>
      </c>
      <c r="X55" s="1" t="str">
        <f>IF(SUM(X$26:X35)&gt;0,X$25,"")</f>
        <v>每日可参与跨服演武&lt;color=#37c21b&gt;x&lt;/color&gt;次</v>
      </c>
      <c r="Y55" s="1" t="str">
        <f>IF(SUM(Y$26:Y35)&gt;0,Y$25,"")</f>
        <v/>
      </c>
      <c r="Z55" s="1" t="str">
        <f>IF(SUM(Z$26:Z35)&gt;0,Z$25,"")</f>
        <v>可在时装界面购买时装</v>
      </c>
      <c r="AA55" s="1" t="str">
        <f>IF(SUM(AA$26:AA35)&gt;0,AA$25,"")</f>
        <v>每日精英关卡挑战加&lt;color=#37c21b&gt;1&lt;/color&gt;次</v>
      </c>
      <c r="AB55" s="1" t="str">
        <f>IF(SUM(AB$26:AB35)&gt;0,AB$25,"")</f>
        <v/>
      </c>
      <c r="AC55" s="1" t="str">
        <f>IF(SUM(AC$26:AC35)&gt;0,AC$25,"")</f>
        <v>超神之路各难度通关后可直接扫荡</v>
      </c>
      <c r="AD55" s="1" t="str">
        <f>IF(SUM(AD$26:AD35)&gt;0,AD$25,"")</f>
        <v>可在精彩活动界面购买投资计划</v>
      </c>
      <c r="AE55" s="1" t="str">
        <f>IF(SUM(AE$26:AE35)&gt;0,AE$25,"")</f>
        <v>可在公会使用高级捐献</v>
      </c>
      <c r="AF55" s="1" t="str">
        <f>IF(SUM(AF$26:AF35)&gt;0,AF$25,"")</f>
        <v>可使用觉醒十次功能</v>
      </c>
      <c r="AG55" s="1" t="str">
        <f>IF(SUM(AG$26:AG35)&gt;0,AG$25,"")</f>
        <v>每日可开启神秘魔石增加&lt;color=#37c21b&gt;x&lt;/color&gt;次</v>
      </c>
    </row>
    <row r="56" spans="2:33">
      <c r="B56" s="1">
        <v>10</v>
      </c>
      <c r="C56" s="1" t="str">
        <f>IF(SUM(C$26:C36)&gt;0,SUBSTITUTE(C$25,"x",C14,1),"")</f>
        <v>需要充值达到&lt;color=#37c21b&gt;15000&lt;/color&gt;钻石即可享受相应特权</v>
      </c>
      <c r="D56" s="1" t="str">
        <f>IF(SUM(D$26:D36)&gt;0,SUBSTITUTE(D$25,"x",D14,1),"")</f>
        <v>每日可购买体力&lt;color=#37c21b&gt;12&lt;/color&gt;次</v>
      </c>
      <c r="E56" s="1" t="str">
        <f>IF(SUM(E$26:E36)&gt;0,SUBSTITUTE(E$25,"x",E14,1),"")</f>
        <v>每日可点金&lt;color=#37c21b&gt;40&lt;/color&gt;次</v>
      </c>
      <c r="F56" s="1" t="str">
        <f>SUBSTITUTE(F$25,"x",F14,1)</f>
        <v>每天每个精英副本可重置&lt;color=#37c21b&gt;4&lt;/color&gt;次</v>
      </c>
      <c r="G56" s="1" t="str">
        <f t="shared" si="82"/>
        <v>每日可购买竞技场&lt;color=#37c21b&gt;4&lt;/color&gt;次</v>
      </c>
      <c r="H56" s="1" t="str">
        <f t="shared" si="82"/>
        <v>单次副本最大扫荡次数提高至&lt;color=#37c21b&gt;20&lt;/color&gt;次</v>
      </c>
      <c r="I56" s="1" t="str">
        <f>IF(SUM(I$26:I36)&gt;0,SUBSTITUTE(I$25,"x",I14,1),"")</f>
        <v>竞技场冷却时间降至&lt;color=#37c21b&gt;1&lt;/color&gt;分钟</v>
      </c>
      <c r="J56" s="1" t="str">
        <f>IF(SUM(J$26:J36)&gt;0,J$25,"")</f>
        <v>公会内可使用高级建设功能</v>
      </c>
      <c r="K56" s="1" t="str">
        <f>IF(SUM(K$26:K36)&gt;0,SUBSTITUTE(K$25,"x",K14,1),"")</f>
        <v>每日可领取高级令&lt;color=#37c21b&gt;1&lt;/color&gt;个</v>
      </c>
      <c r="L56" s="1" t="str">
        <f>IF(SUM(L$26:L36)&gt;0,SUBSTITUTE(L$25,"x",L14,1),"")</f>
        <v/>
      </c>
      <c r="M56" s="1" t="str">
        <f>IF(SUM(M$26:M36)&gt;0,M$25,"")</f>
        <v>可快速完成勇士试炼任务</v>
      </c>
      <c r="N56" s="1" t="str">
        <f>IF(SUM(N$26:N36)&gt;0,N$25,"")</f>
        <v/>
      </c>
      <c r="O56" s="1" t="str">
        <f>IF(SUM(O$26:O36)&gt;0,O$25,"")</f>
        <v>每日可参与符石争夺&lt;color=#37c21b&gt;x&lt;/color&gt;次</v>
      </c>
      <c r="P56" s="1" t="str">
        <f>IF(SUM(P$26:P36)&gt;0,P$25,"")</f>
        <v>每日可购买符石争夺&lt;color=#37c21b&gt;x&lt;/color&gt;次</v>
      </c>
      <c r="Q56" s="1" t="str">
        <f>IF(SUM(Q$26:Q36)&gt;0,Q$25,"")</f>
        <v>开启五连扫荡功能</v>
      </c>
      <c r="R56" s="1" t="str">
        <f>IF(SUM(R$26:R36)&gt;0,R$25,"")</f>
        <v>每日可参与擂台赛&lt;color=#37c21b&gt;x&lt;/color&gt;次</v>
      </c>
      <c r="S56" s="1" t="str">
        <f>IF(SUM(S$26:S36)&gt;0,S$25,"")</f>
        <v>每日可购买擂台赛&lt;color=#37c21b&gt;x&lt;/color&gt;次</v>
      </c>
      <c r="T56" s="1" t="str">
        <f>IF(SUM(T$26:T36)&gt;0,T$25,"")</f>
        <v>每日可参与大乱斗&lt;color=#37c21b&gt;x&lt;/color&gt;次</v>
      </c>
      <c r="U56" s="1" t="str">
        <f>IF(SUM(U$26:U36)&gt;0,U$25,"")</f>
        <v>每日可购买大乱斗&lt;color=#37c21b&gt;x&lt;/color&gt;次</v>
      </c>
      <c r="V56" s="1" t="str">
        <f>IF(SUM(V$26:V36)&gt;0,V$25,"")</f>
        <v>每日可参与排位赛&lt;color=#37c21b&gt;x&lt;/color&gt;次</v>
      </c>
      <c r="W56" s="1" t="str">
        <f>IF(SUM(W$26:W36)&gt;0,W$25,"")</f>
        <v>每日可购买排位赛&lt;color=#37c21b&gt;x&lt;/color&gt;次</v>
      </c>
      <c r="X56" s="1" t="str">
        <f>IF(SUM(X$26:X36)&gt;0,X$25,"")</f>
        <v>每日可参与跨服演武&lt;color=#37c21b&gt;x&lt;/color&gt;次</v>
      </c>
      <c r="Y56" s="1" t="str">
        <f>IF(SUM(Y$26:Y36)&gt;0,Y$25,"")</f>
        <v/>
      </c>
      <c r="Z56" s="1" t="str">
        <f>IF(SUM(Z$26:Z36)&gt;0,Z$25,"")</f>
        <v>可在时装界面购买时装</v>
      </c>
      <c r="AA56" s="1" t="str">
        <f>IF(SUM(AA$26:AA36)&gt;0,AA$25,"")</f>
        <v>每日精英关卡挑战加&lt;color=#37c21b&gt;1&lt;/color&gt;次</v>
      </c>
      <c r="AB56" s="1" t="str">
        <f>IF(SUM(AB$26:AB36)&gt;0,AB$25,"")</f>
        <v/>
      </c>
      <c r="AC56" s="1" t="str">
        <f>IF(SUM(AC$26:AC36)&gt;0,AC$25,"")</f>
        <v>超神之路各难度通关后可直接扫荡</v>
      </c>
      <c r="AD56" s="1" t="str">
        <f>IF(SUM(AD$26:AD36)&gt;0,AD$25,"")</f>
        <v>可在精彩活动界面购买投资计划</v>
      </c>
      <c r="AE56" s="1" t="str">
        <f>IF(SUM(AE$26:AE36)&gt;0,AE$25,"")</f>
        <v>可在公会使用高级捐献</v>
      </c>
      <c r="AF56" s="1" t="str">
        <f>IF(SUM(AF$26:AF36)&gt;0,AF$25,"")</f>
        <v>可使用觉醒十次功能</v>
      </c>
      <c r="AG56" s="1" t="str">
        <f>IF(SUM(AG$26:AG36)&gt;0,AG$25,"")</f>
        <v>每日可开启神秘魔石增加&lt;color=#37c21b&gt;x&lt;/color&gt;次</v>
      </c>
    </row>
    <row r="57" spans="2:33">
      <c r="B57" s="1">
        <v>11</v>
      </c>
      <c r="C57" s="1" t="str">
        <f>IF(SUM(C$26:C37)&gt;0,SUBSTITUTE(C$25,"x",C15,1),"")</f>
        <v>需要充值达到&lt;color=#37c21b&gt;20000&lt;/color&gt;钻石即可享受相应特权</v>
      </c>
      <c r="D57" s="1" t="str">
        <f>IF(SUM(D$26:D37)&gt;0,SUBSTITUTE(D$25,"x",D15,1),"")</f>
        <v>每日可购买体力&lt;color=#37c21b&gt;13&lt;/color&gt;次</v>
      </c>
      <c r="E57" s="1" t="str">
        <f>IF(SUM(E$26:E37)&gt;0,SUBSTITUTE(E$25,"x",E15,1),"")</f>
        <v>每日可点金&lt;color=#37c21b&gt;50&lt;/color&gt;次</v>
      </c>
      <c r="F57" s="1" t="str">
        <f t="shared" si="83"/>
        <v>每天每个精英副本可重置&lt;color=#37c21b&gt;4&lt;/color&gt;次</v>
      </c>
      <c r="G57" s="1" t="str">
        <f t="shared" si="82"/>
        <v>每日可购买竞技场&lt;color=#37c21b&gt;4&lt;/color&gt;次</v>
      </c>
      <c r="H57" s="1" t="str">
        <f t="shared" si="82"/>
        <v>单次副本最大扫荡次数提高至&lt;color=#37c21b&gt;20&lt;/color&gt;次</v>
      </c>
      <c r="I57" s="1" t="str">
        <f>IF(SUM(I$26:I37)&gt;0,SUBSTITUTE(I$25,"x",I15,1),"")</f>
        <v>竞技场冷却时间降至&lt;color=#37c21b&gt;1&lt;/color&gt;分钟</v>
      </c>
      <c r="J57" s="1" t="str">
        <f>IF(SUM(J$26:J37)&gt;0,J$25,"")</f>
        <v>公会内可使用高级建设功能</v>
      </c>
      <c r="K57" s="1" t="str">
        <f>IF(SUM(K$26:K37)&gt;0,SUBSTITUTE(K$25,"x",K15,1),"")</f>
        <v>每日可领取高级令&lt;color=#37c21b&gt;1&lt;/color&gt;个</v>
      </c>
      <c r="L57" s="1" t="str">
        <f>IF(SUM(L$26:L37)&gt;0,SUBSTITUTE(L$25,"x",L15,1),"")</f>
        <v/>
      </c>
      <c r="M57" s="1" t="str">
        <f>IF(SUM(M$26:M37)&gt;0,M$25,"")</f>
        <v>可快速完成勇士试炼任务</v>
      </c>
      <c r="N57" s="1" t="str">
        <f>IF(SUM(N$26:N37)&gt;0,N$25,"")</f>
        <v/>
      </c>
      <c r="O57" s="1" t="str">
        <f>IF(SUM(O$26:O37)&gt;0,O$25,"")</f>
        <v>每日可参与符石争夺&lt;color=#37c21b&gt;x&lt;/color&gt;次</v>
      </c>
      <c r="P57" s="1" t="str">
        <f>IF(SUM(P$26:P37)&gt;0,P$25,"")</f>
        <v>每日可购买符石争夺&lt;color=#37c21b&gt;x&lt;/color&gt;次</v>
      </c>
      <c r="Q57" s="1" t="str">
        <f>IF(SUM(Q$26:Q37)&gt;0,Q$25,"")</f>
        <v>开启五连扫荡功能</v>
      </c>
      <c r="R57" s="1" t="str">
        <f>IF(SUM(R$26:R37)&gt;0,R$25,"")</f>
        <v>每日可参与擂台赛&lt;color=#37c21b&gt;x&lt;/color&gt;次</v>
      </c>
      <c r="S57" s="1" t="str">
        <f>IF(SUM(S$26:S37)&gt;0,S$25,"")</f>
        <v>每日可购买擂台赛&lt;color=#37c21b&gt;x&lt;/color&gt;次</v>
      </c>
      <c r="T57" s="1" t="str">
        <f>IF(SUM(T$26:T37)&gt;0,T$25,"")</f>
        <v>每日可参与大乱斗&lt;color=#37c21b&gt;x&lt;/color&gt;次</v>
      </c>
      <c r="U57" s="1" t="str">
        <f>IF(SUM(U$26:U37)&gt;0,U$25,"")</f>
        <v>每日可购买大乱斗&lt;color=#37c21b&gt;x&lt;/color&gt;次</v>
      </c>
      <c r="V57" s="1" t="str">
        <f>IF(SUM(V$26:V37)&gt;0,V$25,"")</f>
        <v>每日可参与排位赛&lt;color=#37c21b&gt;x&lt;/color&gt;次</v>
      </c>
      <c r="W57" s="1" t="str">
        <f>IF(SUM(W$26:W37)&gt;0,W$25,"")</f>
        <v>每日可购买排位赛&lt;color=#37c21b&gt;x&lt;/color&gt;次</v>
      </c>
      <c r="X57" s="1" t="str">
        <f>IF(SUM(X$26:X37)&gt;0,X$25,"")</f>
        <v>每日可参与跨服演武&lt;color=#37c21b&gt;x&lt;/color&gt;次</v>
      </c>
      <c r="Y57" s="1" t="str">
        <f>IF(SUM(Y$26:Y37)&gt;0,Y$25,"")</f>
        <v/>
      </c>
      <c r="Z57" s="1" t="str">
        <f>IF(SUM(Z$26:Z37)&gt;0,Z$25,"")</f>
        <v>可在时装界面购买时装</v>
      </c>
      <c r="AA57" s="1" t="str">
        <f>IF(SUM(AA$26:AA37)&gt;0,AA$25,"")</f>
        <v>每日精英关卡挑战加&lt;color=#37c21b&gt;1&lt;/color&gt;次</v>
      </c>
      <c r="AB57" s="1" t="str">
        <f>IF(SUM(AB$26:AB37)&gt;0,AB$25,"")</f>
        <v/>
      </c>
      <c r="AC57" s="1" t="str">
        <f>IF(SUM(AC$26:AC37)&gt;0,AC$25,"")</f>
        <v>超神之路各难度通关后可直接扫荡</v>
      </c>
      <c r="AD57" s="1" t="str">
        <f>IF(SUM(AD$26:AD37)&gt;0,AD$25,"")</f>
        <v>可在精彩活动界面购买投资计划</v>
      </c>
      <c r="AE57" s="1" t="str">
        <f>IF(SUM(AE$26:AE37)&gt;0,AE$25,"")</f>
        <v>可在公会使用高级捐献</v>
      </c>
      <c r="AF57" s="1" t="str">
        <f>IF(SUM(AF$26:AF37)&gt;0,AF$25,"")</f>
        <v>可使用觉醒十次功能</v>
      </c>
      <c r="AG57" s="1" t="str">
        <f>IF(SUM(AG$26:AG37)&gt;0,AG$25,"")</f>
        <v>每日可开启神秘魔石增加&lt;color=#37c21b&gt;x&lt;/color&gt;次</v>
      </c>
    </row>
    <row r="58" spans="2:33">
      <c r="B58" s="1">
        <v>12</v>
      </c>
      <c r="C58" s="1" t="str">
        <f>IF(SUM(C$26:C38)&gt;0,SUBSTITUTE(C$25,"x",C16,1),"")</f>
        <v>需要充值达到&lt;color=#37c21b&gt;30000&lt;/color&gt;钻石即可享受相应特权</v>
      </c>
      <c r="D58" s="1" t="str">
        <f>IF(SUM(D$26:D38)&gt;0,SUBSTITUTE(D$25,"x",D16,1),"")</f>
        <v>每日可购买体力&lt;color=#37c21b&gt;14&lt;/color&gt;次</v>
      </c>
      <c r="E58" s="1" t="str">
        <f>IF(SUM(E$26:E38)&gt;0,SUBSTITUTE(E$25,"x",E16,1),"")</f>
        <v>每日可点金&lt;color=#37c21b&gt;60&lt;/color&gt;次</v>
      </c>
      <c r="F58" s="1" t="str">
        <f t="shared" si="83"/>
        <v>每天每个精英副本可重置&lt;color=#37c21b&gt;4&lt;/color&gt;次</v>
      </c>
      <c r="G58" s="1" t="str">
        <f t="shared" si="82"/>
        <v>每日可购买竞技场&lt;color=#37c21b&gt;4&lt;/color&gt;次</v>
      </c>
      <c r="H58" s="1" t="str">
        <f t="shared" si="82"/>
        <v>单次副本最大扫荡次数提高至&lt;color=#37c21b&gt;20&lt;/color&gt;次</v>
      </c>
      <c r="I58" s="1" t="str">
        <f>IF(SUM(I$26:I38)&gt;0,SUBSTITUTE(I$25,"x",I16,1),"")</f>
        <v>竞技场冷却时间降至&lt;color=#37c21b&gt;1&lt;/color&gt;分钟</v>
      </c>
      <c r="J58" s="1" t="str">
        <f>IF(SUM(J$26:J38)&gt;0,J$25,"")</f>
        <v>公会内可使用高级建设功能</v>
      </c>
      <c r="K58" s="1" t="str">
        <f>IF(SUM(K$26:K38)&gt;0,SUBSTITUTE(K$25,"x",K16,1),"")</f>
        <v>每日可领取高级令&lt;color=#37c21b&gt;1&lt;/color&gt;个</v>
      </c>
      <c r="L58" s="1" t="str">
        <f>IF(SUM(L$26:L38)&gt;0,SUBSTITUTE(L$25,"x",L16,1),"")</f>
        <v>每日可领取顶级令&lt;color=#37c21b&gt;1&lt;/color&gt;个</v>
      </c>
      <c r="M58" s="1" t="str">
        <f>IF(SUM(M$26:M38)&gt;0,M$25,"")</f>
        <v>可快速完成勇士试炼任务</v>
      </c>
      <c r="N58" s="1" t="str">
        <f>IF(SUM(N$26:N38)&gt;0,N$25,"")</f>
        <v/>
      </c>
      <c r="O58" s="1" t="str">
        <f>IF(SUM(O$26:O38)&gt;0,O$25,"")</f>
        <v>每日可参与符石争夺&lt;color=#37c21b&gt;x&lt;/color&gt;次</v>
      </c>
      <c r="P58" s="1" t="str">
        <f>IF(SUM(P$26:P38)&gt;0,P$25,"")</f>
        <v>每日可购买符石争夺&lt;color=#37c21b&gt;x&lt;/color&gt;次</v>
      </c>
      <c r="Q58" s="1" t="str">
        <f>IF(SUM(Q$26:Q38)&gt;0,Q$25,"")</f>
        <v>开启五连扫荡功能</v>
      </c>
      <c r="R58" s="1" t="str">
        <f>IF(SUM(R$26:R38)&gt;0,R$25,"")</f>
        <v>每日可参与擂台赛&lt;color=#37c21b&gt;x&lt;/color&gt;次</v>
      </c>
      <c r="S58" s="1" t="str">
        <f>IF(SUM(S$26:S38)&gt;0,S$25,"")</f>
        <v>每日可购买擂台赛&lt;color=#37c21b&gt;x&lt;/color&gt;次</v>
      </c>
      <c r="T58" s="1" t="str">
        <f>IF(SUM(T$26:T38)&gt;0,T$25,"")</f>
        <v>每日可参与大乱斗&lt;color=#37c21b&gt;x&lt;/color&gt;次</v>
      </c>
      <c r="U58" s="1" t="str">
        <f>IF(SUM(U$26:U38)&gt;0,U$25,"")</f>
        <v>每日可购买大乱斗&lt;color=#37c21b&gt;x&lt;/color&gt;次</v>
      </c>
      <c r="V58" s="1" t="str">
        <f>IF(SUM(V$26:V38)&gt;0,V$25,"")</f>
        <v>每日可参与排位赛&lt;color=#37c21b&gt;x&lt;/color&gt;次</v>
      </c>
      <c r="W58" s="1" t="str">
        <f>IF(SUM(W$26:W38)&gt;0,W$25,"")</f>
        <v>每日可购买排位赛&lt;color=#37c21b&gt;x&lt;/color&gt;次</v>
      </c>
      <c r="X58" s="1" t="str">
        <f>IF(SUM(X$26:X38)&gt;0,X$25,"")</f>
        <v>每日可参与跨服演武&lt;color=#37c21b&gt;x&lt;/color&gt;次</v>
      </c>
      <c r="Y58" s="1" t="str">
        <f>IF(SUM(Y$26:Y38)&gt;0,Y$25,"")</f>
        <v/>
      </c>
      <c r="Z58" s="1" t="str">
        <f>IF(SUM(Z$26:Z38)&gt;0,Z$25,"")</f>
        <v>可在时装界面购买时装</v>
      </c>
      <c r="AA58" s="1" t="str">
        <f>IF(SUM(AA$26:AA38)&gt;0,AA$25,"")</f>
        <v>每日精英关卡挑战加&lt;color=#37c21b&gt;1&lt;/color&gt;次</v>
      </c>
      <c r="AB58" s="1" t="str">
        <f>IF(SUM(AB$26:AB38)&gt;0,AB$25,"")</f>
        <v>可快速完成探险寻宝任务</v>
      </c>
      <c r="AC58" s="1" t="str">
        <f>IF(SUM(AC$26:AC38)&gt;0,AC$25,"")</f>
        <v>超神之路各难度通关后可直接扫荡</v>
      </c>
      <c r="AD58" s="1" t="str">
        <f>IF(SUM(AD$26:AD38)&gt;0,AD$25,"")</f>
        <v>可在精彩活动界面购买投资计划</v>
      </c>
      <c r="AE58" s="1" t="str">
        <f>IF(SUM(AE$26:AE38)&gt;0,AE$25,"")</f>
        <v>可在公会使用高级捐献</v>
      </c>
      <c r="AF58" s="1" t="str">
        <f>IF(SUM(AF$26:AF38)&gt;0,AF$25,"")</f>
        <v>可使用觉醒十次功能</v>
      </c>
      <c r="AG58" s="1" t="str">
        <f>IF(SUM(AG$26:AG38)&gt;0,AG$25,"")</f>
        <v>每日可开启神秘魔石增加&lt;color=#37c21b&gt;x&lt;/color&gt;次</v>
      </c>
    </row>
    <row r="59" spans="2:33">
      <c r="B59" s="1">
        <v>13</v>
      </c>
      <c r="C59" s="1" t="str">
        <f>IF(SUM(C$26:C39)&gt;0,SUBSTITUTE(C$25,"x",C17,1),"")</f>
        <v>需要充值达到&lt;color=#37c21b&gt;60000&lt;/color&gt;钻石即可享受相应特权</v>
      </c>
      <c r="D59" s="1" t="str">
        <f>IF(SUM(D$26:D39)&gt;0,SUBSTITUTE(D$25,"x",D17,1),"")</f>
        <v>每日可购买体力&lt;color=#37c21b&gt;15&lt;/color&gt;次</v>
      </c>
      <c r="E59" s="1" t="str">
        <f>IF(SUM(E$26:E39)&gt;0,SUBSTITUTE(E$25,"x",E17,1),"")</f>
        <v>每日可点金&lt;color=#37c21b&gt;80&lt;/color&gt;次</v>
      </c>
      <c r="F59" s="1" t="str">
        <f t="shared" si="83"/>
        <v>每天每个精英副本可重置&lt;color=#37c21b&gt;5&lt;/color&gt;次</v>
      </c>
      <c r="G59" s="1" t="str">
        <f t="shared" si="82"/>
        <v>每日可购买竞技场&lt;color=#37c21b&gt;5&lt;/color&gt;次</v>
      </c>
      <c r="H59" s="1" t="str">
        <f t="shared" si="82"/>
        <v>单次副本最大扫荡次数提高至&lt;color=#37c21b&gt;20&lt;/color&gt;次</v>
      </c>
      <c r="I59" s="1" t="str">
        <f>IF(SUM(I$26:I39)&gt;0,SUBSTITUTE(I$25,"x",I17,1),"")</f>
        <v>竞技场冷却时间降至&lt;color=#37c21b&gt;1&lt;/color&gt;分钟</v>
      </c>
      <c r="J59" s="1" t="str">
        <f>IF(SUM(J$26:J39)&gt;0,J$25,"")</f>
        <v>公会内可使用高级建设功能</v>
      </c>
      <c r="K59" s="1" t="str">
        <f>IF(SUM(K$26:K39)&gt;0,SUBSTITUTE(K$25,"x",K17,1),"")</f>
        <v>每日可领取高级令&lt;color=#37c21b&gt;1&lt;/color&gt;个</v>
      </c>
      <c r="L59" s="1" t="str">
        <f>IF(SUM(L$26:L39)&gt;0,SUBSTITUTE(L$25,"x",L17,1),"")</f>
        <v>每日可领取顶级令&lt;color=#37c21b&gt;1&lt;/color&gt;个</v>
      </c>
      <c r="M59" s="1" t="str">
        <f>IF(SUM(M$26:M39)&gt;0,M$25,"")</f>
        <v>可快速完成勇士试炼任务</v>
      </c>
      <c r="N59" s="1" t="str">
        <f>IF(SUM(N$26:N39)&gt;0,N$25,"")</f>
        <v>每日可参与组队副本&lt;color=#37c21b&gt;x&lt;/color&gt;次</v>
      </c>
      <c r="O59" s="1" t="str">
        <f>IF(SUM(O$26:O39)&gt;0,O$25,"")</f>
        <v>每日可参与符石争夺&lt;color=#37c21b&gt;x&lt;/color&gt;次</v>
      </c>
      <c r="P59" s="1" t="str">
        <f>IF(SUM(P$26:P39)&gt;0,P$25,"")</f>
        <v>每日可购买符石争夺&lt;color=#37c21b&gt;x&lt;/color&gt;次</v>
      </c>
      <c r="Q59" s="1" t="str">
        <f>IF(SUM(Q$26:Q39)&gt;0,Q$25,"")</f>
        <v>开启五连扫荡功能</v>
      </c>
      <c r="R59" s="1" t="str">
        <f>IF(SUM(R$26:R39)&gt;0,R$25,"")</f>
        <v>每日可参与擂台赛&lt;color=#37c21b&gt;x&lt;/color&gt;次</v>
      </c>
      <c r="S59" s="1" t="str">
        <f>IF(SUM(S$26:S39)&gt;0,S$25,"")</f>
        <v>每日可购买擂台赛&lt;color=#37c21b&gt;x&lt;/color&gt;次</v>
      </c>
      <c r="T59" s="1" t="str">
        <f>IF(SUM(T$26:T39)&gt;0,T$25,"")</f>
        <v>每日可参与大乱斗&lt;color=#37c21b&gt;x&lt;/color&gt;次</v>
      </c>
      <c r="U59" s="1" t="str">
        <f>IF(SUM(U$26:U39)&gt;0,U$25,"")</f>
        <v>每日可购买大乱斗&lt;color=#37c21b&gt;x&lt;/color&gt;次</v>
      </c>
      <c r="V59" s="1" t="str">
        <f>IF(SUM(V$26:V39)&gt;0,V$25,"")</f>
        <v>每日可参与排位赛&lt;color=#37c21b&gt;x&lt;/color&gt;次</v>
      </c>
      <c r="W59" s="1" t="str">
        <f>IF(SUM(W$26:W39)&gt;0,W$25,"")</f>
        <v>每日可购买排位赛&lt;color=#37c21b&gt;x&lt;/color&gt;次</v>
      </c>
      <c r="X59" s="1" t="str">
        <f>IF(SUM(X$26:X39)&gt;0,X$25,"")</f>
        <v>每日可参与跨服演武&lt;color=#37c21b&gt;x&lt;/color&gt;次</v>
      </c>
      <c r="Y59" s="1" t="str">
        <f>IF(SUM(Y$26:Y39)&gt;0,Y$25,"")</f>
        <v/>
      </c>
      <c r="Z59" s="1" t="str">
        <f>IF(SUM(Z$26:Z39)&gt;0,Z$25,"")</f>
        <v>可在时装界面购买时装</v>
      </c>
      <c r="AA59" s="1" t="str">
        <f>IF(SUM(AA$26:AA39)&gt;0,AA$25,"")</f>
        <v>每日精英关卡挑战加&lt;color=#37c21b&gt;1&lt;/color&gt;次</v>
      </c>
      <c r="AB59" s="1" t="str">
        <f>IF(SUM(AB$26:AB39)&gt;0,AB$25,"")</f>
        <v>可快速完成探险寻宝任务</v>
      </c>
      <c r="AC59" s="1" t="str">
        <f>IF(SUM(AC$26:AC39)&gt;0,AC$25,"")</f>
        <v>超神之路各难度通关后可直接扫荡</v>
      </c>
      <c r="AD59" s="1" t="str">
        <f>IF(SUM(AD$26:AD39)&gt;0,AD$25,"")</f>
        <v>可在精彩活动界面购买投资计划</v>
      </c>
      <c r="AE59" s="1" t="str">
        <f>IF(SUM(AE$26:AE39)&gt;0,AE$25,"")</f>
        <v>可在公会使用高级捐献</v>
      </c>
      <c r="AF59" s="1" t="str">
        <f>IF(SUM(AF$26:AF39)&gt;0,AF$25,"")</f>
        <v>可使用觉醒十次功能</v>
      </c>
      <c r="AG59" s="1" t="str">
        <f>IF(SUM(AG$26:AG39)&gt;0,AG$25,"")</f>
        <v>每日可开启神秘魔石增加&lt;color=#37c21b&gt;x&lt;/color&gt;次</v>
      </c>
    </row>
    <row r="60" spans="2:33">
      <c r="B60" s="1">
        <v>14</v>
      </c>
      <c r="C60" s="1" t="str">
        <f>IF(SUM(C$26:C40)&gt;0,SUBSTITUTE(C$25,"x",C18,1),"")</f>
        <v>需要充值达到&lt;color=#37c21b&gt;120000&lt;/color&gt;钻石即可享受相应特权</v>
      </c>
      <c r="D60" s="1" t="str">
        <f>IF(SUM(D$26:D40)&gt;0,SUBSTITUTE(D$25,"x",D18,1),"")</f>
        <v>每日可购买体力&lt;color=#37c21b&gt;16&lt;/color&gt;次</v>
      </c>
      <c r="E60" s="1" t="str">
        <f>IF(SUM(E$26:E40)&gt;0,SUBSTITUTE(E$25,"x",E18,1),"")</f>
        <v>每日可点金&lt;color=#37c21b&gt;100&lt;/color&gt;次</v>
      </c>
      <c r="F60" s="1" t="str">
        <f t="shared" si="83"/>
        <v>每天每个精英副本可重置&lt;color=#37c21b&gt;5&lt;/color&gt;次</v>
      </c>
      <c r="G60" s="1" t="str">
        <f t="shared" si="82"/>
        <v>每日可购买竞技场&lt;color=#37c21b&gt;5&lt;/color&gt;次</v>
      </c>
      <c r="H60" s="1" t="str">
        <f t="shared" si="82"/>
        <v>单次副本最大扫荡次数提高至&lt;color=#37c21b&gt;20&lt;/color&gt;次</v>
      </c>
      <c r="I60" s="1" t="str">
        <f>IF(SUM(I$26:I40)&gt;0,SUBSTITUTE(I$25,"x",I18,1),"")</f>
        <v>竞技场冷却时间降至&lt;color=#37c21b&gt;1&lt;/color&gt;分钟</v>
      </c>
      <c r="J60" s="1" t="str">
        <f>IF(SUM(J$26:J40)&gt;0,J$25,"")</f>
        <v>公会内可使用高级建设功能</v>
      </c>
      <c r="K60" s="1" t="str">
        <f>IF(SUM(K$26:K40)&gt;0,SUBSTITUTE(K$25,"x",K18,1),"")</f>
        <v>每日可领取高级令&lt;color=#37c21b&gt;1&lt;/color&gt;个</v>
      </c>
      <c r="L60" s="1" t="str">
        <f>IF(SUM(L$26:L40)&gt;0,SUBSTITUTE(L$25,"x",L18,1),"")</f>
        <v>每日可领取顶级令&lt;color=#37c21b&gt;1&lt;/color&gt;个</v>
      </c>
      <c r="M60" s="1" t="str">
        <f>IF(SUM(M$26:M40)&gt;0,M$25,"")</f>
        <v>可快速完成勇士试炼任务</v>
      </c>
      <c r="N60" s="1" t="str">
        <f>IF(SUM(N$26:N40)&gt;0,N$25,"")</f>
        <v>每日可参与组队副本&lt;color=#37c21b&gt;x&lt;/color&gt;次</v>
      </c>
      <c r="O60" s="1" t="str">
        <f>IF(SUM(O$26:O40)&gt;0,O$25,"")</f>
        <v>每日可参与符石争夺&lt;color=#37c21b&gt;x&lt;/color&gt;次</v>
      </c>
      <c r="P60" s="1" t="str">
        <f>IF(SUM(P$26:P40)&gt;0,P$25,"")</f>
        <v>每日可购买符石争夺&lt;color=#37c21b&gt;x&lt;/color&gt;次</v>
      </c>
      <c r="Q60" s="1" t="str">
        <f>IF(SUM(Q$26:Q40)&gt;0,Q$25,"")</f>
        <v>开启五连扫荡功能</v>
      </c>
      <c r="R60" s="1" t="str">
        <f>IF(SUM(R$26:R40)&gt;0,R$25,"")</f>
        <v>每日可参与擂台赛&lt;color=#37c21b&gt;x&lt;/color&gt;次</v>
      </c>
      <c r="S60" s="1" t="str">
        <f>IF(SUM(S$26:S40)&gt;0,S$25,"")</f>
        <v>每日可购买擂台赛&lt;color=#37c21b&gt;x&lt;/color&gt;次</v>
      </c>
      <c r="T60" s="1" t="str">
        <f>IF(SUM(T$26:T40)&gt;0,T$25,"")</f>
        <v>每日可参与大乱斗&lt;color=#37c21b&gt;x&lt;/color&gt;次</v>
      </c>
      <c r="U60" s="1" t="str">
        <f>IF(SUM(U$26:U40)&gt;0,U$25,"")</f>
        <v>每日可购买大乱斗&lt;color=#37c21b&gt;x&lt;/color&gt;次</v>
      </c>
      <c r="V60" s="1" t="str">
        <f>IF(SUM(V$26:V40)&gt;0,V$25,"")</f>
        <v>每日可参与排位赛&lt;color=#37c21b&gt;x&lt;/color&gt;次</v>
      </c>
      <c r="W60" s="1" t="str">
        <f>IF(SUM(W$26:W40)&gt;0,W$25,"")</f>
        <v>每日可购买排位赛&lt;color=#37c21b&gt;x&lt;/color&gt;次</v>
      </c>
      <c r="X60" s="1" t="str">
        <f>IF(SUM(X$26:X40)&gt;0,X$25,"")</f>
        <v>每日可参与跨服演武&lt;color=#37c21b&gt;x&lt;/color&gt;次</v>
      </c>
      <c r="Y60" s="1" t="str">
        <f>IF(SUM(Y$26:Y40)&gt;0,Y$25,"")</f>
        <v/>
      </c>
      <c r="Z60" s="1" t="str">
        <f>IF(SUM(Z$26:Z40)&gt;0,Z$25,"")</f>
        <v>可在时装界面购买时装</v>
      </c>
      <c r="AA60" s="1" t="str">
        <f>IF(SUM(AA$26:AA40)&gt;0,AA$25,"")</f>
        <v>每日精英关卡挑战加&lt;color=#37c21b&gt;1&lt;/color&gt;次</v>
      </c>
      <c r="AB60" s="1" t="str">
        <f>IF(SUM(AB$26:AB40)&gt;0,AB$25,"")</f>
        <v>可快速完成探险寻宝任务</v>
      </c>
      <c r="AC60" s="1" t="str">
        <f>IF(SUM(AC$26:AC40)&gt;0,AC$25,"")</f>
        <v>超神之路各难度通关后可直接扫荡</v>
      </c>
      <c r="AD60" s="1" t="str">
        <f>IF(SUM(AD$26:AD40)&gt;0,AD$25,"")</f>
        <v>可在精彩活动界面购买投资计划</v>
      </c>
      <c r="AE60" s="1" t="str">
        <f>IF(SUM(AE$26:AE40)&gt;0,AE$25,"")</f>
        <v>可在公会使用高级捐献</v>
      </c>
      <c r="AF60" s="1" t="str">
        <f>IF(SUM(AF$26:AF40)&gt;0,AF$25,"")</f>
        <v>可使用觉醒十次功能</v>
      </c>
      <c r="AG60" s="1" t="str">
        <f>IF(SUM(AG$26:AG40)&gt;0,AG$25,"")</f>
        <v>每日可开启神秘魔石增加&lt;color=#37c21b&gt;x&lt;/color&gt;次</v>
      </c>
    </row>
    <row r="61" spans="2:33">
      <c r="B61" s="1">
        <v>15</v>
      </c>
      <c r="C61" s="1" t="str">
        <f>IF(SUM(C$26:C41)&gt;0,SUBSTITUTE(C$25,"x",C19,1),"")</f>
        <v>需要充值达到&lt;color=#37c21b&gt;200000&lt;/color&gt;钻石即可享受相应特权</v>
      </c>
      <c r="D61" s="1" t="str">
        <f>IF(SUM(D$26:D41)&gt;0,SUBSTITUTE(D$25,"x",D19,1),"")</f>
        <v>每日可购买体力&lt;color=#37c21b&gt;17&lt;/color&gt;次</v>
      </c>
      <c r="E61" s="1" t="str">
        <f>IF(SUM(E$26:E41)&gt;0,SUBSTITUTE(E$25,"x",E19,1),"")</f>
        <v>每日可点金&lt;color=#37c21b&gt;160&lt;/color&gt;次</v>
      </c>
      <c r="F61" s="1" t="str">
        <f t="shared" si="83"/>
        <v>每天每个精英副本可重置&lt;color=#37c21b&gt;5&lt;/color&gt;次</v>
      </c>
      <c r="G61" s="1" t="str">
        <f t="shared" si="82"/>
        <v>每日可购买竞技场&lt;color=#37c21b&gt;5&lt;/color&gt;次</v>
      </c>
      <c r="H61" s="1" t="str">
        <f t="shared" si="82"/>
        <v>单次副本最大扫荡次数提高至&lt;color=#37c21b&gt;20&lt;/color&gt;次</v>
      </c>
      <c r="I61" s="1" t="str">
        <f>IF(SUM(I$26:I41)&gt;0,SUBSTITUTE(I$25,"x",I19,1),"")</f>
        <v>竞技场冷却时间降至&lt;color=#37c21b&gt;1&lt;/color&gt;分钟</v>
      </c>
      <c r="J61" s="1" t="str">
        <f>IF(SUM(J$26:J41)&gt;0,J$25,"")</f>
        <v>公会内可使用高级建设功能</v>
      </c>
      <c r="K61" s="1" t="str">
        <f>IF(SUM(K$26:K41)&gt;0,SUBSTITUTE(K$25,"x",K19,1),"")</f>
        <v>每日可领取高级令&lt;color=#37c21b&gt;1&lt;/color&gt;个</v>
      </c>
      <c r="L61" s="1" t="str">
        <f>IF(SUM(L$26:L41)&gt;0,SUBSTITUTE(L$25,"x",L19,1),"")</f>
        <v>每日可领取顶级令&lt;color=#37c21b&gt;1&lt;/color&gt;个</v>
      </c>
      <c r="M61" s="1" t="str">
        <f>IF(SUM(M$26:M41)&gt;0,M$25,"")</f>
        <v>可快速完成勇士试炼任务</v>
      </c>
      <c r="N61" s="1" t="str">
        <f>IF(SUM(N$26:N41)&gt;0,N$25,"")</f>
        <v>每日可参与组队副本&lt;color=#37c21b&gt;x&lt;/color&gt;次</v>
      </c>
      <c r="O61" s="1" t="str">
        <f>IF(SUM(O$26:O41)&gt;0,O$25,"")</f>
        <v>每日可参与符石争夺&lt;color=#37c21b&gt;x&lt;/color&gt;次</v>
      </c>
      <c r="P61" s="1" t="str">
        <f>IF(SUM(P$26:P41)&gt;0,P$25,"")</f>
        <v>每日可购买符石争夺&lt;color=#37c21b&gt;x&lt;/color&gt;次</v>
      </c>
      <c r="Q61" s="1" t="str">
        <f>IF(SUM(Q$26:Q41)&gt;0,Q$25,"")</f>
        <v>开启五连扫荡功能</v>
      </c>
      <c r="R61" s="1" t="str">
        <f>IF(SUM(R$26:R41)&gt;0,R$25,"")</f>
        <v>每日可参与擂台赛&lt;color=#37c21b&gt;x&lt;/color&gt;次</v>
      </c>
      <c r="S61" s="1" t="str">
        <f>IF(SUM(S$26:S41)&gt;0,S$25,"")</f>
        <v>每日可购买擂台赛&lt;color=#37c21b&gt;x&lt;/color&gt;次</v>
      </c>
      <c r="T61" s="1" t="str">
        <f>IF(SUM(T$26:T41)&gt;0,T$25,"")</f>
        <v>每日可参与大乱斗&lt;color=#37c21b&gt;x&lt;/color&gt;次</v>
      </c>
      <c r="U61" s="1" t="str">
        <f>IF(SUM(U$26:U41)&gt;0,U$25,"")</f>
        <v>每日可购买大乱斗&lt;color=#37c21b&gt;x&lt;/color&gt;次</v>
      </c>
      <c r="V61" s="1" t="str">
        <f>IF(SUM(V$26:V41)&gt;0,V$25,"")</f>
        <v>每日可参与排位赛&lt;color=#37c21b&gt;x&lt;/color&gt;次</v>
      </c>
      <c r="W61" s="1" t="str">
        <f>IF(SUM(W$26:W41)&gt;0,W$25,"")</f>
        <v>每日可购买排位赛&lt;color=#37c21b&gt;x&lt;/color&gt;次</v>
      </c>
      <c r="X61" s="1" t="str">
        <f>IF(SUM(X$26:X41)&gt;0,X$25,"")</f>
        <v>每日可参与跨服演武&lt;color=#37c21b&gt;x&lt;/color&gt;次</v>
      </c>
      <c r="Y61" s="1" t="str">
        <f>IF(SUM(Y$26:Y41)&gt;0,Y$25,"")</f>
        <v/>
      </c>
      <c r="Z61" s="1" t="str">
        <f>IF(SUM(Z$26:Z41)&gt;0,Z$25,"")</f>
        <v>可在时装界面购买时装</v>
      </c>
      <c r="AA61" s="1" t="str">
        <f>IF(SUM(AA$26:AA41)&gt;0,AA$25,"")</f>
        <v>每日精英关卡挑战加&lt;color=#37c21b&gt;1&lt;/color&gt;次</v>
      </c>
      <c r="AB61" s="1" t="str">
        <f>IF(SUM(AB$26:AB41)&gt;0,AB$25,"")</f>
        <v>可快速完成探险寻宝任务</v>
      </c>
      <c r="AC61" s="1" t="str">
        <f>IF(SUM(AC$26:AC41)&gt;0,AC$25,"")</f>
        <v>超神之路各难度通关后可直接扫荡</v>
      </c>
      <c r="AD61" s="1" t="str">
        <f>IF(SUM(AD$26:AD41)&gt;0,AD$25,"")</f>
        <v>可在精彩活动界面购买投资计划</v>
      </c>
      <c r="AE61" s="1" t="str">
        <f>IF(SUM(AE$26:AE41)&gt;0,AE$25,"")</f>
        <v>可在公会使用高级捐献</v>
      </c>
      <c r="AF61" s="1" t="str">
        <f>IF(SUM(AF$26:AF41)&gt;0,AF$25,"")</f>
        <v>可使用觉醒十次功能</v>
      </c>
      <c r="AG61" s="1" t="str">
        <f>IF(SUM(AG$26:AG41)&gt;0,AG$25,"")</f>
        <v>每日可开启神秘魔石增加&lt;color=#37c21b&gt;x&lt;/color&gt;次</v>
      </c>
    </row>
    <row r="62" spans="2:33">
      <c r="B62" s="1">
        <v>16</v>
      </c>
      <c r="C62" s="1" t="str">
        <f>IF(SUM(C$26:C42)&gt;0,SUBSTITUTE(C$25,"x",C20,1),"")</f>
        <v>需要充值达到&lt;color=#37c21b&gt;300000&lt;/color&gt;钻石即可享受相应特权</v>
      </c>
      <c r="D62" s="1" t="str">
        <f>IF(SUM(D$26:D42)&gt;0,SUBSTITUTE(D$25,"x",D20,1),"")</f>
        <v>每日可购买体力&lt;color=#37c21b&gt;18&lt;/color&gt;次</v>
      </c>
      <c r="E62" s="1" t="str">
        <f>IF(SUM(E$26:E42)&gt;0,SUBSTITUTE(E$25,"x",E20,1),"")</f>
        <v>每日可点金&lt;color=#37c21b&gt;160&lt;/color&gt;次</v>
      </c>
      <c r="F62" s="1" t="str">
        <f t="shared" si="83"/>
        <v>每天每个精英副本可重置&lt;color=#37c21b&gt;5&lt;/color&gt;次</v>
      </c>
      <c r="G62" s="1" t="str">
        <f t="shared" si="82"/>
        <v>每日可购买竞技场&lt;color=#37c21b&gt;5&lt;/color&gt;次</v>
      </c>
      <c r="H62" s="1" t="str">
        <f t="shared" si="82"/>
        <v>单次副本最大扫荡次数提高至&lt;color=#37c21b&gt;20&lt;/color&gt;次</v>
      </c>
      <c r="I62" s="1" t="str">
        <f>IF(SUM(I$26:I42)&gt;0,SUBSTITUTE(I$25,"x",I20,1),"")</f>
        <v>竞技场冷却时间降至&lt;color=#37c21b&gt;1&lt;/color&gt;分钟</v>
      </c>
      <c r="J62" s="1" t="str">
        <f>IF(SUM(J$26:J42)&gt;0,J$25,"")</f>
        <v>公会内可使用高级建设功能</v>
      </c>
      <c r="K62" s="1" t="str">
        <f>IF(SUM(K$26:K42)&gt;0,SUBSTITUTE(K$25,"x",K20,1),"")</f>
        <v>每日可领取高级令&lt;color=#37c21b&gt;1&lt;/color&gt;个</v>
      </c>
      <c r="L62" s="1" t="str">
        <f>IF(SUM(L$26:L42)&gt;0,SUBSTITUTE(L$25,"x",L20,1),"")</f>
        <v>每日可领取顶级令&lt;color=#37c21b&gt;1&lt;/color&gt;个</v>
      </c>
      <c r="M62" s="1" t="str">
        <f>IF(SUM(M$26:M42)&gt;0,M$25,"")</f>
        <v>可快速完成勇士试炼任务</v>
      </c>
      <c r="N62" s="1" t="str">
        <f>IF(SUM(N$26:N42)&gt;0,N$25,"")</f>
        <v>每日可参与组队副本&lt;color=#37c21b&gt;x&lt;/color&gt;次</v>
      </c>
      <c r="O62" s="1" t="str">
        <f>IF(SUM(O$26:O42)&gt;0,O$25,"")</f>
        <v>每日可参与符石争夺&lt;color=#37c21b&gt;x&lt;/color&gt;次</v>
      </c>
      <c r="P62" s="1" t="str">
        <f>IF(SUM(P$26:P42)&gt;0,P$25,"")</f>
        <v>每日可购买符石争夺&lt;color=#37c21b&gt;x&lt;/color&gt;次</v>
      </c>
      <c r="Q62" s="1" t="str">
        <f>IF(SUM(Q$26:Q42)&gt;0,Q$25,"")</f>
        <v>开启五连扫荡功能</v>
      </c>
      <c r="R62" s="1" t="str">
        <f>IF(SUM(R$26:R42)&gt;0,R$25,"")</f>
        <v>每日可参与擂台赛&lt;color=#37c21b&gt;x&lt;/color&gt;次</v>
      </c>
      <c r="S62" s="1" t="str">
        <f>IF(SUM(S$26:S42)&gt;0,S$25,"")</f>
        <v>每日可购买擂台赛&lt;color=#37c21b&gt;x&lt;/color&gt;次</v>
      </c>
      <c r="T62" s="1" t="str">
        <f>IF(SUM(T$26:T42)&gt;0,T$25,"")</f>
        <v>每日可参与大乱斗&lt;color=#37c21b&gt;x&lt;/color&gt;次</v>
      </c>
      <c r="U62" s="1" t="str">
        <f>IF(SUM(U$26:U42)&gt;0,U$25,"")</f>
        <v>每日可购买大乱斗&lt;color=#37c21b&gt;x&lt;/color&gt;次</v>
      </c>
      <c r="V62" s="1" t="str">
        <f>IF(SUM(V$26:V42)&gt;0,V$25,"")</f>
        <v>每日可参与排位赛&lt;color=#37c21b&gt;x&lt;/color&gt;次</v>
      </c>
      <c r="W62" s="1" t="str">
        <f>IF(SUM(W$26:W42)&gt;0,W$25,"")</f>
        <v>每日可购买排位赛&lt;color=#37c21b&gt;x&lt;/color&gt;次</v>
      </c>
      <c r="X62" s="1" t="str">
        <f>IF(SUM(X$26:X42)&gt;0,X$25,"")</f>
        <v>每日可参与跨服演武&lt;color=#37c21b&gt;x&lt;/color&gt;次</v>
      </c>
      <c r="Y62" s="1" t="str">
        <f>IF(SUM(Y$26:Y42)&gt;0,Y$25,"")</f>
        <v/>
      </c>
      <c r="Z62" s="1" t="str">
        <f>IF(SUM(Z$26:Z42)&gt;0,Z$25,"")</f>
        <v>可在时装界面购买时装</v>
      </c>
      <c r="AA62" s="1" t="str">
        <f>IF(SUM(AA$26:AA42)&gt;0,AA$25,"")</f>
        <v>每日精英关卡挑战加&lt;color=#37c21b&gt;1&lt;/color&gt;次</v>
      </c>
      <c r="AB62" s="1" t="str">
        <f>IF(SUM(AB$26:AB42)&gt;0,AB$25,"")</f>
        <v>可快速完成探险寻宝任务</v>
      </c>
      <c r="AC62" s="1" t="str">
        <f>IF(SUM(AC$26:AC42)&gt;0,AC$25,"")</f>
        <v>超神之路各难度通关后可直接扫荡</v>
      </c>
      <c r="AD62" s="1" t="str">
        <f>IF(SUM(AD$26:AD42)&gt;0,AD$25,"")</f>
        <v>可在精彩活动界面购买投资计划</v>
      </c>
      <c r="AE62" s="1" t="str">
        <f>IF(SUM(AE$26:AE42)&gt;0,AE$25,"")</f>
        <v>可在公会使用高级捐献</v>
      </c>
      <c r="AF62" s="1" t="str">
        <f>IF(SUM(AF$26:AF42)&gt;0,AF$25,"")</f>
        <v>可使用觉醒十次功能</v>
      </c>
      <c r="AG62" s="1" t="str">
        <f>IF(SUM(AG$26:AG42)&gt;0,AG$25,"")</f>
        <v>每日可开启神秘魔石增加&lt;color=#37c21b&gt;x&lt;/color&gt;次</v>
      </c>
    </row>
    <row r="63" spans="2:33">
      <c r="B63" s="1">
        <v>17</v>
      </c>
      <c r="C63" s="1" t="str">
        <f>IF(SUM(C$26:C43)&gt;0,SUBSTITUTE(C$25,"x",C21,1),"")</f>
        <v>需要充值达到&lt;color=#37c21b&gt;500000&lt;/color&gt;钻石即可享受相应特权</v>
      </c>
      <c r="D63" s="1" t="str">
        <f>IF(SUM(D$26:D43)&gt;0,SUBSTITUTE(D$25,"x",D21,1),"")</f>
        <v>每日可购买体力&lt;color=#37c21b&gt;19&lt;/color&gt;次</v>
      </c>
      <c r="E63" s="1" t="str">
        <f>IF(SUM(E$26:E43)&gt;0,SUBSTITUTE(E$25,"x",E21,1),"")</f>
        <v>每日可点金&lt;color=#37c21b&gt;160&lt;/color&gt;次</v>
      </c>
      <c r="F63" s="1" t="str">
        <f t="shared" si="83"/>
        <v>每天每个精英副本可重置&lt;color=#37c21b&gt;5&lt;/color&gt;次</v>
      </c>
      <c r="G63" s="1" t="str">
        <f t="shared" si="82"/>
        <v>每日可购买竞技场&lt;color=#37c21b&gt;5&lt;/color&gt;次</v>
      </c>
      <c r="H63" s="1" t="str">
        <f t="shared" si="82"/>
        <v>单次副本最大扫荡次数提高至&lt;color=#37c21b&gt;20&lt;/color&gt;次</v>
      </c>
      <c r="I63" s="1" t="str">
        <f>IF(SUM(I$26:I43)&gt;0,SUBSTITUTE(I$25,"x",I21,1),"")</f>
        <v>竞技场冷却时间降至&lt;color=#37c21b&gt;1&lt;/color&gt;分钟</v>
      </c>
      <c r="J63" s="1" t="str">
        <f>IF(SUM(J$26:J43)&gt;0,J$25,"")</f>
        <v>公会内可使用高级建设功能</v>
      </c>
      <c r="K63" s="1" t="str">
        <f>IF(SUM(K$26:K43)&gt;0,SUBSTITUTE(K$25,"x",K21,1),"")</f>
        <v>每日可领取高级令&lt;color=#37c21b&gt;1&lt;/color&gt;个</v>
      </c>
      <c r="L63" s="1" t="str">
        <f>IF(SUM(L$26:L43)&gt;0,SUBSTITUTE(L$25,"x",L21,1),"")</f>
        <v>每日可领取顶级令&lt;color=#37c21b&gt;1&lt;/color&gt;个</v>
      </c>
      <c r="M63" s="1" t="str">
        <f>IF(SUM(M$26:M43)&gt;0,M$25,"")</f>
        <v>可快速完成勇士试炼任务</v>
      </c>
      <c r="N63" s="1" t="str">
        <f>IF(SUM(N$26:N43)&gt;0,N$25,"")</f>
        <v>每日可参与组队副本&lt;color=#37c21b&gt;x&lt;/color&gt;次</v>
      </c>
      <c r="O63" s="1" t="str">
        <f>IF(SUM(O$26:O43)&gt;0,O$25,"")</f>
        <v>每日可参与符石争夺&lt;color=#37c21b&gt;x&lt;/color&gt;次</v>
      </c>
      <c r="P63" s="1" t="str">
        <f>IF(SUM(P$26:P43)&gt;0,P$25,"")</f>
        <v>每日可购买符石争夺&lt;color=#37c21b&gt;x&lt;/color&gt;次</v>
      </c>
      <c r="Q63" s="1" t="str">
        <f>IF(SUM(Q$26:Q43)&gt;0,Q$25,"")</f>
        <v>开启五连扫荡功能</v>
      </c>
      <c r="R63" s="1" t="str">
        <f>IF(SUM(R$26:R43)&gt;0,R$25,"")</f>
        <v>每日可参与擂台赛&lt;color=#37c21b&gt;x&lt;/color&gt;次</v>
      </c>
      <c r="S63" s="1" t="str">
        <f>IF(SUM(S$26:S43)&gt;0,S$25,"")</f>
        <v>每日可购买擂台赛&lt;color=#37c21b&gt;x&lt;/color&gt;次</v>
      </c>
      <c r="T63" s="1" t="str">
        <f>IF(SUM(T$26:T43)&gt;0,T$25,"")</f>
        <v>每日可参与大乱斗&lt;color=#37c21b&gt;x&lt;/color&gt;次</v>
      </c>
      <c r="U63" s="1" t="str">
        <f>IF(SUM(U$26:U43)&gt;0,U$25,"")</f>
        <v>每日可购买大乱斗&lt;color=#37c21b&gt;x&lt;/color&gt;次</v>
      </c>
      <c r="V63" s="1" t="str">
        <f>IF(SUM(V$26:V43)&gt;0,V$25,"")</f>
        <v>每日可参与排位赛&lt;color=#37c21b&gt;x&lt;/color&gt;次</v>
      </c>
      <c r="W63" s="1" t="str">
        <f>IF(SUM(W$26:W43)&gt;0,W$25,"")</f>
        <v>每日可购买排位赛&lt;color=#37c21b&gt;x&lt;/color&gt;次</v>
      </c>
      <c r="X63" s="1" t="str">
        <f>IF(SUM(X$26:X43)&gt;0,X$25,"")</f>
        <v>每日可参与跨服演武&lt;color=#37c21b&gt;x&lt;/color&gt;次</v>
      </c>
      <c r="Y63" s="1" t="str">
        <f>IF(SUM(Y$26:Y43)&gt;0,Y$25,"")</f>
        <v/>
      </c>
      <c r="Z63" s="1" t="str">
        <f>IF(SUM(Z$26:Z43)&gt;0,Z$25,"")</f>
        <v>可在时装界面购买时装</v>
      </c>
      <c r="AA63" s="1" t="str">
        <f>IF(SUM(AA$26:AA43)&gt;0,AA$25,"")</f>
        <v>每日精英关卡挑战加&lt;color=#37c21b&gt;1&lt;/color&gt;次</v>
      </c>
      <c r="AB63" s="1" t="str">
        <f>IF(SUM(AB$26:AB43)&gt;0,AB$25,"")</f>
        <v>可快速完成探险寻宝任务</v>
      </c>
      <c r="AC63" s="1" t="str">
        <f>IF(SUM(AC$26:AC43)&gt;0,AC$25,"")</f>
        <v>超神之路各难度通关后可直接扫荡</v>
      </c>
      <c r="AD63" s="1" t="str">
        <f>IF(SUM(AD$26:AD43)&gt;0,AD$25,"")</f>
        <v>可在精彩活动界面购买投资计划</v>
      </c>
      <c r="AE63" s="1" t="str">
        <f>IF(SUM(AE$26:AE43)&gt;0,AE$25,"")</f>
        <v>可在公会使用高级捐献</v>
      </c>
      <c r="AF63" s="1" t="str">
        <f>IF(SUM(AF$26:AF43)&gt;0,AF$25,"")</f>
        <v>可使用觉醒十次功能</v>
      </c>
      <c r="AG63" s="1" t="str">
        <f>IF(SUM(AG$26:AG43)&gt;0,AG$25,"")</f>
        <v>每日可开启神秘魔石增加&lt;color=#37c21b&gt;x&lt;/color&gt;次</v>
      </c>
    </row>
    <row r="64" spans="2:33">
      <c r="B64" s="1">
        <v>18</v>
      </c>
      <c r="C64" s="1" t="str">
        <f>IF(SUM(C$26:C44)&gt;0,SUBSTITUTE(C$25,"x",C22,1),"")</f>
        <v>需要充值达到&lt;color=#37c21b&gt;800000&lt;/color&gt;钻石即可享受相应特权</v>
      </c>
      <c r="D64" s="1" t="str">
        <f>IF(SUM(D$26:D44)&gt;0,SUBSTITUTE(D$25,"x",D22,1),"")</f>
        <v>每日可购买体力&lt;color=#37c21b&gt;20&lt;/color&gt;次</v>
      </c>
      <c r="E64" s="1" t="str">
        <f>IF(SUM(E$26:E44)&gt;0,SUBSTITUTE(E$25,"x",E22,1),"")</f>
        <v>每日可点金&lt;color=#37c21b&gt;160&lt;/color&gt;次</v>
      </c>
      <c r="F64" s="1" t="str">
        <f t="shared" si="83"/>
        <v>每天每个精英副本可重置&lt;color=#37c21b&gt;5&lt;/color&gt;次</v>
      </c>
      <c r="G64" s="1" t="str">
        <f t="shared" si="82"/>
        <v>每日可购买竞技场&lt;color=#37c21b&gt;5&lt;/color&gt;次</v>
      </c>
      <c r="H64" s="1" t="str">
        <f t="shared" si="82"/>
        <v>单次副本最大扫荡次数提高至&lt;color=#37c21b&gt;20&lt;/color&gt;次</v>
      </c>
      <c r="I64" s="1" t="str">
        <f>IF(SUM(I$26:I44)&gt;0,SUBSTITUTE(I$25,"x",I22,1),"")</f>
        <v>竞技场冷却时间降至&lt;color=#37c21b&gt;1&lt;/color&gt;分钟</v>
      </c>
      <c r="J64" s="1" t="str">
        <f>IF(SUM(J$26:J44)&gt;0,J$25,"")</f>
        <v>公会内可使用高级建设功能</v>
      </c>
      <c r="K64" s="1" t="str">
        <f>IF(SUM(K$26:K44)&gt;0,SUBSTITUTE(K$25,"x",K22,1),"")</f>
        <v>每日可领取高级令&lt;color=#37c21b&gt;1&lt;/color&gt;个</v>
      </c>
      <c r="L64" s="1" t="str">
        <f>IF(SUM(L$26:L44)&gt;0,SUBSTITUTE(L$25,"x",L22,1),"")</f>
        <v>每日可领取顶级令&lt;color=#37c21b&gt;1&lt;/color&gt;个</v>
      </c>
      <c r="M64" s="1" t="str">
        <f>IF(SUM(M$26:M44)&gt;0,M$25,"")</f>
        <v>可快速完成勇士试炼任务</v>
      </c>
      <c r="N64" s="1" t="str">
        <f>IF(SUM(N$26:N44)&gt;0,N$25,"")</f>
        <v>每日可参与组队副本&lt;color=#37c21b&gt;x&lt;/color&gt;次</v>
      </c>
      <c r="O64" s="1" t="str">
        <f>IF(SUM(O$26:O44)&gt;0,O$25,"")</f>
        <v>每日可参与符石争夺&lt;color=#37c21b&gt;x&lt;/color&gt;次</v>
      </c>
      <c r="P64" s="1" t="str">
        <f>IF(SUM(P$26:P44)&gt;0,P$25,"")</f>
        <v>每日可购买符石争夺&lt;color=#37c21b&gt;x&lt;/color&gt;次</v>
      </c>
      <c r="Q64" s="1" t="str">
        <f>IF(SUM(Q$26:Q44)&gt;0,Q$25,"")</f>
        <v>开启五连扫荡功能</v>
      </c>
      <c r="R64" s="1" t="str">
        <f>IF(SUM(R$26:R44)&gt;0,R$25,"")</f>
        <v>每日可参与擂台赛&lt;color=#37c21b&gt;x&lt;/color&gt;次</v>
      </c>
      <c r="S64" s="1" t="str">
        <f>IF(SUM(S$26:S44)&gt;0,S$25,"")</f>
        <v>每日可购买擂台赛&lt;color=#37c21b&gt;x&lt;/color&gt;次</v>
      </c>
      <c r="T64" s="1" t="str">
        <f>IF(SUM(T$26:T44)&gt;0,T$25,"")</f>
        <v>每日可参与大乱斗&lt;color=#37c21b&gt;x&lt;/color&gt;次</v>
      </c>
      <c r="U64" s="1" t="str">
        <f>IF(SUM(U$26:U44)&gt;0,U$25,"")</f>
        <v>每日可购买大乱斗&lt;color=#37c21b&gt;x&lt;/color&gt;次</v>
      </c>
      <c r="V64" s="1" t="str">
        <f>IF(SUM(V$26:V44)&gt;0,V$25,"")</f>
        <v>每日可参与排位赛&lt;color=#37c21b&gt;x&lt;/color&gt;次</v>
      </c>
      <c r="W64" s="1" t="str">
        <f>IF(SUM(W$26:W44)&gt;0,W$25,"")</f>
        <v>每日可购买排位赛&lt;color=#37c21b&gt;x&lt;/color&gt;次</v>
      </c>
      <c r="X64" s="1" t="str">
        <f>IF(SUM(X$26:X44)&gt;0,X$25,"")</f>
        <v>每日可参与跨服演武&lt;color=#37c21b&gt;x&lt;/color&gt;次</v>
      </c>
      <c r="Y64" s="1" t="str">
        <f>IF(SUM(Y$26:Y44)&gt;0,Y$25,"")</f>
        <v/>
      </c>
      <c r="Z64" s="1" t="str">
        <f>IF(SUM(Z$26:Z44)&gt;0,Z$25,"")</f>
        <v>可在时装界面购买时装</v>
      </c>
      <c r="AA64" s="1" t="str">
        <f>IF(SUM(AA$26:AA44)&gt;0,AA$25,"")</f>
        <v>每日精英关卡挑战加&lt;color=#37c21b&gt;1&lt;/color&gt;次</v>
      </c>
      <c r="AB64" s="1" t="str">
        <f>IF(SUM(AB$26:AB44)&gt;0,AB$25,"")</f>
        <v>可快速完成探险寻宝任务</v>
      </c>
      <c r="AC64" s="1" t="str">
        <f>IF(SUM(AC$26:AC44)&gt;0,AC$25,"")</f>
        <v>超神之路各难度通关后可直接扫荡</v>
      </c>
      <c r="AD64" s="1" t="str">
        <f>IF(SUM(AD$26:AD44)&gt;0,AD$25,"")</f>
        <v>可在精彩活动界面购买投资计划</v>
      </c>
      <c r="AE64" s="1" t="str">
        <f>IF(SUM(AE$26:AE44)&gt;0,AE$25,"")</f>
        <v>可在公会使用高级捐献</v>
      </c>
      <c r="AF64" s="1" t="str">
        <f>IF(SUM(AF$26:AF44)&gt;0,AF$25,"")</f>
        <v>可使用觉醒十次功能</v>
      </c>
      <c r="AG64" s="1" t="str">
        <f>IF(SUM(AG$26:AG44)&gt;0,AG$25,"")</f>
        <v>每日可开启神秘魔石增加&lt;color=#37c21b&gt;x&lt;/color&gt;次</v>
      </c>
    </row>
    <row r="65" spans="2:33" s="6" customFormat="1"/>
    <row r="66" spans="2:33">
      <c r="B66" s="1">
        <v>0</v>
      </c>
      <c r="C66" s="1" t="str">
        <f>IF(C46="","",IF(C26=1,C46,C46))</f>
        <v/>
      </c>
      <c r="D66" s="1" t="str">
        <f>IF(D46="","",IF(D26=1,D46,D46))</f>
        <v>每日可购买体力&lt;color=#37c21b&gt;2&lt;/color&gt;次</v>
      </c>
      <c r="E66" s="1" t="str">
        <f>IF(E46="","",IF(E26=1,E46,E46))</f>
        <v>每日可点金&lt;color=#37c21b&gt;3&lt;/color&gt;次</v>
      </c>
      <c r="F66" s="1" t="str">
        <f t="shared" ref="F66:AG75" si="84">IF(F46="","",IF(F26=1,"&lt;color=#37c21b&gt;"&amp;F46&amp;"&lt;/color&gt;",F46))</f>
        <v>每天每个精英副本可重置&lt;color=#37c21b&gt;1&lt;/color&gt;次</v>
      </c>
      <c r="G66" s="1" t="str">
        <f t="shared" si="84"/>
        <v>每日可购买竞技场&lt;color=#37c21b&gt;2&lt;/color&gt;次</v>
      </c>
      <c r="H66" s="1" t="str">
        <f t="shared" si="84"/>
        <v>单次副本最大扫荡次数提高至&lt;color=#37c21b&gt;5&lt;/color&gt;次</v>
      </c>
      <c r="I66" s="1" t="str">
        <f t="shared" si="84"/>
        <v/>
      </c>
      <c r="J66" s="1" t="str">
        <f t="shared" si="84"/>
        <v/>
      </c>
      <c r="K66" s="1" t="str">
        <f t="shared" si="84"/>
        <v/>
      </c>
      <c r="L66" s="1" t="str">
        <f t="shared" si="84"/>
        <v/>
      </c>
      <c r="M66" s="1" t="str">
        <f t="shared" si="84"/>
        <v/>
      </c>
      <c r="N66" s="1" t="str">
        <f t="shared" si="84"/>
        <v/>
      </c>
      <c r="O66" s="1" t="str">
        <f t="shared" si="84"/>
        <v/>
      </c>
      <c r="P66" s="1" t="str">
        <f t="shared" si="84"/>
        <v/>
      </c>
      <c r="Q66" s="1" t="str">
        <f t="shared" si="84"/>
        <v/>
      </c>
      <c r="R66" s="1" t="str">
        <f t="shared" si="84"/>
        <v/>
      </c>
      <c r="S66" s="1" t="str">
        <f t="shared" si="84"/>
        <v/>
      </c>
      <c r="T66" s="1" t="str">
        <f t="shared" si="84"/>
        <v/>
      </c>
      <c r="U66" s="1" t="str">
        <f t="shared" si="84"/>
        <v/>
      </c>
      <c r="V66" s="1" t="str">
        <f t="shared" si="84"/>
        <v/>
      </c>
      <c r="W66" s="1" t="str">
        <f t="shared" si="84"/>
        <v/>
      </c>
      <c r="X66" s="1" t="str">
        <f t="shared" si="84"/>
        <v/>
      </c>
      <c r="Y66" s="1" t="str">
        <f t="shared" si="84"/>
        <v/>
      </c>
      <c r="Z66" s="1" t="str">
        <f t="shared" si="84"/>
        <v/>
      </c>
      <c r="AA66" s="1" t="str">
        <f t="shared" si="84"/>
        <v/>
      </c>
      <c r="AB66" s="1" t="str">
        <f t="shared" si="84"/>
        <v/>
      </c>
      <c r="AC66" s="1" t="str">
        <f t="shared" si="84"/>
        <v/>
      </c>
      <c r="AD66" s="1" t="str">
        <f t="shared" si="84"/>
        <v/>
      </c>
      <c r="AE66" s="1" t="str">
        <f t="shared" si="84"/>
        <v/>
      </c>
      <c r="AF66" s="1" t="str">
        <f t="shared" si="84"/>
        <v/>
      </c>
      <c r="AG66" s="1" t="str">
        <f t="shared" si="84"/>
        <v/>
      </c>
    </row>
    <row r="67" spans="2:33">
      <c r="B67" s="1">
        <v>1</v>
      </c>
      <c r="C67" s="1" t="str">
        <f t="shared" ref="C67" si="85">IF(C47="","",IF(C27=1,C47,C47))</f>
        <v>需要充值达到&lt;color=#37c21b&gt;60&lt;/color&gt;钻石即可享受相应特权</v>
      </c>
      <c r="D67" s="1" t="str">
        <f t="shared" ref="D67:E84" si="86">IF(D47="","",IF(D27=1,D47,D47))</f>
        <v>每日可购买体力&lt;color=#37c21b&gt;3&lt;/color&gt;次</v>
      </c>
      <c r="E67" s="1" t="str">
        <f t="shared" si="86"/>
        <v>每日可点金&lt;color=#37c21b&gt;5&lt;/color&gt;次</v>
      </c>
      <c r="F67" s="1" t="str">
        <f t="shared" ref="F67:S67" si="87">IF(F47="","",IF(F27=1,"&lt;color=#37c21b&gt;"&amp;F47&amp;"&lt;/color&gt;",F47))</f>
        <v>每天每个精英副本可重置&lt;color=#37c21b&gt;1&lt;/color&gt;次</v>
      </c>
      <c r="G67" s="1" t="str">
        <f t="shared" si="87"/>
        <v>每日可购买竞技场&lt;color=#37c21b&gt;2&lt;/color&gt;次</v>
      </c>
      <c r="H67" s="1" t="str">
        <f t="shared" si="87"/>
        <v>单次副本最大扫荡次数提高至&lt;color=#37c21b&gt;5&lt;/color&gt;次</v>
      </c>
      <c r="I67" s="1" t="str">
        <f t="shared" si="87"/>
        <v/>
      </c>
      <c r="J67" s="1" t="str">
        <f t="shared" si="87"/>
        <v/>
      </c>
      <c r="K67" s="1" t="str">
        <f t="shared" si="87"/>
        <v/>
      </c>
      <c r="L67" s="1" t="str">
        <f t="shared" si="87"/>
        <v/>
      </c>
      <c r="M67" s="1" t="str">
        <f t="shared" si="87"/>
        <v/>
      </c>
      <c r="N67" s="1" t="str">
        <f t="shared" si="87"/>
        <v/>
      </c>
      <c r="O67" s="1" t="str">
        <f t="shared" si="87"/>
        <v/>
      </c>
      <c r="P67" s="1" t="str">
        <f t="shared" si="87"/>
        <v/>
      </c>
      <c r="Q67" s="1" t="str">
        <f t="shared" si="87"/>
        <v/>
      </c>
      <c r="R67" s="1" t="str">
        <f t="shared" si="87"/>
        <v/>
      </c>
      <c r="S67" s="1" t="str">
        <f t="shared" si="87"/>
        <v/>
      </c>
      <c r="T67" s="1" t="str">
        <f t="shared" si="84"/>
        <v/>
      </c>
      <c r="U67" s="1" t="str">
        <f t="shared" si="84"/>
        <v/>
      </c>
      <c r="V67" s="1" t="str">
        <f t="shared" si="84"/>
        <v/>
      </c>
      <c r="W67" s="1" t="str">
        <f t="shared" si="84"/>
        <v/>
      </c>
      <c r="X67" s="1" t="str">
        <f t="shared" si="84"/>
        <v/>
      </c>
      <c r="Y67" s="1" t="str">
        <f t="shared" si="84"/>
        <v/>
      </c>
      <c r="Z67" s="1" t="str">
        <f t="shared" si="84"/>
        <v/>
      </c>
      <c r="AA67" s="1" t="str">
        <f t="shared" si="84"/>
        <v/>
      </c>
      <c r="AB67" s="1" t="str">
        <f t="shared" si="84"/>
        <v/>
      </c>
      <c r="AC67" s="1" t="str">
        <f t="shared" si="84"/>
        <v/>
      </c>
      <c r="AD67" s="1" t="str">
        <f t="shared" si="84"/>
        <v/>
      </c>
      <c r="AE67" s="1" t="str">
        <f t="shared" si="84"/>
        <v/>
      </c>
      <c r="AF67" s="1" t="str">
        <f t="shared" si="84"/>
        <v/>
      </c>
      <c r="AG67" s="1" t="str">
        <f t="shared" si="84"/>
        <v>&lt;color=#37c21b&gt;每日可开启神秘魔石增加&lt;color=#37c21b&gt;x&lt;/color&gt;次&lt;/color&gt;</v>
      </c>
    </row>
    <row r="68" spans="2:33">
      <c r="B68" s="1">
        <v>2</v>
      </c>
      <c r="C68" s="1" t="str">
        <f t="shared" ref="C68" si="88">IF(C48="","",IF(C28=1,C48,C48))</f>
        <v>需要充值达到&lt;color=#37c21b&gt;300&lt;/color&gt;钻石即可享受相应特权</v>
      </c>
      <c r="D68" s="1" t="str">
        <f t="shared" si="86"/>
        <v>每日可购买体力&lt;color=#37c21b&gt;4&lt;/color&gt;次</v>
      </c>
      <c r="E68" s="1" t="str">
        <f t="shared" si="86"/>
        <v>每日可点金&lt;color=#37c21b&gt;7&lt;/color&gt;次</v>
      </c>
      <c r="F68" s="1" t="str">
        <f t="shared" si="84"/>
        <v>&lt;color=#37c21b&gt;每天每个精英副本可重置&lt;color=#37c21b&gt;2&lt;/color&gt;次&lt;/color&gt;</v>
      </c>
      <c r="G68" s="1" t="str">
        <f t="shared" si="84"/>
        <v>每日可购买竞技场&lt;color=#37c21b&gt;2&lt;/color&gt;次</v>
      </c>
      <c r="H68" s="1" t="str">
        <f t="shared" si="84"/>
        <v>单次副本最大扫荡次数提高至&lt;color=#37c21b&gt;5&lt;/color&gt;次</v>
      </c>
      <c r="I68" s="1" t="str">
        <f t="shared" si="84"/>
        <v/>
      </c>
      <c r="J68" s="1" t="str">
        <f t="shared" si="84"/>
        <v/>
      </c>
      <c r="K68" s="1" t="str">
        <f t="shared" si="84"/>
        <v/>
      </c>
      <c r="L68" s="1" t="str">
        <f t="shared" si="84"/>
        <v/>
      </c>
      <c r="M68" s="1" t="str">
        <f t="shared" si="84"/>
        <v/>
      </c>
      <c r="N68" s="1" t="str">
        <f t="shared" si="84"/>
        <v/>
      </c>
      <c r="O68" s="1" t="str">
        <f t="shared" si="84"/>
        <v/>
      </c>
      <c r="P68" s="1" t="str">
        <f t="shared" si="84"/>
        <v/>
      </c>
      <c r="Q68" s="1" t="str">
        <f t="shared" si="84"/>
        <v/>
      </c>
      <c r="R68" s="1" t="str">
        <f t="shared" si="84"/>
        <v/>
      </c>
      <c r="S68" s="1" t="str">
        <f t="shared" si="84"/>
        <v/>
      </c>
      <c r="T68" s="1" t="str">
        <f t="shared" si="84"/>
        <v/>
      </c>
      <c r="U68" s="1" t="str">
        <f t="shared" si="84"/>
        <v/>
      </c>
      <c r="V68" s="1" t="str">
        <f t="shared" si="84"/>
        <v/>
      </c>
      <c r="W68" s="1" t="str">
        <f t="shared" si="84"/>
        <v/>
      </c>
      <c r="X68" s="1" t="str">
        <f t="shared" si="84"/>
        <v/>
      </c>
      <c r="Y68" s="1" t="str">
        <f t="shared" si="84"/>
        <v/>
      </c>
      <c r="Z68" s="1" t="str">
        <f t="shared" si="84"/>
        <v/>
      </c>
      <c r="AA68" s="1" t="str">
        <f t="shared" si="84"/>
        <v/>
      </c>
      <c r="AB68" s="1" t="str">
        <f t="shared" si="84"/>
        <v/>
      </c>
      <c r="AC68" s="1" t="str">
        <f t="shared" si="84"/>
        <v/>
      </c>
      <c r="AD68" s="1" t="str">
        <f t="shared" si="84"/>
        <v/>
      </c>
      <c r="AE68" s="1" t="str">
        <f t="shared" si="84"/>
        <v/>
      </c>
      <c r="AF68" s="1" t="str">
        <f t="shared" si="84"/>
        <v/>
      </c>
      <c r="AG68" s="1" t="str">
        <f t="shared" si="84"/>
        <v>每日可开启神秘魔石增加&lt;color=#37c21b&gt;x&lt;/color&gt;次</v>
      </c>
    </row>
    <row r="69" spans="2:33">
      <c r="B69" s="1">
        <v>3</v>
      </c>
      <c r="C69" s="1" t="str">
        <f t="shared" ref="C69" si="89">IF(C49="","",IF(C29=1,C49,C49))</f>
        <v>需要充值达到&lt;color=#37c21b&gt;600&lt;/color&gt;钻石即可享受相应特权</v>
      </c>
      <c r="D69" s="1" t="str">
        <f t="shared" si="86"/>
        <v>每日可购买体力&lt;color=#37c21b&gt;5&lt;/color&gt;次</v>
      </c>
      <c r="E69" s="1" t="str">
        <f t="shared" si="86"/>
        <v>每日可点金&lt;color=#37c21b&gt;9&lt;/color&gt;次</v>
      </c>
      <c r="F69" s="1" t="str">
        <f t="shared" si="84"/>
        <v>每天每个精英副本可重置&lt;color=#37c21b&gt;2&lt;/color&gt;次</v>
      </c>
      <c r="G69" s="1" t="str">
        <f t="shared" si="84"/>
        <v>每日可购买竞技场&lt;color=#37c21b&gt;2&lt;/color&gt;次</v>
      </c>
      <c r="H69" s="1" t="str">
        <f t="shared" si="84"/>
        <v>单次副本最大扫荡次数提高至&lt;color=#37c21b&gt;5&lt;/color&gt;次</v>
      </c>
      <c r="I69" s="1" t="str">
        <f t="shared" si="84"/>
        <v/>
      </c>
      <c r="J69" s="1" t="str">
        <f t="shared" si="84"/>
        <v/>
      </c>
      <c r="K69" s="1" t="str">
        <f t="shared" si="84"/>
        <v/>
      </c>
      <c r="L69" s="1" t="str">
        <f t="shared" si="84"/>
        <v/>
      </c>
      <c r="M69" s="1" t="str">
        <f t="shared" si="84"/>
        <v/>
      </c>
      <c r="N69" s="1" t="str">
        <f t="shared" si="84"/>
        <v/>
      </c>
      <c r="O69" s="1" t="str">
        <f t="shared" si="84"/>
        <v/>
      </c>
      <c r="P69" s="1" t="str">
        <f t="shared" si="84"/>
        <v/>
      </c>
      <c r="Q69" s="1" t="str">
        <f t="shared" si="84"/>
        <v/>
      </c>
      <c r="R69" s="1" t="str">
        <f t="shared" si="84"/>
        <v/>
      </c>
      <c r="S69" s="1" t="str">
        <f t="shared" si="84"/>
        <v/>
      </c>
      <c r="T69" s="1" t="str">
        <f t="shared" si="84"/>
        <v/>
      </c>
      <c r="U69" s="1" t="str">
        <f t="shared" si="84"/>
        <v/>
      </c>
      <c r="V69" s="1" t="str">
        <f t="shared" si="84"/>
        <v/>
      </c>
      <c r="W69" s="1" t="str">
        <f t="shared" si="84"/>
        <v/>
      </c>
      <c r="X69" s="1" t="str">
        <f t="shared" si="84"/>
        <v/>
      </c>
      <c r="Y69" s="1" t="str">
        <f t="shared" si="84"/>
        <v/>
      </c>
      <c r="Z69" s="1" t="str">
        <f t="shared" si="84"/>
        <v>&lt;color=#37c21b&gt;可在时装界面购买时装&lt;/color&gt;</v>
      </c>
      <c r="AA69" s="1" t="str">
        <f t="shared" si="84"/>
        <v/>
      </c>
      <c r="AB69" s="1" t="str">
        <f t="shared" si="84"/>
        <v/>
      </c>
      <c r="AC69" s="1" t="str">
        <f t="shared" si="84"/>
        <v/>
      </c>
      <c r="AD69" s="1" t="str">
        <f t="shared" si="84"/>
        <v>&lt;color=#37c21b&gt;可在精彩活动界面购买投资计划&lt;/color&gt;</v>
      </c>
      <c r="AE69" s="1" t="str">
        <f t="shared" si="84"/>
        <v/>
      </c>
      <c r="AF69" s="1" t="str">
        <f t="shared" si="84"/>
        <v/>
      </c>
      <c r="AG69" s="1" t="str">
        <f t="shared" si="84"/>
        <v>每日可开启神秘魔石增加&lt;color=#37c21b&gt;x&lt;/color&gt;次</v>
      </c>
    </row>
    <row r="70" spans="2:33">
      <c r="B70" s="1">
        <v>4</v>
      </c>
      <c r="C70" s="1" t="str">
        <f t="shared" ref="C70" si="90">IF(C50="","",IF(C30=1,C50,C50))</f>
        <v>需要充值达到&lt;color=#37c21b&gt;1000&lt;/color&gt;钻石即可享受相应特权</v>
      </c>
      <c r="D70" s="1" t="str">
        <f t="shared" si="86"/>
        <v>每日可购买体力&lt;color=#37c21b&gt;6&lt;/color&gt;次</v>
      </c>
      <c r="E70" s="1" t="str">
        <f t="shared" si="86"/>
        <v>每日可点金&lt;color=#37c21b&gt;12&lt;/color&gt;次</v>
      </c>
      <c r="F70" s="1" t="str">
        <f t="shared" si="84"/>
        <v>每天每个精英副本可重置&lt;color=#37c21b&gt;2&lt;/color&gt;次</v>
      </c>
      <c r="G70" s="1" t="str">
        <f t="shared" si="84"/>
        <v>每日可购买竞技场&lt;color=#37c21b&gt;2&lt;/color&gt;次</v>
      </c>
      <c r="H70" s="1" t="str">
        <f t="shared" si="84"/>
        <v>单次副本最大扫荡次数提高至&lt;color=#37c21b&gt;10&lt;/color&gt;次</v>
      </c>
      <c r="I70" s="1" t="str">
        <f t="shared" si="84"/>
        <v/>
      </c>
      <c r="J70" s="1" t="str">
        <f t="shared" si="84"/>
        <v/>
      </c>
      <c r="K70" s="1" t="str">
        <f t="shared" si="84"/>
        <v/>
      </c>
      <c r="L70" s="1" t="str">
        <f t="shared" si="84"/>
        <v/>
      </c>
      <c r="M70" s="1" t="str">
        <f t="shared" si="84"/>
        <v/>
      </c>
      <c r="N70" s="1" t="str">
        <f t="shared" si="84"/>
        <v/>
      </c>
      <c r="O70" s="1" t="str">
        <f t="shared" si="84"/>
        <v/>
      </c>
      <c r="P70" s="1" t="str">
        <f t="shared" si="84"/>
        <v/>
      </c>
      <c r="Q70" s="1" t="str">
        <f t="shared" si="84"/>
        <v/>
      </c>
      <c r="R70" s="1" t="str">
        <f t="shared" si="84"/>
        <v/>
      </c>
      <c r="S70" s="1" t="str">
        <f t="shared" si="84"/>
        <v/>
      </c>
      <c r="T70" s="1" t="str">
        <f t="shared" si="84"/>
        <v/>
      </c>
      <c r="U70" s="1" t="str">
        <f t="shared" si="84"/>
        <v/>
      </c>
      <c r="V70" s="1" t="str">
        <f t="shared" si="84"/>
        <v/>
      </c>
      <c r="W70" s="1" t="str">
        <f t="shared" si="84"/>
        <v/>
      </c>
      <c r="X70" s="1" t="str">
        <f t="shared" si="84"/>
        <v/>
      </c>
      <c r="Y70" s="1" t="str">
        <f t="shared" si="84"/>
        <v/>
      </c>
      <c r="Z70" s="1" t="str">
        <f t="shared" si="84"/>
        <v>可在时装界面购买时装</v>
      </c>
      <c r="AA70" s="1" t="str">
        <f t="shared" si="84"/>
        <v/>
      </c>
      <c r="AB70" s="1" t="str">
        <f t="shared" si="84"/>
        <v/>
      </c>
      <c r="AC70" s="1" t="str">
        <f t="shared" si="84"/>
        <v/>
      </c>
      <c r="AD70" s="1" t="str">
        <f t="shared" si="84"/>
        <v>可在精彩活动界面购买投资计划</v>
      </c>
      <c r="AE70" s="1" t="str">
        <f t="shared" si="84"/>
        <v/>
      </c>
      <c r="AF70" s="1" t="str">
        <f t="shared" si="84"/>
        <v/>
      </c>
      <c r="AG70" s="1" t="str">
        <f t="shared" si="84"/>
        <v>每日可开启神秘魔石增加&lt;color=#37c21b&gt;x&lt;/color&gt;次</v>
      </c>
    </row>
    <row r="71" spans="2:33">
      <c r="B71" s="1">
        <v>5</v>
      </c>
      <c r="C71" s="1" t="str">
        <f t="shared" ref="C71" si="91">IF(C51="","",IF(C31=1,C51,C51))</f>
        <v>需要充值达到&lt;color=#37c21b&gt;2000&lt;/color&gt;钻石即可享受相应特权</v>
      </c>
      <c r="D71" s="1" t="str">
        <f t="shared" si="86"/>
        <v>每日可购买体力&lt;color=#37c21b&gt;7&lt;/color&gt;次</v>
      </c>
      <c r="E71" s="1" t="str">
        <f t="shared" si="86"/>
        <v>每日可点金&lt;color=#37c21b&gt;16&lt;/color&gt;次</v>
      </c>
      <c r="F71" s="1" t="str">
        <f t="shared" si="84"/>
        <v>&lt;color=#37c21b&gt;每天每个精英副本可重置&lt;color=#37c21b&gt;3&lt;/color&gt;次&lt;/color&gt;</v>
      </c>
      <c r="G71" s="1" t="str">
        <f t="shared" si="84"/>
        <v>&lt;color=#37c21b&gt;每日可购买竞技场&lt;color=#37c21b&gt;3&lt;/color&gt;次&lt;/color&gt;</v>
      </c>
      <c r="H71" s="1" t="str">
        <f t="shared" si="84"/>
        <v>单次副本最大扫荡次数提高至&lt;color=#37c21b&gt;10&lt;/color&gt;次</v>
      </c>
      <c r="I71" s="1" t="str">
        <f t="shared" si="84"/>
        <v/>
      </c>
      <c r="J71" s="1" t="str">
        <f t="shared" si="84"/>
        <v>&lt;color=#37c21b&gt;公会内可使用高级建设功能&lt;/color&gt;</v>
      </c>
      <c r="K71" s="1" t="str">
        <f t="shared" si="84"/>
        <v/>
      </c>
      <c r="L71" s="1" t="str">
        <f t="shared" si="84"/>
        <v/>
      </c>
      <c r="M71" s="1" t="str">
        <f t="shared" si="84"/>
        <v/>
      </c>
      <c r="N71" s="1" t="str">
        <f t="shared" si="84"/>
        <v/>
      </c>
      <c r="O71" s="1" t="str">
        <f t="shared" si="84"/>
        <v/>
      </c>
      <c r="P71" s="1" t="str">
        <f t="shared" si="84"/>
        <v/>
      </c>
      <c r="Q71" s="1" t="str">
        <f t="shared" si="84"/>
        <v>&lt;color=#37c21b&gt;开启五连扫荡功能&lt;/color&gt;</v>
      </c>
      <c r="R71" s="1" t="str">
        <f t="shared" si="84"/>
        <v/>
      </c>
      <c r="S71" s="1" t="str">
        <f t="shared" si="84"/>
        <v/>
      </c>
      <c r="T71" s="1" t="str">
        <f t="shared" si="84"/>
        <v/>
      </c>
      <c r="U71" s="1" t="str">
        <f t="shared" si="84"/>
        <v/>
      </c>
      <c r="V71" s="1" t="str">
        <f t="shared" si="84"/>
        <v>&lt;color=#37c21b&gt;每日可参与排位赛&lt;color=#37c21b&gt;x&lt;/color&gt;次&lt;/color&gt;</v>
      </c>
      <c r="W71" s="1" t="str">
        <f t="shared" si="84"/>
        <v>&lt;color=#37c21b&gt;每日可购买排位赛&lt;color=#37c21b&gt;x&lt;/color&gt;次&lt;/color&gt;</v>
      </c>
      <c r="X71" s="1" t="str">
        <f t="shared" si="84"/>
        <v/>
      </c>
      <c r="Y71" s="1" t="str">
        <f t="shared" si="84"/>
        <v/>
      </c>
      <c r="Z71" s="1" t="str">
        <f t="shared" si="84"/>
        <v>可在时装界面购买时装</v>
      </c>
      <c r="AA71" s="1" t="str">
        <f t="shared" si="84"/>
        <v/>
      </c>
      <c r="AB71" s="1" t="str">
        <f t="shared" si="84"/>
        <v/>
      </c>
      <c r="AC71" s="1" t="str">
        <f t="shared" si="84"/>
        <v/>
      </c>
      <c r="AD71" s="1" t="str">
        <f t="shared" si="84"/>
        <v>可在精彩活动界面购买投资计划</v>
      </c>
      <c r="AE71" s="1" t="str">
        <f t="shared" si="84"/>
        <v>&lt;color=#37c21b&gt;可在公会使用高级捐献&lt;/color&gt;</v>
      </c>
      <c r="AF71" s="1" t="str">
        <f t="shared" si="84"/>
        <v/>
      </c>
      <c r="AG71" s="1" t="str">
        <f t="shared" si="84"/>
        <v>每日可开启神秘魔石增加&lt;color=#37c21b&gt;x&lt;/color&gt;次</v>
      </c>
    </row>
    <row r="72" spans="2:33">
      <c r="B72" s="1">
        <v>6</v>
      </c>
      <c r="C72" s="1" t="str">
        <f t="shared" ref="C72" si="92">IF(C52="","",IF(C32=1,C52,C52))</f>
        <v>需要充值达到&lt;color=#37c21b&gt;3000&lt;/color&gt;钻石即可享受相应特权</v>
      </c>
      <c r="D72" s="1" t="str">
        <f t="shared" si="86"/>
        <v>每日可购买体力&lt;color=#37c21b&gt;8&lt;/color&gt;次</v>
      </c>
      <c r="E72" s="1" t="str">
        <f t="shared" si="86"/>
        <v>每日可点金&lt;color=#37c21b&gt;20&lt;/color&gt;次</v>
      </c>
      <c r="F72" s="1" t="str">
        <f t="shared" si="84"/>
        <v>每天每个精英副本可重置&lt;color=#37c21b&gt;3&lt;/color&gt;次</v>
      </c>
      <c r="G72" s="1" t="str">
        <f t="shared" si="84"/>
        <v>每日可购买竞技场&lt;color=#37c21b&gt;3&lt;/color&gt;次</v>
      </c>
      <c r="H72" s="1" t="str">
        <f t="shared" si="84"/>
        <v>单次副本最大扫荡次数提高至&lt;color=#37c21b&gt;10&lt;/color&gt;次</v>
      </c>
      <c r="I72" s="1" t="str">
        <f t="shared" si="84"/>
        <v/>
      </c>
      <c r="J72" s="1" t="str">
        <f t="shared" si="84"/>
        <v>公会内可使用高级建设功能</v>
      </c>
      <c r="K72" s="1" t="str">
        <f t="shared" si="84"/>
        <v/>
      </c>
      <c r="L72" s="1" t="str">
        <f t="shared" si="84"/>
        <v/>
      </c>
      <c r="M72" s="1" t="str">
        <f t="shared" si="84"/>
        <v/>
      </c>
      <c r="N72" s="1" t="str">
        <f t="shared" si="84"/>
        <v/>
      </c>
      <c r="O72" s="1" t="str">
        <f t="shared" si="84"/>
        <v/>
      </c>
      <c r="P72" s="1" t="str">
        <f t="shared" si="84"/>
        <v/>
      </c>
      <c r="Q72" s="1" t="str">
        <f t="shared" si="84"/>
        <v>开启五连扫荡功能</v>
      </c>
      <c r="R72" s="1" t="str">
        <f t="shared" si="84"/>
        <v/>
      </c>
      <c r="S72" s="1" t="str">
        <f t="shared" si="84"/>
        <v/>
      </c>
      <c r="T72" s="1" t="str">
        <f t="shared" si="84"/>
        <v/>
      </c>
      <c r="U72" s="1" t="str">
        <f t="shared" si="84"/>
        <v/>
      </c>
      <c r="V72" s="1" t="str">
        <f t="shared" si="84"/>
        <v>每日可参与排位赛&lt;color=#37c21b&gt;x&lt;/color&gt;次</v>
      </c>
      <c r="W72" s="1" t="str">
        <f t="shared" si="84"/>
        <v>每日可购买排位赛&lt;color=#37c21b&gt;x&lt;/color&gt;次</v>
      </c>
      <c r="X72" s="1" t="str">
        <f t="shared" si="84"/>
        <v/>
      </c>
      <c r="Y72" s="1" t="str">
        <f t="shared" si="84"/>
        <v/>
      </c>
      <c r="Z72" s="1" t="str">
        <f t="shared" si="84"/>
        <v>可在时装界面购买时装</v>
      </c>
      <c r="AA72" s="1" t="str">
        <f t="shared" si="84"/>
        <v/>
      </c>
      <c r="AB72" s="1" t="str">
        <f t="shared" si="84"/>
        <v/>
      </c>
      <c r="AC72" s="1" t="str">
        <f t="shared" si="84"/>
        <v>&lt;color=#37c21b&gt;超神之路各难度通关后可直接扫荡&lt;/color&gt;</v>
      </c>
      <c r="AD72" s="1" t="str">
        <f t="shared" si="84"/>
        <v>可在精彩活动界面购买投资计划</v>
      </c>
      <c r="AE72" s="1" t="str">
        <f t="shared" si="84"/>
        <v>可在公会使用高级捐献</v>
      </c>
      <c r="AF72" s="1" t="str">
        <f t="shared" si="84"/>
        <v/>
      </c>
      <c r="AG72" s="1" t="str">
        <f t="shared" si="84"/>
        <v>每日可开启神秘魔石增加&lt;color=#37c21b&gt;x&lt;/color&gt;次</v>
      </c>
    </row>
    <row r="73" spans="2:33">
      <c r="B73" s="1">
        <v>7</v>
      </c>
      <c r="C73" s="1" t="str">
        <f t="shared" ref="C73" si="93">IF(C53="","",IF(C33=1,C53,C53))</f>
        <v>需要充值达到&lt;color=#37c21b&gt;5000&lt;/color&gt;钻石即可享受相应特权</v>
      </c>
      <c r="D73" s="1" t="str">
        <f t="shared" si="86"/>
        <v>每日可购买体力&lt;color=#37c21b&gt;9&lt;/color&gt;次</v>
      </c>
      <c r="E73" s="1" t="str">
        <f t="shared" si="86"/>
        <v>每日可点金&lt;color=#37c21b&gt;25&lt;/color&gt;次</v>
      </c>
      <c r="F73" s="1" t="str">
        <f t="shared" si="84"/>
        <v>每天每个精英副本可重置&lt;color=#37c21b&gt;3&lt;/color&gt;次</v>
      </c>
      <c r="G73" s="1" t="str">
        <f t="shared" si="84"/>
        <v>每日可购买竞技场&lt;color=#37c21b&gt;3&lt;/color&gt;次</v>
      </c>
      <c r="H73" s="1" t="str">
        <f t="shared" si="84"/>
        <v>单次副本最大扫荡次数提高至&lt;color=#37c21b&gt;10&lt;/color&gt;次</v>
      </c>
      <c r="I73" s="1" t="str">
        <f t="shared" si="84"/>
        <v>&lt;color=#37c21b&gt;竞技场冷却时间降至&lt;color=#37c21b&gt;2&lt;/color&gt;分钟&lt;/color&gt;</v>
      </c>
      <c r="J73" s="1" t="str">
        <f t="shared" si="84"/>
        <v>公会内可使用高级建设功能</v>
      </c>
      <c r="K73" s="1" t="str">
        <f t="shared" si="84"/>
        <v/>
      </c>
      <c r="L73" s="1" t="str">
        <f t="shared" si="84"/>
        <v/>
      </c>
      <c r="M73" s="1" t="str">
        <f t="shared" si="84"/>
        <v/>
      </c>
      <c r="N73" s="1" t="str">
        <f t="shared" si="84"/>
        <v/>
      </c>
      <c r="O73" s="1" t="str">
        <f t="shared" si="84"/>
        <v/>
      </c>
      <c r="P73" s="1" t="str">
        <f t="shared" si="84"/>
        <v/>
      </c>
      <c r="Q73" s="1" t="str">
        <f t="shared" si="84"/>
        <v>开启五连扫荡功能</v>
      </c>
      <c r="R73" s="1" t="str">
        <f t="shared" si="84"/>
        <v>&lt;color=#37c21b&gt;每日可参与擂台赛&lt;color=#37c21b&gt;x&lt;/color&gt;次&lt;/color&gt;</v>
      </c>
      <c r="S73" s="1" t="str">
        <f t="shared" si="84"/>
        <v>&lt;color=#37c21b&gt;每日可购买擂台赛&lt;color=#37c21b&gt;x&lt;/color&gt;次&lt;/color&gt;</v>
      </c>
      <c r="T73" s="1" t="str">
        <f t="shared" si="84"/>
        <v/>
      </c>
      <c r="U73" s="1" t="str">
        <f t="shared" si="84"/>
        <v/>
      </c>
      <c r="V73" s="1" t="str">
        <f t="shared" si="84"/>
        <v>每日可参与排位赛&lt;color=#37c21b&gt;x&lt;/color&gt;次</v>
      </c>
      <c r="W73" s="1" t="str">
        <f t="shared" si="84"/>
        <v>每日可购买排位赛&lt;color=#37c21b&gt;x&lt;/color&gt;次</v>
      </c>
      <c r="X73" s="1" t="str">
        <f t="shared" si="84"/>
        <v/>
      </c>
      <c r="Y73" s="1" t="str">
        <f t="shared" si="84"/>
        <v/>
      </c>
      <c r="Z73" s="1" t="str">
        <f t="shared" si="84"/>
        <v>可在时装界面购买时装</v>
      </c>
      <c r="AA73" s="1" t="str">
        <f t="shared" si="84"/>
        <v>&lt;color=#37c21b&gt;每日精英关卡挑战加&lt;color=#37c21b&gt;1&lt;/color&gt;次&lt;/color&gt;</v>
      </c>
      <c r="AB73" s="1" t="str">
        <f t="shared" si="84"/>
        <v/>
      </c>
      <c r="AC73" s="1" t="str">
        <f t="shared" si="84"/>
        <v>超神之路各难度通关后可直接扫荡</v>
      </c>
      <c r="AD73" s="1" t="str">
        <f t="shared" si="84"/>
        <v>可在精彩活动界面购买投资计划</v>
      </c>
      <c r="AE73" s="1" t="str">
        <f t="shared" si="84"/>
        <v>可在公会使用高级捐献</v>
      </c>
      <c r="AF73" s="1" t="str">
        <f t="shared" si="84"/>
        <v/>
      </c>
      <c r="AG73" s="1" t="str">
        <f t="shared" si="84"/>
        <v>每日可开启神秘魔石增加&lt;color=#37c21b&gt;x&lt;/color&gt;次</v>
      </c>
    </row>
    <row r="74" spans="2:33">
      <c r="B74" s="1">
        <v>8</v>
      </c>
      <c r="C74" s="1" t="str">
        <f t="shared" ref="C74" si="94">IF(C54="","",IF(C34=1,C54,C54))</f>
        <v>需要充值达到&lt;color=#37c21b&gt;7000&lt;/color&gt;钻石即可享受相应特权</v>
      </c>
      <c r="D74" s="1" t="str">
        <f t="shared" si="86"/>
        <v>每日可购买体力&lt;color=#37c21b&gt;10&lt;/color&gt;次</v>
      </c>
      <c r="E74" s="1" t="str">
        <f t="shared" si="86"/>
        <v>每日可点金&lt;color=#37c21b&gt;30&lt;/color&gt;次</v>
      </c>
      <c r="F74" s="1" t="str">
        <f t="shared" si="84"/>
        <v>每天每个精英副本可重置&lt;color=#37c21b&gt;3&lt;/color&gt;次</v>
      </c>
      <c r="G74" s="1" t="str">
        <f t="shared" si="84"/>
        <v>每日可购买竞技场&lt;color=#37c21b&gt;3&lt;/color&gt;次</v>
      </c>
      <c r="H74" s="1" t="str">
        <f t="shared" si="84"/>
        <v>单次副本最大扫荡次数提高至&lt;color=#37c21b&gt;10&lt;/color&gt;次</v>
      </c>
      <c r="I74" s="1" t="str">
        <f t="shared" si="84"/>
        <v>竞技场冷却时间降至&lt;color=#37c21b&gt;2&lt;/color&gt;分钟</v>
      </c>
      <c r="J74" s="1" t="str">
        <f t="shared" si="84"/>
        <v>公会内可使用高级建设功能</v>
      </c>
      <c r="K74" s="1" t="str">
        <f t="shared" si="84"/>
        <v>&lt;color=#37c21b&gt;每日可领取高级令&lt;color=#37c21b&gt;1&lt;/color&gt;个&lt;/color&gt;</v>
      </c>
      <c r="L74" s="1" t="str">
        <f t="shared" si="84"/>
        <v/>
      </c>
      <c r="M74" s="1" t="str">
        <f t="shared" si="84"/>
        <v/>
      </c>
      <c r="N74" s="1" t="str">
        <f t="shared" si="84"/>
        <v/>
      </c>
      <c r="O74" s="1" t="str">
        <f t="shared" si="84"/>
        <v/>
      </c>
      <c r="P74" s="1" t="str">
        <f t="shared" si="84"/>
        <v/>
      </c>
      <c r="Q74" s="1" t="str">
        <f t="shared" si="84"/>
        <v>开启五连扫荡功能</v>
      </c>
      <c r="R74" s="1" t="str">
        <f t="shared" si="84"/>
        <v>每日可参与擂台赛&lt;color=#37c21b&gt;x&lt;/color&gt;次</v>
      </c>
      <c r="S74" s="1" t="str">
        <f t="shared" si="84"/>
        <v>每日可购买擂台赛&lt;color=#37c21b&gt;x&lt;/color&gt;次</v>
      </c>
      <c r="T74" s="1" t="str">
        <f t="shared" si="84"/>
        <v/>
      </c>
      <c r="U74" s="1" t="str">
        <f t="shared" si="84"/>
        <v/>
      </c>
      <c r="V74" s="1" t="str">
        <f t="shared" si="84"/>
        <v>每日可参与排位赛&lt;color=#37c21b&gt;x&lt;/color&gt;次</v>
      </c>
      <c r="W74" s="1" t="str">
        <f t="shared" si="84"/>
        <v>每日可购买排位赛&lt;color=#37c21b&gt;x&lt;/color&gt;次</v>
      </c>
      <c r="X74" s="1" t="str">
        <f t="shared" si="84"/>
        <v>&lt;color=#37c21b&gt;每日可参与跨服演武&lt;color=#37c21b&gt;x&lt;/color&gt;次&lt;/color&gt;</v>
      </c>
      <c r="Y74" s="1" t="str">
        <f t="shared" si="84"/>
        <v/>
      </c>
      <c r="Z74" s="1" t="str">
        <f t="shared" si="84"/>
        <v>可在时装界面购买时装</v>
      </c>
      <c r="AA74" s="1" t="str">
        <f t="shared" si="84"/>
        <v>每日精英关卡挑战加&lt;color=#37c21b&gt;1&lt;/color&gt;次</v>
      </c>
      <c r="AB74" s="1" t="str">
        <f t="shared" si="84"/>
        <v/>
      </c>
      <c r="AC74" s="1" t="str">
        <f t="shared" si="84"/>
        <v>超神之路各难度通关后可直接扫荡</v>
      </c>
      <c r="AD74" s="1" t="str">
        <f t="shared" si="84"/>
        <v>可在精彩活动界面购买投资计划</v>
      </c>
      <c r="AE74" s="1" t="str">
        <f t="shared" si="84"/>
        <v>可在公会使用高级捐献</v>
      </c>
      <c r="AF74" s="1" t="str">
        <f t="shared" si="84"/>
        <v>&lt;color=#37c21b&gt;可使用觉醒十次功能&lt;/color&gt;</v>
      </c>
      <c r="AG74" s="1" t="str">
        <f t="shared" si="84"/>
        <v>每日可开启神秘魔石增加&lt;color=#37c21b&gt;x&lt;/color&gt;次</v>
      </c>
    </row>
    <row r="75" spans="2:33">
      <c r="B75" s="1">
        <v>9</v>
      </c>
      <c r="C75" s="1" t="str">
        <f t="shared" ref="C75" si="95">IF(C55="","",IF(C35=1,C55,C55))</f>
        <v>需要充值达到&lt;color=#37c21b&gt;10000&lt;/color&gt;钻石即可享受相应特权</v>
      </c>
      <c r="D75" s="1" t="str">
        <f t="shared" si="86"/>
        <v>每日可购买体力&lt;color=#37c21b&gt;11&lt;/color&gt;次</v>
      </c>
      <c r="E75" s="1" t="str">
        <f t="shared" si="86"/>
        <v>每日可点金&lt;color=#37c21b&gt;35&lt;/color&gt;次</v>
      </c>
      <c r="F75" s="1" t="str">
        <f t="shared" si="84"/>
        <v>每天每个精英副本可重置&lt;color=#37c21b&gt;3&lt;/color&gt;次</v>
      </c>
      <c r="G75" s="1" t="str">
        <f t="shared" si="84"/>
        <v>&lt;color=#37c21b&gt;每日可购买竞技场&lt;color=#37c21b&gt;4&lt;/color&gt;次&lt;/color&gt;</v>
      </c>
      <c r="H75" s="1" t="str">
        <f t="shared" si="84"/>
        <v>&lt;color=#37c21b&gt;单次副本最大扫荡次数提高至&lt;color=#37c21b&gt;20&lt;/color&gt;次&lt;/color&gt;</v>
      </c>
      <c r="I75" s="1" t="str">
        <f t="shared" si="84"/>
        <v>竞技场冷却时间降至&lt;color=#37c21b&gt;2&lt;/color&gt;分钟</v>
      </c>
      <c r="J75" s="1" t="str">
        <f t="shared" si="84"/>
        <v>公会内可使用高级建设功能</v>
      </c>
      <c r="K75" s="1" t="str">
        <f t="shared" si="84"/>
        <v>每日可领取高级令&lt;color=#37c21b&gt;1&lt;/color&gt;个</v>
      </c>
      <c r="L75" s="1" t="str">
        <f t="shared" si="84"/>
        <v/>
      </c>
      <c r="M75" s="1" t="str">
        <f t="shared" si="84"/>
        <v>&lt;color=#37c21b&gt;可快速完成勇士试炼任务&lt;/color&gt;</v>
      </c>
      <c r="N75" s="1" t="str">
        <f t="shared" ref="F75:AG84" si="96">IF(N55="","",IF(N35=1,"&lt;color=#37c21b&gt;"&amp;N55&amp;"&lt;/color&gt;",N55))</f>
        <v/>
      </c>
      <c r="O75" s="1" t="str">
        <f t="shared" si="96"/>
        <v>&lt;color=#37c21b&gt;每日可参与符石争夺&lt;color=#37c21b&gt;x&lt;/color&gt;次&lt;/color&gt;</v>
      </c>
      <c r="P75" s="1" t="str">
        <f t="shared" si="96"/>
        <v>&lt;color=#37c21b&gt;每日可购买符石争夺&lt;color=#37c21b&gt;x&lt;/color&gt;次&lt;/color&gt;</v>
      </c>
      <c r="Q75" s="1" t="str">
        <f t="shared" si="96"/>
        <v>开启五连扫荡功能</v>
      </c>
      <c r="R75" s="1" t="str">
        <f t="shared" si="96"/>
        <v>每日可参与擂台赛&lt;color=#37c21b&gt;x&lt;/color&gt;次</v>
      </c>
      <c r="S75" s="1" t="str">
        <f t="shared" si="96"/>
        <v>每日可购买擂台赛&lt;color=#37c21b&gt;x&lt;/color&gt;次</v>
      </c>
      <c r="T75" s="1" t="str">
        <f t="shared" si="96"/>
        <v>&lt;color=#37c21b&gt;每日可参与大乱斗&lt;color=#37c21b&gt;x&lt;/color&gt;次&lt;/color&gt;</v>
      </c>
      <c r="U75" s="1" t="str">
        <f t="shared" si="96"/>
        <v>&lt;color=#37c21b&gt;每日可购买大乱斗&lt;color=#37c21b&gt;x&lt;/color&gt;次&lt;/color&gt;</v>
      </c>
      <c r="V75" s="1" t="str">
        <f t="shared" si="96"/>
        <v>每日可参与排位赛&lt;color=#37c21b&gt;x&lt;/color&gt;次</v>
      </c>
      <c r="W75" s="1" t="str">
        <f t="shared" si="96"/>
        <v>每日可购买排位赛&lt;color=#37c21b&gt;x&lt;/color&gt;次</v>
      </c>
      <c r="X75" s="1" t="str">
        <f t="shared" si="96"/>
        <v>每日可参与跨服演武&lt;color=#37c21b&gt;x&lt;/color&gt;次</v>
      </c>
      <c r="Y75" s="1" t="str">
        <f t="shared" si="96"/>
        <v/>
      </c>
      <c r="Z75" s="1" t="str">
        <f t="shared" si="96"/>
        <v>可在时装界面购买时装</v>
      </c>
      <c r="AA75" s="1" t="str">
        <f t="shared" si="96"/>
        <v>每日精英关卡挑战加&lt;color=#37c21b&gt;1&lt;/color&gt;次</v>
      </c>
      <c r="AB75" s="1" t="str">
        <f t="shared" si="96"/>
        <v/>
      </c>
      <c r="AC75" s="1" t="str">
        <f t="shared" si="96"/>
        <v>超神之路各难度通关后可直接扫荡</v>
      </c>
      <c r="AD75" s="1" t="str">
        <f t="shared" si="96"/>
        <v>可在精彩活动界面购买投资计划</v>
      </c>
      <c r="AE75" s="1" t="str">
        <f t="shared" si="96"/>
        <v>可在公会使用高级捐献</v>
      </c>
      <c r="AF75" s="1" t="str">
        <f t="shared" si="96"/>
        <v>可使用觉醒十次功能</v>
      </c>
      <c r="AG75" s="1" t="str">
        <f t="shared" si="96"/>
        <v>每日可开启神秘魔石增加&lt;color=#37c21b&gt;x&lt;/color&gt;次</v>
      </c>
    </row>
    <row r="76" spans="2:33">
      <c r="B76" s="1">
        <v>10</v>
      </c>
      <c r="C76" s="1" t="str">
        <f t="shared" ref="C76" si="97">IF(C56="","",IF(C36=1,C56,C56))</f>
        <v>需要充值达到&lt;color=#37c21b&gt;15000&lt;/color&gt;钻石即可享受相应特权</v>
      </c>
      <c r="D76" s="1" t="str">
        <f t="shared" si="86"/>
        <v>每日可购买体力&lt;color=#37c21b&gt;12&lt;/color&gt;次</v>
      </c>
      <c r="E76" s="1" t="str">
        <f t="shared" si="86"/>
        <v>每日可点金&lt;color=#37c21b&gt;40&lt;/color&gt;次</v>
      </c>
      <c r="F76" s="1" t="str">
        <f t="shared" si="96"/>
        <v>&lt;color=#37c21b&gt;每天每个精英副本可重置&lt;color=#37c21b&gt;4&lt;/color&gt;次&lt;/color&gt;</v>
      </c>
      <c r="G76" s="1" t="str">
        <f t="shared" si="96"/>
        <v>每日可购买竞技场&lt;color=#37c21b&gt;4&lt;/color&gt;次</v>
      </c>
      <c r="H76" s="1" t="str">
        <f t="shared" si="96"/>
        <v>单次副本最大扫荡次数提高至&lt;color=#37c21b&gt;20&lt;/color&gt;次</v>
      </c>
      <c r="I76" s="1" t="str">
        <f t="shared" si="96"/>
        <v>&lt;color=#37c21b&gt;竞技场冷却时间降至&lt;color=#37c21b&gt;1&lt;/color&gt;分钟&lt;/color&gt;</v>
      </c>
      <c r="J76" s="1" t="str">
        <f t="shared" si="96"/>
        <v>公会内可使用高级建设功能</v>
      </c>
      <c r="K76" s="1" t="str">
        <f t="shared" si="96"/>
        <v>每日可领取高级令&lt;color=#37c21b&gt;1&lt;/color&gt;个</v>
      </c>
      <c r="L76" s="1" t="str">
        <f t="shared" si="96"/>
        <v/>
      </c>
      <c r="M76" s="1" t="str">
        <f t="shared" si="96"/>
        <v>可快速完成勇士试炼任务</v>
      </c>
      <c r="N76" s="1" t="str">
        <f t="shared" si="96"/>
        <v/>
      </c>
      <c r="O76" s="1" t="str">
        <f t="shared" si="96"/>
        <v>每日可参与符石争夺&lt;color=#37c21b&gt;x&lt;/color&gt;次</v>
      </c>
      <c r="P76" s="1" t="str">
        <f t="shared" si="96"/>
        <v>每日可购买符石争夺&lt;color=#37c21b&gt;x&lt;/color&gt;次</v>
      </c>
      <c r="Q76" s="1" t="str">
        <f t="shared" si="96"/>
        <v>开启五连扫荡功能</v>
      </c>
      <c r="R76" s="1" t="str">
        <f t="shared" si="96"/>
        <v>每日可参与擂台赛&lt;color=#37c21b&gt;x&lt;/color&gt;次</v>
      </c>
      <c r="S76" s="1" t="str">
        <f t="shared" si="96"/>
        <v>每日可购买擂台赛&lt;color=#37c21b&gt;x&lt;/color&gt;次</v>
      </c>
      <c r="T76" s="1" t="str">
        <f t="shared" si="96"/>
        <v>每日可参与大乱斗&lt;color=#37c21b&gt;x&lt;/color&gt;次</v>
      </c>
      <c r="U76" s="1" t="str">
        <f t="shared" si="96"/>
        <v>每日可购买大乱斗&lt;color=#37c21b&gt;x&lt;/color&gt;次</v>
      </c>
      <c r="V76" s="1" t="str">
        <f t="shared" si="96"/>
        <v>&lt;color=#37c21b&gt;每日可参与排位赛&lt;color=#37c21b&gt;x&lt;/color&gt;次&lt;/color&gt;</v>
      </c>
      <c r="W76" s="1" t="str">
        <f t="shared" si="96"/>
        <v>&lt;color=#37c21b&gt;每日可购买排位赛&lt;color=#37c21b&gt;x&lt;/color&gt;次&lt;/color&gt;</v>
      </c>
      <c r="X76" s="1" t="str">
        <f t="shared" si="96"/>
        <v>每日可参与跨服演武&lt;color=#37c21b&gt;x&lt;/color&gt;次</v>
      </c>
      <c r="Y76" s="1" t="str">
        <f t="shared" si="96"/>
        <v/>
      </c>
      <c r="Z76" s="1" t="str">
        <f t="shared" si="96"/>
        <v>可在时装界面购买时装</v>
      </c>
      <c r="AA76" s="1" t="str">
        <f t="shared" si="96"/>
        <v>每日精英关卡挑战加&lt;color=#37c21b&gt;1&lt;/color&gt;次</v>
      </c>
      <c r="AB76" s="1" t="str">
        <f t="shared" si="96"/>
        <v/>
      </c>
      <c r="AC76" s="1" t="str">
        <f t="shared" si="96"/>
        <v>超神之路各难度通关后可直接扫荡</v>
      </c>
      <c r="AD76" s="1" t="str">
        <f t="shared" si="96"/>
        <v>可在精彩活动界面购买投资计划</v>
      </c>
      <c r="AE76" s="1" t="str">
        <f t="shared" si="96"/>
        <v>可在公会使用高级捐献</v>
      </c>
      <c r="AF76" s="1" t="str">
        <f t="shared" si="96"/>
        <v>可使用觉醒十次功能</v>
      </c>
      <c r="AG76" s="1" t="str">
        <f t="shared" si="96"/>
        <v>&lt;color=#37c21b&gt;每日可开启神秘魔石增加&lt;color=#37c21b&gt;x&lt;/color&gt;次&lt;/color&gt;</v>
      </c>
    </row>
    <row r="77" spans="2:33">
      <c r="B77" s="1">
        <v>11</v>
      </c>
      <c r="C77" s="1" t="str">
        <f t="shared" ref="C77" si="98">IF(C57="","",IF(C37=1,C57,C57))</f>
        <v>需要充值达到&lt;color=#37c21b&gt;20000&lt;/color&gt;钻石即可享受相应特权</v>
      </c>
      <c r="D77" s="1" t="str">
        <f t="shared" si="86"/>
        <v>每日可购买体力&lt;color=#37c21b&gt;13&lt;/color&gt;次</v>
      </c>
      <c r="E77" s="1" t="str">
        <f t="shared" si="86"/>
        <v>每日可点金&lt;color=#37c21b&gt;50&lt;/color&gt;次</v>
      </c>
      <c r="F77" s="1" t="str">
        <f t="shared" si="96"/>
        <v>每天每个精英副本可重置&lt;color=#37c21b&gt;4&lt;/color&gt;次</v>
      </c>
      <c r="G77" s="1" t="str">
        <f t="shared" si="96"/>
        <v>每日可购买竞技场&lt;color=#37c21b&gt;4&lt;/color&gt;次</v>
      </c>
      <c r="H77" s="1" t="str">
        <f t="shared" si="96"/>
        <v>单次副本最大扫荡次数提高至&lt;color=#37c21b&gt;20&lt;/color&gt;次</v>
      </c>
      <c r="I77" s="1" t="str">
        <f t="shared" si="96"/>
        <v>竞技场冷却时间降至&lt;color=#37c21b&gt;1&lt;/color&gt;分钟</v>
      </c>
      <c r="J77" s="1" t="str">
        <f t="shared" si="96"/>
        <v>公会内可使用高级建设功能</v>
      </c>
      <c r="K77" s="1" t="str">
        <f t="shared" si="96"/>
        <v>每日可领取高级令&lt;color=#37c21b&gt;1&lt;/color&gt;个</v>
      </c>
      <c r="L77" s="1" t="str">
        <f t="shared" si="96"/>
        <v/>
      </c>
      <c r="M77" s="1" t="str">
        <f t="shared" si="96"/>
        <v>可快速完成勇士试炼任务</v>
      </c>
      <c r="N77" s="1" t="str">
        <f t="shared" si="96"/>
        <v/>
      </c>
      <c r="O77" s="1" t="str">
        <f t="shared" si="96"/>
        <v>每日可参与符石争夺&lt;color=#37c21b&gt;x&lt;/color&gt;次</v>
      </c>
      <c r="P77" s="1" t="str">
        <f t="shared" si="96"/>
        <v>每日可购买符石争夺&lt;color=#37c21b&gt;x&lt;/color&gt;次</v>
      </c>
      <c r="Q77" s="1" t="str">
        <f t="shared" si="96"/>
        <v>开启五连扫荡功能</v>
      </c>
      <c r="R77" s="1" t="str">
        <f t="shared" si="96"/>
        <v>&lt;color=#37c21b&gt;每日可参与擂台赛&lt;color=#37c21b&gt;x&lt;/color&gt;次&lt;/color&gt;</v>
      </c>
      <c r="S77" s="1" t="str">
        <f t="shared" si="96"/>
        <v>&lt;color=#37c21b&gt;每日可购买擂台赛&lt;color=#37c21b&gt;x&lt;/color&gt;次&lt;/color&gt;</v>
      </c>
      <c r="T77" s="1" t="str">
        <f t="shared" si="96"/>
        <v>每日可参与大乱斗&lt;color=#37c21b&gt;x&lt;/color&gt;次</v>
      </c>
      <c r="U77" s="1" t="str">
        <f t="shared" si="96"/>
        <v>每日可购买大乱斗&lt;color=#37c21b&gt;x&lt;/color&gt;次</v>
      </c>
      <c r="V77" s="1" t="str">
        <f t="shared" si="96"/>
        <v>每日可参与排位赛&lt;color=#37c21b&gt;x&lt;/color&gt;次</v>
      </c>
      <c r="W77" s="1" t="str">
        <f t="shared" si="96"/>
        <v>每日可购买排位赛&lt;color=#37c21b&gt;x&lt;/color&gt;次</v>
      </c>
      <c r="X77" s="1" t="str">
        <f t="shared" si="96"/>
        <v>每日可参与跨服演武&lt;color=#37c21b&gt;x&lt;/color&gt;次</v>
      </c>
      <c r="Y77" s="1" t="str">
        <f t="shared" si="96"/>
        <v/>
      </c>
      <c r="Z77" s="1" t="str">
        <f t="shared" si="96"/>
        <v>可在时装界面购买时装</v>
      </c>
      <c r="AA77" s="1" t="str">
        <f t="shared" si="96"/>
        <v>每日精英关卡挑战加&lt;color=#37c21b&gt;1&lt;/color&gt;次</v>
      </c>
      <c r="AB77" s="1" t="str">
        <f t="shared" si="96"/>
        <v/>
      </c>
      <c r="AC77" s="1" t="str">
        <f t="shared" si="96"/>
        <v>超神之路各难度通关后可直接扫荡</v>
      </c>
      <c r="AD77" s="1" t="str">
        <f t="shared" si="96"/>
        <v>可在精彩活动界面购买投资计划</v>
      </c>
      <c r="AE77" s="1" t="str">
        <f t="shared" si="96"/>
        <v>可在公会使用高级捐献</v>
      </c>
      <c r="AF77" s="1" t="str">
        <f t="shared" si="96"/>
        <v>可使用觉醒十次功能</v>
      </c>
      <c r="AG77" s="1" t="str">
        <f t="shared" si="96"/>
        <v>每日可开启神秘魔石增加&lt;color=#37c21b&gt;x&lt;/color&gt;次</v>
      </c>
    </row>
    <row r="78" spans="2:33">
      <c r="B78" s="1">
        <v>12</v>
      </c>
      <c r="C78" s="1" t="str">
        <f t="shared" ref="C78" si="99">IF(C58="","",IF(C38=1,C58,C58))</f>
        <v>需要充值达到&lt;color=#37c21b&gt;30000&lt;/color&gt;钻石即可享受相应特权</v>
      </c>
      <c r="D78" s="1" t="str">
        <f t="shared" si="86"/>
        <v>每日可购买体力&lt;color=#37c21b&gt;14&lt;/color&gt;次</v>
      </c>
      <c r="E78" s="1" t="str">
        <f t="shared" si="86"/>
        <v>每日可点金&lt;color=#37c21b&gt;60&lt;/color&gt;次</v>
      </c>
      <c r="F78" s="1" t="str">
        <f t="shared" si="96"/>
        <v>每天每个精英副本可重置&lt;color=#37c21b&gt;4&lt;/color&gt;次</v>
      </c>
      <c r="G78" s="1" t="str">
        <f t="shared" si="96"/>
        <v>每日可购买竞技场&lt;color=#37c21b&gt;4&lt;/color&gt;次</v>
      </c>
      <c r="H78" s="1" t="str">
        <f t="shared" si="96"/>
        <v>单次副本最大扫荡次数提高至&lt;color=#37c21b&gt;20&lt;/color&gt;次</v>
      </c>
      <c r="I78" s="1" t="str">
        <f t="shared" si="96"/>
        <v>竞技场冷却时间降至&lt;color=#37c21b&gt;1&lt;/color&gt;分钟</v>
      </c>
      <c r="J78" s="1" t="str">
        <f t="shared" si="96"/>
        <v>公会内可使用高级建设功能</v>
      </c>
      <c r="K78" s="1" t="str">
        <f t="shared" si="96"/>
        <v>每日可领取高级令&lt;color=#37c21b&gt;1&lt;/color&gt;个</v>
      </c>
      <c r="L78" s="1" t="str">
        <f t="shared" si="96"/>
        <v>&lt;color=#37c21b&gt;每日可领取顶级令&lt;color=#37c21b&gt;1&lt;/color&gt;个&lt;/color&gt;</v>
      </c>
      <c r="M78" s="1" t="str">
        <f t="shared" si="96"/>
        <v>可快速完成勇士试炼任务</v>
      </c>
      <c r="N78" s="1" t="str">
        <f t="shared" si="96"/>
        <v/>
      </c>
      <c r="O78" s="1" t="str">
        <f t="shared" si="96"/>
        <v>每日可参与符石争夺&lt;color=#37c21b&gt;x&lt;/color&gt;次</v>
      </c>
      <c r="P78" s="1" t="str">
        <f t="shared" si="96"/>
        <v>每日可购买符石争夺&lt;color=#37c21b&gt;x&lt;/color&gt;次</v>
      </c>
      <c r="Q78" s="1" t="str">
        <f t="shared" si="96"/>
        <v>开启五连扫荡功能</v>
      </c>
      <c r="R78" s="1" t="str">
        <f t="shared" si="96"/>
        <v>每日可参与擂台赛&lt;color=#37c21b&gt;x&lt;/color&gt;次</v>
      </c>
      <c r="S78" s="1" t="str">
        <f t="shared" si="96"/>
        <v>每日可购买擂台赛&lt;color=#37c21b&gt;x&lt;/color&gt;次</v>
      </c>
      <c r="T78" s="1" t="str">
        <f t="shared" si="96"/>
        <v>每日可参与大乱斗&lt;color=#37c21b&gt;x&lt;/color&gt;次</v>
      </c>
      <c r="U78" s="1" t="str">
        <f t="shared" si="96"/>
        <v>每日可购买大乱斗&lt;color=#37c21b&gt;x&lt;/color&gt;次</v>
      </c>
      <c r="V78" s="1" t="str">
        <f t="shared" si="96"/>
        <v>每日可参与排位赛&lt;color=#37c21b&gt;x&lt;/color&gt;次</v>
      </c>
      <c r="W78" s="1" t="str">
        <f t="shared" si="96"/>
        <v>每日可购买排位赛&lt;color=#37c21b&gt;x&lt;/color&gt;次</v>
      </c>
      <c r="X78" s="1" t="str">
        <f t="shared" si="96"/>
        <v>&lt;color=#37c21b&gt;每日可参与跨服演武&lt;color=#37c21b&gt;x&lt;/color&gt;次&lt;/color&gt;</v>
      </c>
      <c r="Y78" s="1" t="str">
        <f t="shared" si="96"/>
        <v/>
      </c>
      <c r="Z78" s="1" t="str">
        <f t="shared" si="96"/>
        <v>可在时装界面购买时装</v>
      </c>
      <c r="AA78" s="1" t="str">
        <f t="shared" si="96"/>
        <v>每日精英关卡挑战加&lt;color=#37c21b&gt;1&lt;/color&gt;次</v>
      </c>
      <c r="AB78" s="1" t="str">
        <f t="shared" si="96"/>
        <v>&lt;color=#37c21b&gt;可快速完成探险寻宝任务&lt;/color&gt;</v>
      </c>
      <c r="AC78" s="1" t="str">
        <f t="shared" si="96"/>
        <v>超神之路各难度通关后可直接扫荡</v>
      </c>
      <c r="AD78" s="1" t="str">
        <f t="shared" si="96"/>
        <v>可在精彩活动界面购买投资计划</v>
      </c>
      <c r="AE78" s="1" t="str">
        <f t="shared" si="96"/>
        <v>可在公会使用高级捐献</v>
      </c>
      <c r="AF78" s="1" t="str">
        <f t="shared" si="96"/>
        <v>可使用觉醒十次功能</v>
      </c>
      <c r="AG78" s="1" t="str">
        <f t="shared" si="96"/>
        <v>每日可开启神秘魔石增加&lt;color=#37c21b&gt;x&lt;/color&gt;次</v>
      </c>
    </row>
    <row r="79" spans="2:33">
      <c r="B79" s="1">
        <v>13</v>
      </c>
      <c r="C79" s="1" t="str">
        <f t="shared" ref="C79" si="100">IF(C59="","",IF(C39=1,C59,C59))</f>
        <v>需要充值达到&lt;color=#37c21b&gt;60000&lt;/color&gt;钻石即可享受相应特权</v>
      </c>
      <c r="D79" s="1" t="str">
        <f t="shared" si="86"/>
        <v>每日可购买体力&lt;color=#37c21b&gt;15&lt;/color&gt;次</v>
      </c>
      <c r="E79" s="1" t="str">
        <f t="shared" si="86"/>
        <v>每日可点金&lt;color=#37c21b&gt;80&lt;/color&gt;次</v>
      </c>
      <c r="F79" s="1" t="str">
        <f t="shared" si="96"/>
        <v>&lt;color=#37c21b&gt;每天每个精英副本可重置&lt;color=#37c21b&gt;5&lt;/color&gt;次&lt;/color&gt;</v>
      </c>
      <c r="G79" s="1" t="str">
        <f t="shared" si="96"/>
        <v>&lt;color=#37c21b&gt;每日可购买竞技场&lt;color=#37c21b&gt;5&lt;/color&gt;次&lt;/color&gt;</v>
      </c>
      <c r="H79" s="1" t="str">
        <f t="shared" si="96"/>
        <v>单次副本最大扫荡次数提高至&lt;color=#37c21b&gt;20&lt;/color&gt;次</v>
      </c>
      <c r="I79" s="1" t="str">
        <f t="shared" si="96"/>
        <v>竞技场冷却时间降至&lt;color=#37c21b&gt;1&lt;/color&gt;分钟</v>
      </c>
      <c r="J79" s="1" t="str">
        <f t="shared" si="96"/>
        <v>公会内可使用高级建设功能</v>
      </c>
      <c r="K79" s="1" t="str">
        <f t="shared" si="96"/>
        <v>每日可领取高级令&lt;color=#37c21b&gt;1&lt;/color&gt;个</v>
      </c>
      <c r="L79" s="1" t="str">
        <f t="shared" si="96"/>
        <v>每日可领取顶级令&lt;color=#37c21b&gt;1&lt;/color&gt;个</v>
      </c>
      <c r="M79" s="1" t="str">
        <f t="shared" si="96"/>
        <v>可快速完成勇士试炼任务</v>
      </c>
      <c r="N79" s="1" t="str">
        <f t="shared" si="96"/>
        <v>&lt;color=#37c21b&gt;每日可参与组队副本&lt;color=#37c21b&gt;x&lt;/color&gt;次&lt;/color&gt;</v>
      </c>
      <c r="O79" s="1" t="str">
        <f t="shared" si="96"/>
        <v>&lt;color=#37c21b&gt;每日可参与符石争夺&lt;color=#37c21b&gt;x&lt;/color&gt;次&lt;/color&gt;</v>
      </c>
      <c r="P79" s="1" t="str">
        <f t="shared" si="96"/>
        <v>&lt;color=#37c21b&gt;每日可购买符石争夺&lt;color=#37c21b&gt;x&lt;/color&gt;次&lt;/color&gt;</v>
      </c>
      <c r="Q79" s="1" t="str">
        <f t="shared" si="96"/>
        <v>开启五连扫荡功能</v>
      </c>
      <c r="R79" s="1" t="str">
        <f t="shared" si="96"/>
        <v>每日可参与擂台赛&lt;color=#37c21b&gt;x&lt;/color&gt;次</v>
      </c>
      <c r="S79" s="1" t="str">
        <f t="shared" si="96"/>
        <v>每日可购买擂台赛&lt;color=#37c21b&gt;x&lt;/color&gt;次</v>
      </c>
      <c r="T79" s="1" t="str">
        <f t="shared" si="96"/>
        <v>每日可参与大乱斗&lt;color=#37c21b&gt;x&lt;/color&gt;次</v>
      </c>
      <c r="U79" s="1" t="str">
        <f t="shared" si="96"/>
        <v>每日可购买大乱斗&lt;color=#37c21b&gt;x&lt;/color&gt;次</v>
      </c>
      <c r="V79" s="1" t="str">
        <f t="shared" si="96"/>
        <v>每日可参与排位赛&lt;color=#37c21b&gt;x&lt;/color&gt;次</v>
      </c>
      <c r="W79" s="1" t="str">
        <f t="shared" si="96"/>
        <v>每日可购买排位赛&lt;color=#37c21b&gt;x&lt;/color&gt;次</v>
      </c>
      <c r="X79" s="1" t="str">
        <f t="shared" si="96"/>
        <v>每日可参与跨服演武&lt;color=#37c21b&gt;x&lt;/color&gt;次</v>
      </c>
      <c r="Y79" s="1" t="str">
        <f t="shared" si="96"/>
        <v/>
      </c>
      <c r="Z79" s="1" t="str">
        <f t="shared" si="96"/>
        <v>可在时装界面购买时装</v>
      </c>
      <c r="AA79" s="1" t="str">
        <f t="shared" si="96"/>
        <v>每日精英关卡挑战加&lt;color=#37c21b&gt;1&lt;/color&gt;次</v>
      </c>
      <c r="AB79" s="1" t="str">
        <f t="shared" si="96"/>
        <v>可快速完成探险寻宝任务</v>
      </c>
      <c r="AC79" s="1" t="str">
        <f t="shared" si="96"/>
        <v>超神之路各难度通关后可直接扫荡</v>
      </c>
      <c r="AD79" s="1" t="str">
        <f t="shared" si="96"/>
        <v>可在精彩活动界面购买投资计划</v>
      </c>
      <c r="AE79" s="1" t="str">
        <f t="shared" si="96"/>
        <v>可在公会使用高级捐献</v>
      </c>
      <c r="AF79" s="1" t="str">
        <f t="shared" si="96"/>
        <v>可使用觉醒十次功能</v>
      </c>
      <c r="AG79" s="1" t="str">
        <f t="shared" si="96"/>
        <v>每日可开启神秘魔石增加&lt;color=#37c21b&gt;x&lt;/color&gt;次</v>
      </c>
    </row>
    <row r="80" spans="2:33">
      <c r="B80" s="1">
        <v>14</v>
      </c>
      <c r="C80" s="1" t="str">
        <f t="shared" ref="C80" si="101">IF(C60="","",IF(C40=1,C60,C60))</f>
        <v>需要充值达到&lt;color=#37c21b&gt;120000&lt;/color&gt;钻石即可享受相应特权</v>
      </c>
      <c r="D80" s="1" t="str">
        <f t="shared" si="86"/>
        <v>每日可购买体力&lt;color=#37c21b&gt;16&lt;/color&gt;次</v>
      </c>
      <c r="E80" s="1" t="str">
        <f t="shared" si="86"/>
        <v>每日可点金&lt;color=#37c21b&gt;100&lt;/color&gt;次</v>
      </c>
      <c r="F80" s="1" t="str">
        <f t="shared" si="96"/>
        <v>每天每个精英副本可重置&lt;color=#37c21b&gt;5&lt;/color&gt;次</v>
      </c>
      <c r="G80" s="1" t="str">
        <f t="shared" si="96"/>
        <v>每日可购买竞技场&lt;color=#37c21b&gt;5&lt;/color&gt;次</v>
      </c>
      <c r="H80" s="1" t="str">
        <f t="shared" si="96"/>
        <v>单次副本最大扫荡次数提高至&lt;color=#37c21b&gt;20&lt;/color&gt;次</v>
      </c>
      <c r="I80" s="1" t="str">
        <f t="shared" si="96"/>
        <v>竞技场冷却时间降至&lt;color=#37c21b&gt;1&lt;/color&gt;分钟</v>
      </c>
      <c r="J80" s="1" t="str">
        <f t="shared" si="96"/>
        <v>公会内可使用高级建设功能</v>
      </c>
      <c r="K80" s="1" t="str">
        <f t="shared" si="96"/>
        <v>每日可领取高级令&lt;color=#37c21b&gt;1&lt;/color&gt;个</v>
      </c>
      <c r="L80" s="1" t="str">
        <f t="shared" si="96"/>
        <v>每日可领取顶级令&lt;color=#37c21b&gt;1&lt;/color&gt;个</v>
      </c>
      <c r="M80" s="1" t="str">
        <f t="shared" si="96"/>
        <v>可快速完成勇士试炼任务</v>
      </c>
      <c r="N80" s="1" t="str">
        <f t="shared" si="96"/>
        <v>每日可参与组队副本&lt;color=#37c21b&gt;x&lt;/color&gt;次</v>
      </c>
      <c r="O80" s="1" t="str">
        <f t="shared" si="96"/>
        <v>每日可参与符石争夺&lt;color=#37c21b&gt;x&lt;/color&gt;次</v>
      </c>
      <c r="P80" s="1" t="str">
        <f t="shared" si="96"/>
        <v>每日可购买符石争夺&lt;color=#37c21b&gt;x&lt;/color&gt;次</v>
      </c>
      <c r="Q80" s="1" t="str">
        <f t="shared" si="96"/>
        <v>开启五连扫荡功能</v>
      </c>
      <c r="R80" s="1" t="str">
        <f t="shared" si="96"/>
        <v>每日可参与擂台赛&lt;color=#37c21b&gt;x&lt;/color&gt;次</v>
      </c>
      <c r="S80" s="1" t="str">
        <f t="shared" si="96"/>
        <v>每日可购买擂台赛&lt;color=#37c21b&gt;x&lt;/color&gt;次</v>
      </c>
      <c r="T80" s="1" t="str">
        <f t="shared" si="96"/>
        <v>每日可参与大乱斗&lt;color=#37c21b&gt;x&lt;/color&gt;次</v>
      </c>
      <c r="U80" s="1" t="str">
        <f t="shared" si="96"/>
        <v>每日可购买大乱斗&lt;color=#37c21b&gt;x&lt;/color&gt;次</v>
      </c>
      <c r="V80" s="1" t="str">
        <f t="shared" si="96"/>
        <v>每日可参与排位赛&lt;color=#37c21b&gt;x&lt;/color&gt;次</v>
      </c>
      <c r="W80" s="1" t="str">
        <f t="shared" si="96"/>
        <v>每日可购买排位赛&lt;color=#37c21b&gt;x&lt;/color&gt;次</v>
      </c>
      <c r="X80" s="1" t="str">
        <f t="shared" si="96"/>
        <v>每日可参与跨服演武&lt;color=#37c21b&gt;x&lt;/color&gt;次</v>
      </c>
      <c r="Y80" s="1" t="str">
        <f t="shared" si="96"/>
        <v/>
      </c>
      <c r="Z80" s="1" t="str">
        <f t="shared" si="96"/>
        <v>可在时装界面购买时装</v>
      </c>
      <c r="AA80" s="1" t="str">
        <f t="shared" si="96"/>
        <v>每日精英关卡挑战加&lt;color=#37c21b&gt;1&lt;/color&gt;次</v>
      </c>
      <c r="AB80" s="1" t="str">
        <f t="shared" si="96"/>
        <v>可快速完成探险寻宝任务</v>
      </c>
      <c r="AC80" s="1" t="str">
        <f t="shared" si="96"/>
        <v>超神之路各难度通关后可直接扫荡</v>
      </c>
      <c r="AD80" s="1" t="str">
        <f t="shared" si="96"/>
        <v>可在精彩活动界面购买投资计划</v>
      </c>
      <c r="AE80" s="1" t="str">
        <f t="shared" si="96"/>
        <v>可在公会使用高级捐献</v>
      </c>
      <c r="AF80" s="1" t="str">
        <f t="shared" si="96"/>
        <v>可使用觉醒十次功能</v>
      </c>
      <c r="AG80" s="1" t="str">
        <f t="shared" si="96"/>
        <v>每日可开启神秘魔石增加&lt;color=#37c21b&gt;x&lt;/color&gt;次</v>
      </c>
    </row>
    <row r="81" spans="2:33">
      <c r="B81" s="1">
        <v>15</v>
      </c>
      <c r="C81" s="1" t="str">
        <f t="shared" ref="C81" si="102">IF(C61="","",IF(C41=1,C61,C61))</f>
        <v>需要充值达到&lt;color=#37c21b&gt;200000&lt;/color&gt;钻石即可享受相应特权</v>
      </c>
      <c r="D81" s="1" t="str">
        <f t="shared" si="86"/>
        <v>每日可购买体力&lt;color=#37c21b&gt;17&lt;/color&gt;次</v>
      </c>
      <c r="E81" s="1" t="str">
        <f t="shared" si="86"/>
        <v>每日可点金&lt;color=#37c21b&gt;160&lt;/color&gt;次</v>
      </c>
      <c r="F81" s="1" t="str">
        <f t="shared" si="96"/>
        <v>每天每个精英副本可重置&lt;color=#37c21b&gt;5&lt;/color&gt;次</v>
      </c>
      <c r="G81" s="1" t="str">
        <f t="shared" si="96"/>
        <v>每日可购买竞技场&lt;color=#37c21b&gt;5&lt;/color&gt;次</v>
      </c>
      <c r="H81" s="1" t="str">
        <f t="shared" si="96"/>
        <v>单次副本最大扫荡次数提高至&lt;color=#37c21b&gt;20&lt;/color&gt;次</v>
      </c>
      <c r="I81" s="1" t="str">
        <f t="shared" si="96"/>
        <v>竞技场冷却时间降至&lt;color=#37c21b&gt;1&lt;/color&gt;分钟</v>
      </c>
      <c r="J81" s="1" t="str">
        <f t="shared" si="96"/>
        <v>公会内可使用高级建设功能</v>
      </c>
      <c r="K81" s="1" t="str">
        <f t="shared" si="96"/>
        <v>每日可领取高级令&lt;color=#37c21b&gt;1&lt;/color&gt;个</v>
      </c>
      <c r="L81" s="1" t="str">
        <f t="shared" si="96"/>
        <v>每日可领取顶级令&lt;color=#37c21b&gt;1&lt;/color&gt;个</v>
      </c>
      <c r="M81" s="1" t="str">
        <f t="shared" si="96"/>
        <v>可快速完成勇士试炼任务</v>
      </c>
      <c r="N81" s="1" t="str">
        <f t="shared" si="96"/>
        <v>每日可参与组队副本&lt;color=#37c21b&gt;x&lt;/color&gt;次</v>
      </c>
      <c r="O81" s="1" t="str">
        <f t="shared" si="96"/>
        <v>每日可参与符石争夺&lt;color=#37c21b&gt;x&lt;/color&gt;次</v>
      </c>
      <c r="P81" s="1" t="str">
        <f t="shared" si="96"/>
        <v>每日可购买符石争夺&lt;color=#37c21b&gt;x&lt;/color&gt;次</v>
      </c>
      <c r="Q81" s="1" t="str">
        <f t="shared" si="96"/>
        <v>开启五连扫荡功能</v>
      </c>
      <c r="R81" s="1" t="str">
        <f t="shared" si="96"/>
        <v>每日可参与擂台赛&lt;color=#37c21b&gt;x&lt;/color&gt;次</v>
      </c>
      <c r="S81" s="1" t="str">
        <f t="shared" si="96"/>
        <v>每日可购买擂台赛&lt;color=#37c21b&gt;x&lt;/color&gt;次</v>
      </c>
      <c r="T81" s="1" t="str">
        <f t="shared" si="96"/>
        <v>每日可参与大乱斗&lt;color=#37c21b&gt;x&lt;/color&gt;次</v>
      </c>
      <c r="U81" s="1" t="str">
        <f t="shared" si="96"/>
        <v>每日可购买大乱斗&lt;color=#37c21b&gt;x&lt;/color&gt;次</v>
      </c>
      <c r="V81" s="1" t="str">
        <f t="shared" si="96"/>
        <v>每日可参与排位赛&lt;color=#37c21b&gt;x&lt;/color&gt;次</v>
      </c>
      <c r="W81" s="1" t="str">
        <f t="shared" si="96"/>
        <v>每日可购买排位赛&lt;color=#37c21b&gt;x&lt;/color&gt;次</v>
      </c>
      <c r="X81" s="1" t="str">
        <f t="shared" si="96"/>
        <v>&lt;color=#37c21b&gt;每日可参与跨服演武&lt;color=#37c21b&gt;x&lt;/color&gt;次&lt;/color&gt;</v>
      </c>
      <c r="Y81" s="1" t="str">
        <f t="shared" si="96"/>
        <v/>
      </c>
      <c r="Z81" s="1" t="str">
        <f t="shared" si="96"/>
        <v>可在时装界面购买时装</v>
      </c>
      <c r="AA81" s="1" t="str">
        <f t="shared" si="96"/>
        <v>每日精英关卡挑战加&lt;color=#37c21b&gt;1&lt;/color&gt;次</v>
      </c>
      <c r="AB81" s="1" t="str">
        <f t="shared" si="96"/>
        <v>可快速完成探险寻宝任务</v>
      </c>
      <c r="AC81" s="1" t="str">
        <f t="shared" si="96"/>
        <v>超神之路各难度通关后可直接扫荡</v>
      </c>
      <c r="AD81" s="1" t="str">
        <f t="shared" si="96"/>
        <v>可在精彩活动界面购买投资计划</v>
      </c>
      <c r="AE81" s="1" t="str">
        <f t="shared" si="96"/>
        <v>可在公会使用高级捐献</v>
      </c>
      <c r="AF81" s="1" t="str">
        <f t="shared" si="96"/>
        <v>可使用觉醒十次功能</v>
      </c>
      <c r="AG81" s="1" t="str">
        <f t="shared" si="96"/>
        <v>每日可开启神秘魔石增加&lt;color=#37c21b&gt;x&lt;/color&gt;次</v>
      </c>
    </row>
    <row r="82" spans="2:33">
      <c r="B82" s="1">
        <v>16</v>
      </c>
      <c r="C82" s="1" t="str">
        <f t="shared" ref="C82" si="103">IF(C62="","",IF(C42=1,C62,C62))</f>
        <v>需要充值达到&lt;color=#37c21b&gt;300000&lt;/color&gt;钻石即可享受相应特权</v>
      </c>
      <c r="D82" s="1" t="str">
        <f t="shared" si="86"/>
        <v>每日可购买体力&lt;color=#37c21b&gt;18&lt;/color&gt;次</v>
      </c>
      <c r="E82" s="1" t="str">
        <f t="shared" si="86"/>
        <v>每日可点金&lt;color=#37c21b&gt;160&lt;/color&gt;次</v>
      </c>
      <c r="F82" s="1" t="str">
        <f t="shared" si="96"/>
        <v>每天每个精英副本可重置&lt;color=#37c21b&gt;5&lt;/color&gt;次</v>
      </c>
      <c r="G82" s="1" t="str">
        <f t="shared" si="96"/>
        <v>每日可购买竞技场&lt;color=#37c21b&gt;5&lt;/color&gt;次</v>
      </c>
      <c r="H82" s="1" t="str">
        <f t="shared" si="96"/>
        <v>单次副本最大扫荡次数提高至&lt;color=#37c21b&gt;20&lt;/color&gt;次</v>
      </c>
      <c r="I82" s="1" t="str">
        <f t="shared" si="96"/>
        <v>竞技场冷却时间降至&lt;color=#37c21b&gt;1&lt;/color&gt;分钟</v>
      </c>
      <c r="J82" s="1" t="str">
        <f t="shared" si="96"/>
        <v>公会内可使用高级建设功能</v>
      </c>
      <c r="K82" s="1" t="str">
        <f t="shared" si="96"/>
        <v>每日可领取高级令&lt;color=#37c21b&gt;1&lt;/color&gt;个</v>
      </c>
      <c r="L82" s="1" t="str">
        <f t="shared" si="96"/>
        <v>每日可领取顶级令&lt;color=#37c21b&gt;1&lt;/color&gt;个</v>
      </c>
      <c r="M82" s="1" t="str">
        <f t="shared" si="96"/>
        <v>可快速完成勇士试炼任务</v>
      </c>
      <c r="N82" s="1" t="str">
        <f t="shared" si="96"/>
        <v>每日可参与组队副本&lt;color=#37c21b&gt;x&lt;/color&gt;次</v>
      </c>
      <c r="O82" s="1" t="str">
        <f t="shared" si="96"/>
        <v>每日可参与符石争夺&lt;color=#37c21b&gt;x&lt;/color&gt;次</v>
      </c>
      <c r="P82" s="1" t="str">
        <f t="shared" si="96"/>
        <v>每日可购买符石争夺&lt;color=#37c21b&gt;x&lt;/color&gt;次</v>
      </c>
      <c r="Q82" s="1" t="str">
        <f t="shared" si="96"/>
        <v>开启五连扫荡功能</v>
      </c>
      <c r="R82" s="1" t="str">
        <f t="shared" si="96"/>
        <v>每日可参与擂台赛&lt;color=#37c21b&gt;x&lt;/color&gt;次</v>
      </c>
      <c r="S82" s="1" t="str">
        <f t="shared" si="96"/>
        <v>每日可购买擂台赛&lt;color=#37c21b&gt;x&lt;/color&gt;次</v>
      </c>
      <c r="T82" s="1" t="str">
        <f t="shared" si="96"/>
        <v>每日可参与大乱斗&lt;color=#37c21b&gt;x&lt;/color&gt;次</v>
      </c>
      <c r="U82" s="1" t="str">
        <f t="shared" si="96"/>
        <v>每日可购买大乱斗&lt;color=#37c21b&gt;x&lt;/color&gt;次</v>
      </c>
      <c r="V82" s="1" t="str">
        <f t="shared" si="96"/>
        <v>每日可参与排位赛&lt;color=#37c21b&gt;x&lt;/color&gt;次</v>
      </c>
      <c r="W82" s="1" t="str">
        <f t="shared" si="96"/>
        <v>每日可购买排位赛&lt;color=#37c21b&gt;x&lt;/color&gt;次</v>
      </c>
      <c r="X82" s="1" t="str">
        <f t="shared" si="96"/>
        <v>每日可参与跨服演武&lt;color=#37c21b&gt;x&lt;/color&gt;次</v>
      </c>
      <c r="Y82" s="1" t="str">
        <f t="shared" si="96"/>
        <v/>
      </c>
      <c r="Z82" s="1" t="str">
        <f t="shared" si="96"/>
        <v>可在时装界面购买时装</v>
      </c>
      <c r="AA82" s="1" t="str">
        <f t="shared" si="96"/>
        <v>每日精英关卡挑战加&lt;color=#37c21b&gt;1&lt;/color&gt;次</v>
      </c>
      <c r="AB82" s="1" t="str">
        <f t="shared" si="96"/>
        <v>可快速完成探险寻宝任务</v>
      </c>
      <c r="AC82" s="1" t="str">
        <f t="shared" si="96"/>
        <v>超神之路各难度通关后可直接扫荡</v>
      </c>
      <c r="AD82" s="1" t="str">
        <f t="shared" si="96"/>
        <v>可在精彩活动界面购买投资计划</v>
      </c>
      <c r="AE82" s="1" t="str">
        <f t="shared" si="96"/>
        <v>可在公会使用高级捐献</v>
      </c>
      <c r="AF82" s="1" t="str">
        <f t="shared" si="96"/>
        <v>可使用觉醒十次功能</v>
      </c>
      <c r="AG82" s="1" t="str">
        <f t="shared" si="96"/>
        <v>每日可开启神秘魔石增加&lt;color=#37c21b&gt;x&lt;/color&gt;次</v>
      </c>
    </row>
    <row r="83" spans="2:33">
      <c r="B83" s="1">
        <v>17</v>
      </c>
      <c r="C83" s="1" t="str">
        <f t="shared" ref="C83" si="104">IF(C63="","",IF(C43=1,C63,C63))</f>
        <v>需要充值达到&lt;color=#37c21b&gt;500000&lt;/color&gt;钻石即可享受相应特权</v>
      </c>
      <c r="D83" s="1" t="str">
        <f t="shared" si="86"/>
        <v>每日可购买体力&lt;color=#37c21b&gt;19&lt;/color&gt;次</v>
      </c>
      <c r="E83" s="1" t="str">
        <f t="shared" si="86"/>
        <v>每日可点金&lt;color=#37c21b&gt;160&lt;/color&gt;次</v>
      </c>
      <c r="F83" s="1" t="str">
        <f t="shared" si="96"/>
        <v>每天每个精英副本可重置&lt;color=#37c21b&gt;5&lt;/color&gt;次</v>
      </c>
      <c r="G83" s="1" t="str">
        <f t="shared" si="96"/>
        <v>每日可购买竞技场&lt;color=#37c21b&gt;5&lt;/color&gt;次</v>
      </c>
      <c r="H83" s="1" t="str">
        <f t="shared" si="96"/>
        <v>单次副本最大扫荡次数提高至&lt;color=#37c21b&gt;20&lt;/color&gt;次</v>
      </c>
      <c r="I83" s="1" t="str">
        <f t="shared" si="96"/>
        <v>竞技场冷却时间降至&lt;color=#37c21b&gt;1&lt;/color&gt;分钟</v>
      </c>
      <c r="J83" s="1" t="str">
        <f t="shared" si="96"/>
        <v>公会内可使用高级建设功能</v>
      </c>
      <c r="K83" s="1" t="str">
        <f t="shared" si="96"/>
        <v>每日可领取高级令&lt;color=#37c21b&gt;1&lt;/color&gt;个</v>
      </c>
      <c r="L83" s="1" t="str">
        <f t="shared" si="96"/>
        <v>每日可领取顶级令&lt;color=#37c21b&gt;1&lt;/color&gt;个</v>
      </c>
      <c r="M83" s="1" t="str">
        <f t="shared" si="96"/>
        <v>可快速完成勇士试炼任务</v>
      </c>
      <c r="N83" s="1" t="str">
        <f t="shared" si="96"/>
        <v>每日可参与组队副本&lt;color=#37c21b&gt;x&lt;/color&gt;次</v>
      </c>
      <c r="O83" s="1" t="str">
        <f t="shared" si="96"/>
        <v>每日可参与符石争夺&lt;color=#37c21b&gt;x&lt;/color&gt;次</v>
      </c>
      <c r="P83" s="1" t="str">
        <f t="shared" si="96"/>
        <v>每日可购买符石争夺&lt;color=#37c21b&gt;x&lt;/color&gt;次</v>
      </c>
      <c r="Q83" s="1" t="str">
        <f t="shared" si="96"/>
        <v>开启五连扫荡功能</v>
      </c>
      <c r="R83" s="1" t="str">
        <f t="shared" si="96"/>
        <v>每日可参与擂台赛&lt;color=#37c21b&gt;x&lt;/color&gt;次</v>
      </c>
      <c r="S83" s="1" t="str">
        <f t="shared" si="96"/>
        <v>每日可购买擂台赛&lt;color=#37c21b&gt;x&lt;/color&gt;次</v>
      </c>
      <c r="T83" s="1" t="str">
        <f t="shared" si="96"/>
        <v>每日可参与大乱斗&lt;color=#37c21b&gt;x&lt;/color&gt;次</v>
      </c>
      <c r="U83" s="1" t="str">
        <f t="shared" si="96"/>
        <v>每日可购买大乱斗&lt;color=#37c21b&gt;x&lt;/color&gt;次</v>
      </c>
      <c r="V83" s="1" t="str">
        <f t="shared" si="96"/>
        <v>每日可参与排位赛&lt;color=#37c21b&gt;x&lt;/color&gt;次</v>
      </c>
      <c r="W83" s="1" t="str">
        <f t="shared" si="96"/>
        <v>每日可购买排位赛&lt;color=#37c21b&gt;x&lt;/color&gt;次</v>
      </c>
      <c r="X83" s="1" t="str">
        <f t="shared" si="96"/>
        <v>每日可参与跨服演武&lt;color=#37c21b&gt;x&lt;/color&gt;次</v>
      </c>
      <c r="Y83" s="1" t="str">
        <f t="shared" si="96"/>
        <v/>
      </c>
      <c r="Z83" s="1" t="str">
        <f t="shared" si="96"/>
        <v>可在时装界面购买时装</v>
      </c>
      <c r="AA83" s="1" t="str">
        <f t="shared" si="96"/>
        <v>每日精英关卡挑战加&lt;color=#37c21b&gt;1&lt;/color&gt;次</v>
      </c>
      <c r="AB83" s="1" t="str">
        <f t="shared" si="96"/>
        <v>可快速完成探险寻宝任务</v>
      </c>
      <c r="AC83" s="1" t="str">
        <f t="shared" si="96"/>
        <v>超神之路各难度通关后可直接扫荡</v>
      </c>
      <c r="AD83" s="1" t="str">
        <f t="shared" si="96"/>
        <v>可在精彩活动界面购买投资计划</v>
      </c>
      <c r="AE83" s="1" t="str">
        <f t="shared" si="96"/>
        <v>可在公会使用高级捐献</v>
      </c>
      <c r="AF83" s="1" t="str">
        <f t="shared" si="96"/>
        <v>可使用觉醒十次功能</v>
      </c>
      <c r="AG83" s="1" t="str">
        <f t="shared" si="96"/>
        <v>每日可开启神秘魔石增加&lt;color=#37c21b&gt;x&lt;/color&gt;次</v>
      </c>
    </row>
    <row r="84" spans="2:33">
      <c r="B84" s="1">
        <v>18</v>
      </c>
      <c r="C84" s="1" t="str">
        <f t="shared" ref="C84" si="105">IF(C64="","",IF(C44=1,C64,C64))</f>
        <v>需要充值达到&lt;color=#37c21b&gt;800000&lt;/color&gt;钻石即可享受相应特权</v>
      </c>
      <c r="D84" s="1" t="str">
        <f t="shared" si="86"/>
        <v>每日可购买体力&lt;color=#37c21b&gt;20&lt;/color&gt;次</v>
      </c>
      <c r="E84" s="1" t="str">
        <f t="shared" si="86"/>
        <v>每日可点金&lt;color=#37c21b&gt;160&lt;/color&gt;次</v>
      </c>
      <c r="F84" s="1" t="str">
        <f t="shared" si="96"/>
        <v>每天每个精英副本可重置&lt;color=#37c21b&gt;5&lt;/color&gt;次</v>
      </c>
      <c r="G84" s="1" t="str">
        <f t="shared" si="96"/>
        <v>每日可购买竞技场&lt;color=#37c21b&gt;5&lt;/color&gt;次</v>
      </c>
      <c r="H84" s="1" t="str">
        <f t="shared" ref="H84:AG84" si="106">IF(H64="","",IF(H44=1,"&lt;color=#37c21b&gt;"&amp;H64&amp;"&lt;/color&gt;",H64))</f>
        <v>单次副本最大扫荡次数提高至&lt;color=#37c21b&gt;20&lt;/color&gt;次</v>
      </c>
      <c r="I84" s="1" t="str">
        <f t="shared" si="106"/>
        <v>竞技场冷却时间降至&lt;color=#37c21b&gt;1&lt;/color&gt;分钟</v>
      </c>
      <c r="J84" s="1" t="str">
        <f t="shared" si="106"/>
        <v>公会内可使用高级建设功能</v>
      </c>
      <c r="K84" s="1" t="str">
        <f t="shared" si="106"/>
        <v>每日可领取高级令&lt;color=#37c21b&gt;1&lt;/color&gt;个</v>
      </c>
      <c r="L84" s="1" t="str">
        <f t="shared" si="106"/>
        <v>每日可领取顶级令&lt;color=#37c21b&gt;1&lt;/color&gt;个</v>
      </c>
      <c r="M84" s="1" t="str">
        <f t="shared" si="106"/>
        <v>可快速完成勇士试炼任务</v>
      </c>
      <c r="N84" s="1" t="str">
        <f t="shared" si="106"/>
        <v>每日可参与组队副本&lt;color=#37c21b&gt;x&lt;/color&gt;次</v>
      </c>
      <c r="O84" s="1" t="str">
        <f t="shared" si="106"/>
        <v>每日可参与符石争夺&lt;color=#37c21b&gt;x&lt;/color&gt;次</v>
      </c>
      <c r="P84" s="1" t="str">
        <f t="shared" si="106"/>
        <v>每日可购买符石争夺&lt;color=#37c21b&gt;x&lt;/color&gt;次</v>
      </c>
      <c r="Q84" s="1" t="str">
        <f t="shared" si="106"/>
        <v>开启五连扫荡功能</v>
      </c>
      <c r="R84" s="1" t="str">
        <f t="shared" si="106"/>
        <v>每日可参与擂台赛&lt;color=#37c21b&gt;x&lt;/color&gt;次</v>
      </c>
      <c r="S84" s="1" t="str">
        <f t="shared" si="106"/>
        <v>每日可购买擂台赛&lt;color=#37c21b&gt;x&lt;/color&gt;次</v>
      </c>
      <c r="T84" s="1" t="str">
        <f t="shared" si="106"/>
        <v>每日可参与大乱斗&lt;color=#37c21b&gt;x&lt;/color&gt;次</v>
      </c>
      <c r="U84" s="1" t="str">
        <f t="shared" si="106"/>
        <v>每日可购买大乱斗&lt;color=#37c21b&gt;x&lt;/color&gt;次</v>
      </c>
      <c r="V84" s="1" t="str">
        <f t="shared" si="106"/>
        <v>每日可参与排位赛&lt;color=#37c21b&gt;x&lt;/color&gt;次</v>
      </c>
      <c r="W84" s="1" t="str">
        <f t="shared" si="106"/>
        <v>每日可购买排位赛&lt;color=#37c21b&gt;x&lt;/color&gt;次</v>
      </c>
      <c r="X84" s="1" t="str">
        <f t="shared" si="106"/>
        <v>每日可参与跨服演武&lt;color=#37c21b&gt;x&lt;/color&gt;次</v>
      </c>
      <c r="Y84" s="1" t="str">
        <f t="shared" si="106"/>
        <v/>
      </c>
      <c r="Z84" s="1" t="str">
        <f t="shared" si="106"/>
        <v>可在时装界面购买时装</v>
      </c>
      <c r="AA84" s="1" t="str">
        <f t="shared" si="106"/>
        <v>每日精英关卡挑战加&lt;color=#37c21b&gt;1&lt;/color&gt;次</v>
      </c>
      <c r="AB84" s="1" t="str">
        <f t="shared" si="106"/>
        <v>可快速完成探险寻宝任务</v>
      </c>
      <c r="AC84" s="1" t="str">
        <f t="shared" si="106"/>
        <v>超神之路各难度通关后可直接扫荡</v>
      </c>
      <c r="AD84" s="1" t="str">
        <f t="shared" si="106"/>
        <v>可在精彩活动界面购买投资计划</v>
      </c>
      <c r="AE84" s="1" t="str">
        <f t="shared" si="106"/>
        <v>可在公会使用高级捐献</v>
      </c>
      <c r="AF84" s="1" t="str">
        <f t="shared" si="106"/>
        <v>可使用觉醒十次功能</v>
      </c>
      <c r="AG84" s="1" t="str">
        <f t="shared" si="106"/>
        <v>每日可开启神秘魔石增加&lt;color=#37c21b&gt;x&lt;/color&gt;次</v>
      </c>
    </row>
    <row r="85" spans="2:33" s="6" customFormat="1"/>
    <row r="86" spans="2:33">
      <c r="B86" s="1">
        <v>0</v>
      </c>
      <c r="D86" s="1" t="s">
        <v>180</v>
      </c>
    </row>
    <row r="87" spans="2:33">
      <c r="B87" s="1">
        <v>1</v>
      </c>
      <c r="D87" s="1" t="s">
        <v>183</v>
      </c>
    </row>
    <row r="88" spans="2:33">
      <c r="B88" s="1">
        <v>2</v>
      </c>
      <c r="D88" s="1" t="s">
        <v>165</v>
      </c>
    </row>
    <row r="89" spans="2:33">
      <c r="B89" s="1">
        <v>3</v>
      </c>
      <c r="D89" s="1" t="s">
        <v>166</v>
      </c>
    </row>
    <row r="90" spans="2:33">
      <c r="B90" s="1">
        <v>4</v>
      </c>
      <c r="D90" s="1" t="s">
        <v>167</v>
      </c>
    </row>
    <row r="91" spans="2:33">
      <c r="B91" s="1">
        <v>5</v>
      </c>
      <c r="D91" s="1" t="s">
        <v>181</v>
      </c>
    </row>
    <row r="92" spans="2:33">
      <c r="B92" s="1">
        <v>6</v>
      </c>
      <c r="D92" s="1" t="s">
        <v>168</v>
      </c>
    </row>
    <row r="93" spans="2:33">
      <c r="B93" s="1">
        <v>7</v>
      </c>
      <c r="D93" s="1" t="s">
        <v>169</v>
      </c>
    </row>
    <row r="94" spans="2:33">
      <c r="B94" s="1">
        <v>8</v>
      </c>
      <c r="D94" s="1" t="s">
        <v>170</v>
      </c>
    </row>
    <row r="95" spans="2:33">
      <c r="B95" s="1">
        <v>9</v>
      </c>
      <c r="D95" s="1" t="s">
        <v>171</v>
      </c>
    </row>
    <row r="96" spans="2:33">
      <c r="B96" s="1">
        <v>10</v>
      </c>
      <c r="D96" s="1" t="s">
        <v>172</v>
      </c>
    </row>
    <row r="97" spans="2:4">
      <c r="B97" s="1">
        <v>11</v>
      </c>
      <c r="D97" s="1" t="s">
        <v>173</v>
      </c>
    </row>
    <row r="98" spans="2:4">
      <c r="B98" s="1">
        <v>12</v>
      </c>
      <c r="D98" s="1" t="s">
        <v>174</v>
      </c>
    </row>
    <row r="99" spans="2:4">
      <c r="B99" s="1">
        <v>13</v>
      </c>
      <c r="D99" s="1" t="s">
        <v>175</v>
      </c>
    </row>
    <row r="100" spans="2:4">
      <c r="B100" s="1">
        <v>14</v>
      </c>
      <c r="D100" s="1" t="s">
        <v>176</v>
      </c>
    </row>
    <row r="101" spans="2:4">
      <c r="B101" s="1">
        <v>15</v>
      </c>
      <c r="D101" s="1" t="s">
        <v>177</v>
      </c>
    </row>
    <row r="102" spans="2:4">
      <c r="B102" s="1">
        <v>16</v>
      </c>
      <c r="D102" s="1" t="s">
        <v>178</v>
      </c>
    </row>
    <row r="103" spans="2:4">
      <c r="B103" s="1">
        <v>17</v>
      </c>
      <c r="D103" s="1" t="s">
        <v>182</v>
      </c>
    </row>
    <row r="104" spans="2:4">
      <c r="B104" s="1">
        <v>18</v>
      </c>
      <c r="D104" s="1" t="s">
        <v>179</v>
      </c>
    </row>
  </sheetData>
  <phoneticPr fontId="2" type="noConversion"/>
  <conditionalFormatting sqref="C26:T44">
    <cfRule type="cellIs" dxfId="5" priority="4" operator="greaterThan">
      <formula>0</formula>
    </cfRule>
    <cfRule type="cellIs" dxfId="4" priority="5" operator="greaterThan">
      <formula>0.5</formula>
    </cfRule>
    <cfRule type="cellIs" dxfId="3" priority="6" operator="greaterThan">
      <formula>0</formula>
    </cfRule>
  </conditionalFormatting>
  <conditionalFormatting sqref="U27:AG44">
    <cfRule type="cellIs" dxfId="2" priority="1" operator="greaterThan">
      <formula>0</formula>
    </cfRule>
    <cfRule type="cellIs" dxfId="1" priority="2" operator="greaterThan">
      <formula>0.5</formula>
    </cfRule>
    <cfRule type="cellIs" dxfId="0" priority="3" operator="greaterThan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21">
          <controlPr autoLine="0" r:id="rId4">
            <anchor moveWithCells="1">
              <from>
                <xdr:col>0</xdr:col>
                <xdr:colOff>219075</xdr:colOff>
                <xdr:row>72</xdr:row>
                <xdr:rowOff>19050</xdr:rowOff>
              </from>
              <to>
                <xdr:col>1</xdr:col>
                <xdr:colOff>447675</xdr:colOff>
                <xdr:row>74</xdr:row>
                <xdr:rowOff>38100</xdr:rowOff>
              </to>
            </anchor>
          </controlPr>
        </control>
      </mc:Choice>
      <mc:Fallback>
        <control shapeId="2051" r:id="rId3" name="CommandButton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Z19"/>
  <sheetViews>
    <sheetView workbookViewId="0">
      <selection activeCell="S2" sqref="S2"/>
    </sheetView>
  </sheetViews>
  <sheetFormatPr defaultRowHeight="11.25"/>
  <cols>
    <col min="1" max="1" width="9" style="1"/>
    <col min="2" max="2" width="6.75" style="1" bestFit="1" customWidth="1"/>
    <col min="3" max="4" width="13.5" style="1" customWidth="1"/>
    <col min="5" max="16384" width="9" style="1"/>
  </cols>
  <sheetData>
    <row r="1" spans="2:26" s="5" customFormat="1" ht="33.75">
      <c r="B1" s="5" t="str">
        <f>vip数据表!B2</f>
        <v>vip等级</v>
      </c>
      <c r="C1" s="5" t="str">
        <f>vip数据表!C2</f>
        <v>需要充值钻石</v>
      </c>
      <c r="D1" s="5" t="str">
        <f>vip数据表!D2</f>
        <v>购买体力次数</v>
      </c>
      <c r="E1" s="5" t="str">
        <f>vip数据表!F2</f>
        <v>每天每个精英副本重置次数</v>
      </c>
      <c r="F1" s="5" t="str">
        <f>vip数据表!G2</f>
        <v>每日竞技场购买次数</v>
      </c>
      <c r="G1" s="5" t="str">
        <f>vip数据表!H2</f>
        <v>副本最大扫荡次数</v>
      </c>
      <c r="H1" s="5" t="str">
        <f>vip数据表!I2</f>
        <v>竞技场冷却时间</v>
      </c>
      <c r="I1" s="5" t="str">
        <f>vip数据表!J2</f>
        <v>公会可使用高级建设</v>
      </c>
      <c r="J1" s="5" t="str">
        <f>vip数据表!O2</f>
        <v>符石争夺每日免费次数</v>
      </c>
      <c r="K1" s="5" t="str">
        <f>vip数据表!P2</f>
        <v>符石争夺每日可购买次数</v>
      </c>
      <c r="L1" s="5" t="str">
        <f>vip数据表!Q2</f>
        <v>开启连续扫荡功能</v>
      </c>
      <c r="M1" s="5" t="str">
        <f>vip数据表!R2</f>
        <v>每日可参与擂台赛次数</v>
      </c>
      <c r="N1" s="5" t="str">
        <f>vip数据表!S2</f>
        <v>每日可购买擂台赛次数</v>
      </c>
      <c r="Q1" s="5" t="str">
        <f>vip数据表!V2</f>
        <v>排位赛每日免费次数</v>
      </c>
      <c r="R1" s="5" t="str">
        <f>vip数据表!W2</f>
        <v>排位赛每日可购买次数</v>
      </c>
      <c r="S1" s="5" t="str">
        <f>vip数据表!U2</f>
        <v>每日可购买大乱斗次数</v>
      </c>
      <c r="T1" s="5" t="str">
        <f>vip数据表!T2</f>
        <v>每日可参与大乱斗次数</v>
      </c>
      <c r="U1" s="5" t="str">
        <f>vip数据表!AC2</f>
        <v>超神之路各难度通关后可直接扫荡</v>
      </c>
      <c r="V1" s="5" t="str">
        <f>vip数据表!M2</f>
        <v>勇士试炼可快速完成</v>
      </c>
      <c r="W1" s="5" t="str">
        <f>V1</f>
        <v>勇士试炼可快速完成</v>
      </c>
      <c r="X1" s="5" t="str">
        <f>V1</f>
        <v>勇士试炼可快速完成</v>
      </c>
      <c r="Y1" s="5" t="str">
        <f>vip数据表!N2</f>
        <v>组队副本每日免费次数</v>
      </c>
      <c r="Z1" s="5" t="str">
        <f>vip数据表!L2</f>
        <v>顶级令每天免费领取个数</v>
      </c>
    </row>
    <row r="2" spans="2:26" s="5" customFormat="1" ht="54">
      <c r="B2" s="20" t="s">
        <v>65</v>
      </c>
      <c r="C2" s="20" t="s">
        <v>66</v>
      </c>
      <c r="D2" s="20" t="s">
        <v>67</v>
      </c>
      <c r="E2" s="20" t="s">
        <v>68</v>
      </c>
      <c r="F2" s="20" t="s">
        <v>69</v>
      </c>
      <c r="G2" s="20" t="s">
        <v>70</v>
      </c>
      <c r="H2" s="20" t="s">
        <v>71</v>
      </c>
      <c r="I2" s="20" t="s">
        <v>72</v>
      </c>
      <c r="J2" s="20" t="s">
        <v>73</v>
      </c>
      <c r="K2" s="20" t="s">
        <v>74</v>
      </c>
      <c r="L2" s="20" t="s">
        <v>75</v>
      </c>
      <c r="M2" s="20" t="s">
        <v>76</v>
      </c>
      <c r="N2" s="20" t="s">
        <v>77</v>
      </c>
      <c r="O2" s="20" t="s">
        <v>78</v>
      </c>
      <c r="P2" s="21" t="s">
        <v>79</v>
      </c>
      <c r="Q2" s="22" t="s">
        <v>80</v>
      </c>
      <c r="R2" s="22" t="s">
        <v>81</v>
      </c>
      <c r="S2" s="22" t="s">
        <v>82</v>
      </c>
      <c r="T2" s="21" t="s">
        <v>83</v>
      </c>
      <c r="U2" s="23" t="s">
        <v>84</v>
      </c>
      <c r="V2" s="22" t="s">
        <v>85</v>
      </c>
      <c r="W2" s="22" t="s">
        <v>86</v>
      </c>
      <c r="X2" s="22" t="s">
        <v>87</v>
      </c>
      <c r="Y2" s="22" t="s">
        <v>88</v>
      </c>
      <c r="Z2" s="22" t="s">
        <v>89</v>
      </c>
    </row>
    <row r="3" spans="2:26" ht="15.75">
      <c r="B3" s="13" t="s">
        <v>90</v>
      </c>
      <c r="C3" s="14" t="s">
        <v>91</v>
      </c>
      <c r="D3" s="10" t="s">
        <v>92</v>
      </c>
      <c r="E3" s="10" t="s">
        <v>93</v>
      </c>
      <c r="F3" s="10" t="s">
        <v>94</v>
      </c>
      <c r="G3" s="15" t="s">
        <v>95</v>
      </c>
      <c r="H3" s="15" t="s">
        <v>96</v>
      </c>
      <c r="I3" s="10" t="s">
        <v>97</v>
      </c>
      <c r="J3" s="16" t="s">
        <v>98</v>
      </c>
      <c r="K3" s="16" t="s">
        <v>99</v>
      </c>
      <c r="L3" s="10" t="s">
        <v>100</v>
      </c>
      <c r="M3" s="10" t="s">
        <v>101</v>
      </c>
      <c r="N3" s="16" t="s">
        <v>102</v>
      </c>
      <c r="O3" s="10" t="s">
        <v>103</v>
      </c>
      <c r="P3" s="11" t="s">
        <v>104</v>
      </c>
      <c r="Q3" s="12" t="s">
        <v>105</v>
      </c>
      <c r="R3" s="12" t="s">
        <v>106</v>
      </c>
      <c r="S3" s="12" t="s">
        <v>107</v>
      </c>
      <c r="T3" s="11" t="s">
        <v>108</v>
      </c>
      <c r="U3" s="14" t="s">
        <v>109</v>
      </c>
      <c r="V3" s="12" t="s">
        <v>110</v>
      </c>
      <c r="W3" s="12" t="s">
        <v>111</v>
      </c>
      <c r="X3" s="12" t="s">
        <v>112</v>
      </c>
      <c r="Y3" s="12" t="s">
        <v>113</v>
      </c>
      <c r="Z3" s="12" t="s">
        <v>114</v>
      </c>
    </row>
    <row r="4" spans="2:26" ht="13.5">
      <c r="B4" s="17">
        <v>0</v>
      </c>
      <c r="C4" s="18">
        <v>60</v>
      </c>
      <c r="D4" s="10">
        <v>0</v>
      </c>
      <c r="E4" s="10">
        <f>HLOOKUP(E$1,vip数据表!$B$2:$AD$19,ROW(vip数据表!$A3),FALSE)</f>
        <v>1</v>
      </c>
      <c r="F4" s="10">
        <f>HLOOKUP(F$1,vip数据表!$B$2:$AD$19,ROW(vip数据表!$A3),FALSE)</f>
        <v>2</v>
      </c>
      <c r="G4" s="10" t="str">
        <f>HLOOKUP(G$1,vip数据表!$B$2:$AD$19,ROW(vip数据表!$A3),FALSE)</f>
        <v>5</v>
      </c>
      <c r="H4" s="10">
        <f>HLOOKUP(H$1,vip数据表!$B$2:$AD$19,ROW(vip数据表!$A3),FALSE)</f>
        <v>10</v>
      </c>
      <c r="I4" s="10">
        <f>HLOOKUP(I$1,vip数据表!$B$2:$AD$19,ROW(vip数据表!$A3),FALSE)</f>
        <v>0</v>
      </c>
      <c r="J4" s="10">
        <f>HLOOKUP(J$1,vip数据表!$B$2:$AD$19,ROW(vip数据表!$A3),FALSE)</f>
        <v>5</v>
      </c>
      <c r="K4" s="10">
        <f>HLOOKUP(K$1,vip数据表!$B$2:$AD$19,ROW(vip数据表!$A3),FALSE)</f>
        <v>2</v>
      </c>
      <c r="L4" s="10">
        <f>HLOOKUP(L$1,vip数据表!$B$2:$AD$19,ROW(vip数据表!$A3),FALSE)</f>
        <v>0</v>
      </c>
      <c r="M4" s="10">
        <f>HLOOKUP(M$1,vip数据表!$B$2:$AD$19,ROW(vip数据表!$A3),FALSE)</f>
        <v>5</v>
      </c>
      <c r="N4" s="10">
        <f>HLOOKUP(N$1,vip数据表!$B$2:$AD$19,ROW(vip数据表!$A3),FALSE)</f>
        <v>2</v>
      </c>
      <c r="O4" s="10">
        <v>1</v>
      </c>
      <c r="P4" s="12" t="s">
        <v>120</v>
      </c>
      <c r="Q4" s="10">
        <f>HLOOKUP(Q$1,vip数据表!$B$2:$AD$19,ROW(vip数据表!$A3),FALSE)</f>
        <v>5</v>
      </c>
      <c r="R4" s="10">
        <f>HLOOKUP(R$1,vip数据表!$B$2:$AD$19,ROW(vip数据表!$A3),FALSE)</f>
        <v>2</v>
      </c>
      <c r="S4" s="10">
        <f>HLOOKUP(S$1,vip数据表!$B$2:$AD$19,ROW(vip数据表!$A3),FALSE)</f>
        <v>2</v>
      </c>
      <c r="T4" s="10">
        <f>HLOOKUP(T$1,vip数据表!$B$2:$AD$19,ROW(vip数据表!$A3),FALSE)</f>
        <v>5</v>
      </c>
      <c r="U4" s="10">
        <f>HLOOKUP(U$1,vip数据表!$B$2:$AD$19,ROW(vip数据表!$A3),FALSE)</f>
        <v>0</v>
      </c>
      <c r="V4" s="10">
        <f>HLOOKUP(V$1,vip数据表!$B$2:$AD$19,ROW(vip数据表!$A3),FALSE)</f>
        <v>0</v>
      </c>
      <c r="W4" s="10">
        <f>HLOOKUP(W$1,vip数据表!$B$2:$AD$19,ROW(vip数据表!$A3),FALSE)</f>
        <v>0</v>
      </c>
      <c r="X4" s="10">
        <f>HLOOKUP(X$1,vip数据表!$B$2:$AD$19,ROW(vip数据表!$A3),FALSE)</f>
        <v>0</v>
      </c>
      <c r="Y4" s="10">
        <f>HLOOKUP(Y$1,vip数据表!$B$2:$AD$19,ROW(vip数据表!$A3),FALSE)</f>
        <v>2</v>
      </c>
      <c r="Z4" s="10">
        <f>HLOOKUP(Z$1,vip数据表!$B$2:$AD$19,ROW(vip数据表!$A3),FALSE)</f>
        <v>0</v>
      </c>
    </row>
    <row r="5" spans="2:26" ht="13.5">
      <c r="B5" s="17">
        <v>1</v>
      </c>
      <c r="C5" s="18">
        <v>120</v>
      </c>
      <c r="D5" s="10">
        <v>1</v>
      </c>
      <c r="E5" s="10">
        <f>HLOOKUP(E$1,vip数据表!$B$2:$AD$19,ROW(vip数据表!$A4),FALSE)</f>
        <v>1</v>
      </c>
      <c r="F5" s="10">
        <f>HLOOKUP(F$1,vip数据表!$B$2:$AD$19,ROW(vip数据表!$A4),FALSE)</f>
        <v>2</v>
      </c>
      <c r="G5" s="10" t="str">
        <f>HLOOKUP(G$1,vip数据表!$B$2:$AD$19,ROW(vip数据表!$A4),FALSE)</f>
        <v>5</v>
      </c>
      <c r="H5" s="10">
        <f>HLOOKUP(H$1,vip数据表!$B$2:$AD$19,ROW(vip数据表!$A4),FALSE)</f>
        <v>10</v>
      </c>
      <c r="I5" s="10">
        <f>HLOOKUP(I$1,vip数据表!$B$2:$AD$19,ROW(vip数据表!$A4),FALSE)</f>
        <v>0</v>
      </c>
      <c r="J5" s="10">
        <f>HLOOKUP(J$1,vip数据表!$B$2:$AD$19,ROW(vip数据表!$A4),FALSE)</f>
        <v>5</v>
      </c>
      <c r="K5" s="10">
        <f>HLOOKUP(K$1,vip数据表!$B$2:$AD$19,ROW(vip数据表!$A4),FALSE)</f>
        <v>2</v>
      </c>
      <c r="L5" s="10">
        <f>HLOOKUP(L$1,vip数据表!$B$2:$AD$19,ROW(vip数据表!$A4),FALSE)</f>
        <v>0</v>
      </c>
      <c r="M5" s="10">
        <f>HLOOKUP(M$1,vip数据表!$B$2:$AD$19,ROW(vip数据表!$A4),FALSE)</f>
        <v>5</v>
      </c>
      <c r="N5" s="10">
        <f>HLOOKUP(N$1,vip数据表!$B$2:$AD$19,ROW(vip数据表!$A4),FALSE)</f>
        <v>2</v>
      </c>
      <c r="O5" s="10">
        <v>1</v>
      </c>
      <c r="P5" s="12" t="s">
        <v>120</v>
      </c>
      <c r="Q5" s="10">
        <f>HLOOKUP(Q$1,vip数据表!$B$2:$AD$19,ROW(vip数据表!$A4),FALSE)</f>
        <v>5</v>
      </c>
      <c r="R5" s="10">
        <f>HLOOKUP(R$1,vip数据表!$B$2:$AD$19,ROW(vip数据表!$A4),FALSE)</f>
        <v>2</v>
      </c>
      <c r="S5" s="10">
        <f>HLOOKUP(S$1,vip数据表!$B$2:$AD$19,ROW(vip数据表!$A4),FALSE)</f>
        <v>2</v>
      </c>
      <c r="T5" s="10">
        <f>HLOOKUP(T$1,vip数据表!$B$2:$AD$19,ROW(vip数据表!$A4),FALSE)</f>
        <v>5</v>
      </c>
      <c r="U5" s="10">
        <f>HLOOKUP(U$1,vip数据表!$B$2:$AD$19,ROW(vip数据表!$A4),FALSE)</f>
        <v>0</v>
      </c>
      <c r="V5" s="10">
        <f>HLOOKUP(V$1,vip数据表!$B$2:$AD$19,ROW(vip数据表!$A4),FALSE)</f>
        <v>0</v>
      </c>
      <c r="W5" s="10">
        <f>HLOOKUP(W$1,vip数据表!$B$2:$AD$19,ROW(vip数据表!$A4),FALSE)</f>
        <v>0</v>
      </c>
      <c r="X5" s="10">
        <f>HLOOKUP(X$1,vip数据表!$B$2:$AD$19,ROW(vip数据表!$A4),FALSE)</f>
        <v>0</v>
      </c>
      <c r="Y5" s="10">
        <f>HLOOKUP(Y$1,vip数据表!$B$2:$AD$19,ROW(vip数据表!$A4),FALSE)</f>
        <v>2</v>
      </c>
      <c r="Z5" s="10">
        <f>HLOOKUP(Z$1,vip数据表!$B$2:$AD$19,ROW(vip数据表!$A4),FALSE)</f>
        <v>0</v>
      </c>
    </row>
    <row r="6" spans="2:26" ht="13.5">
      <c r="B6" s="17">
        <v>2</v>
      </c>
      <c r="C6" s="18">
        <v>120</v>
      </c>
      <c r="D6" s="10">
        <v>1</v>
      </c>
      <c r="E6" s="10">
        <f>HLOOKUP(E$1,vip数据表!$B$2:$AD$19,ROW(vip数据表!$A5),FALSE)</f>
        <v>2</v>
      </c>
      <c r="F6" s="10">
        <f>HLOOKUP(F$1,vip数据表!$B$2:$AD$19,ROW(vip数据表!$A5),FALSE)</f>
        <v>2</v>
      </c>
      <c r="G6" s="10" t="str">
        <f>HLOOKUP(G$1,vip数据表!$B$2:$AD$19,ROW(vip数据表!$A5),FALSE)</f>
        <v>5</v>
      </c>
      <c r="H6" s="10">
        <f>HLOOKUP(H$1,vip数据表!$B$2:$AD$19,ROW(vip数据表!$A5),FALSE)</f>
        <v>10</v>
      </c>
      <c r="I6" s="10">
        <f>HLOOKUP(I$1,vip数据表!$B$2:$AD$19,ROW(vip数据表!$A5),FALSE)</f>
        <v>0</v>
      </c>
      <c r="J6" s="10">
        <f>HLOOKUP(J$1,vip数据表!$B$2:$AD$19,ROW(vip数据表!$A5),FALSE)</f>
        <v>5</v>
      </c>
      <c r="K6" s="10">
        <f>HLOOKUP(K$1,vip数据表!$B$2:$AD$19,ROW(vip数据表!$A5),FALSE)</f>
        <v>2</v>
      </c>
      <c r="L6" s="10">
        <f>HLOOKUP(L$1,vip数据表!$B$2:$AD$19,ROW(vip数据表!$A5),FALSE)</f>
        <v>0</v>
      </c>
      <c r="M6" s="10">
        <f>HLOOKUP(M$1,vip数据表!$B$2:$AD$19,ROW(vip数据表!$A5),FALSE)</f>
        <v>5</v>
      </c>
      <c r="N6" s="10">
        <f>HLOOKUP(N$1,vip数据表!$B$2:$AD$19,ROW(vip数据表!$A5),FALSE)</f>
        <v>2</v>
      </c>
      <c r="O6" s="10">
        <v>1</v>
      </c>
      <c r="P6" s="12" t="s">
        <v>120</v>
      </c>
      <c r="Q6" s="10">
        <f>HLOOKUP(Q$1,vip数据表!$B$2:$AD$19,ROW(vip数据表!$A5),FALSE)</f>
        <v>5</v>
      </c>
      <c r="R6" s="10">
        <f>HLOOKUP(R$1,vip数据表!$B$2:$AD$19,ROW(vip数据表!$A5),FALSE)</f>
        <v>2</v>
      </c>
      <c r="S6" s="10">
        <f>HLOOKUP(S$1,vip数据表!$B$2:$AD$19,ROW(vip数据表!$A5),FALSE)</f>
        <v>2</v>
      </c>
      <c r="T6" s="10">
        <f>HLOOKUP(T$1,vip数据表!$B$2:$AD$19,ROW(vip数据表!$A5),FALSE)</f>
        <v>5</v>
      </c>
      <c r="U6" s="10">
        <f>HLOOKUP(U$1,vip数据表!$B$2:$AD$19,ROW(vip数据表!$A5),FALSE)</f>
        <v>0</v>
      </c>
      <c r="V6" s="10">
        <f>HLOOKUP(V$1,vip数据表!$B$2:$AD$19,ROW(vip数据表!$A5),FALSE)</f>
        <v>0</v>
      </c>
      <c r="W6" s="10">
        <f>HLOOKUP(W$1,vip数据表!$B$2:$AD$19,ROW(vip数据表!$A5),FALSE)</f>
        <v>0</v>
      </c>
      <c r="X6" s="10">
        <f>HLOOKUP(X$1,vip数据表!$B$2:$AD$19,ROW(vip数据表!$A5),FALSE)</f>
        <v>0</v>
      </c>
      <c r="Y6" s="10">
        <f>HLOOKUP(Y$1,vip数据表!$B$2:$AD$19,ROW(vip数据表!$A5),FALSE)</f>
        <v>2</v>
      </c>
      <c r="Z6" s="10">
        <f>HLOOKUP(Z$1,vip数据表!$B$2:$AD$19,ROW(vip数据表!$A5),FALSE)</f>
        <v>0</v>
      </c>
    </row>
    <row r="7" spans="2:26" ht="13.5">
      <c r="B7" s="17">
        <v>3</v>
      </c>
      <c r="C7" s="18">
        <v>300</v>
      </c>
      <c r="D7" s="10">
        <v>1</v>
      </c>
      <c r="E7" s="10">
        <f>HLOOKUP(E$1,vip数据表!$B$2:$AD$19,ROW(vip数据表!$A6),FALSE)</f>
        <v>2</v>
      </c>
      <c r="F7" s="10">
        <f>HLOOKUP(F$1,vip数据表!$B$2:$AD$19,ROW(vip数据表!$A6),FALSE)</f>
        <v>2</v>
      </c>
      <c r="G7" s="10" t="str">
        <f>HLOOKUP(G$1,vip数据表!$B$2:$AD$19,ROW(vip数据表!$A6),FALSE)</f>
        <v>5</v>
      </c>
      <c r="H7" s="10">
        <f>HLOOKUP(H$1,vip数据表!$B$2:$AD$19,ROW(vip数据表!$A6),FALSE)</f>
        <v>10</v>
      </c>
      <c r="I7" s="10">
        <f>HLOOKUP(I$1,vip数据表!$B$2:$AD$19,ROW(vip数据表!$A6),FALSE)</f>
        <v>0</v>
      </c>
      <c r="J7" s="10">
        <f>HLOOKUP(J$1,vip数据表!$B$2:$AD$19,ROW(vip数据表!$A6),FALSE)</f>
        <v>5</v>
      </c>
      <c r="K7" s="10">
        <f>HLOOKUP(K$1,vip数据表!$B$2:$AD$19,ROW(vip数据表!$A6),FALSE)</f>
        <v>2</v>
      </c>
      <c r="L7" s="10">
        <f>HLOOKUP(L$1,vip数据表!$B$2:$AD$19,ROW(vip数据表!$A6),FALSE)</f>
        <v>0</v>
      </c>
      <c r="M7" s="10">
        <f>HLOOKUP(M$1,vip数据表!$B$2:$AD$19,ROW(vip数据表!$A6),FALSE)</f>
        <v>5</v>
      </c>
      <c r="N7" s="10">
        <f>HLOOKUP(N$1,vip数据表!$B$2:$AD$19,ROW(vip数据表!$A6),FALSE)</f>
        <v>2</v>
      </c>
      <c r="O7" s="10">
        <v>1</v>
      </c>
      <c r="P7" s="12" t="s">
        <v>120</v>
      </c>
      <c r="Q7" s="10">
        <f>HLOOKUP(Q$1,vip数据表!$B$2:$AD$19,ROW(vip数据表!$A6),FALSE)</f>
        <v>5</v>
      </c>
      <c r="R7" s="10">
        <f>HLOOKUP(R$1,vip数据表!$B$2:$AD$19,ROW(vip数据表!$A6),FALSE)</f>
        <v>2</v>
      </c>
      <c r="S7" s="10">
        <f>HLOOKUP(S$1,vip数据表!$B$2:$AD$19,ROW(vip数据表!$A6),FALSE)</f>
        <v>2</v>
      </c>
      <c r="T7" s="10">
        <f>HLOOKUP(T$1,vip数据表!$B$2:$AD$19,ROW(vip数据表!$A6),FALSE)</f>
        <v>5</v>
      </c>
      <c r="U7" s="10">
        <f>HLOOKUP(U$1,vip数据表!$B$2:$AD$19,ROW(vip数据表!$A6),FALSE)</f>
        <v>0</v>
      </c>
      <c r="V7" s="10">
        <f>HLOOKUP(V$1,vip数据表!$B$2:$AD$19,ROW(vip数据表!$A6),FALSE)</f>
        <v>0</v>
      </c>
      <c r="W7" s="10">
        <f>HLOOKUP(W$1,vip数据表!$B$2:$AD$19,ROW(vip数据表!$A6),FALSE)</f>
        <v>0</v>
      </c>
      <c r="X7" s="10">
        <f>HLOOKUP(X$1,vip数据表!$B$2:$AD$19,ROW(vip数据表!$A6),FALSE)</f>
        <v>0</v>
      </c>
      <c r="Y7" s="10">
        <f>HLOOKUP(Y$1,vip数据表!$B$2:$AD$19,ROW(vip数据表!$A6),FALSE)</f>
        <v>2</v>
      </c>
      <c r="Z7" s="10">
        <f>HLOOKUP(Z$1,vip数据表!$B$2:$AD$19,ROW(vip数据表!$A6),FALSE)</f>
        <v>0</v>
      </c>
    </row>
    <row r="8" spans="2:26" ht="13.5">
      <c r="B8" s="17">
        <v>4</v>
      </c>
      <c r="C8" s="18">
        <v>600</v>
      </c>
      <c r="D8" s="10">
        <v>1</v>
      </c>
      <c r="E8" s="10">
        <f>HLOOKUP(E$1,vip数据表!$B$2:$AD$19,ROW(vip数据表!$A7),FALSE)</f>
        <v>2</v>
      </c>
      <c r="F8" s="10">
        <f>HLOOKUP(F$1,vip数据表!$B$2:$AD$19,ROW(vip数据表!$A7),FALSE)</f>
        <v>2</v>
      </c>
      <c r="G8" s="10" t="str">
        <f>HLOOKUP(G$1,vip数据表!$B$2:$AD$19,ROW(vip数据表!$A7),FALSE)</f>
        <v>10</v>
      </c>
      <c r="H8" s="10">
        <f>HLOOKUP(H$1,vip数据表!$B$2:$AD$19,ROW(vip数据表!$A7),FALSE)</f>
        <v>10</v>
      </c>
      <c r="I8" s="10">
        <f>HLOOKUP(I$1,vip数据表!$B$2:$AD$19,ROW(vip数据表!$A7),FALSE)</f>
        <v>0</v>
      </c>
      <c r="J8" s="10">
        <f>HLOOKUP(J$1,vip数据表!$B$2:$AD$19,ROW(vip数据表!$A7),FALSE)</f>
        <v>5</v>
      </c>
      <c r="K8" s="10">
        <f>HLOOKUP(K$1,vip数据表!$B$2:$AD$19,ROW(vip数据表!$A7),FALSE)</f>
        <v>2</v>
      </c>
      <c r="L8" s="10">
        <f>HLOOKUP(L$1,vip数据表!$B$2:$AD$19,ROW(vip数据表!$A7),FALSE)</f>
        <v>0</v>
      </c>
      <c r="M8" s="10">
        <f>HLOOKUP(M$1,vip数据表!$B$2:$AD$19,ROW(vip数据表!$A7),FALSE)</f>
        <v>5</v>
      </c>
      <c r="N8" s="10">
        <f>HLOOKUP(N$1,vip数据表!$B$2:$AD$19,ROW(vip数据表!$A7),FALSE)</f>
        <v>2</v>
      </c>
      <c r="O8" s="10">
        <v>1</v>
      </c>
      <c r="P8" s="12" t="s">
        <v>120</v>
      </c>
      <c r="Q8" s="10">
        <f>HLOOKUP(Q$1,vip数据表!$B$2:$AD$19,ROW(vip数据表!$A7),FALSE)</f>
        <v>5</v>
      </c>
      <c r="R8" s="10">
        <f>HLOOKUP(R$1,vip数据表!$B$2:$AD$19,ROW(vip数据表!$A7),FALSE)</f>
        <v>2</v>
      </c>
      <c r="S8" s="10">
        <f>HLOOKUP(S$1,vip数据表!$B$2:$AD$19,ROW(vip数据表!$A7),FALSE)</f>
        <v>2</v>
      </c>
      <c r="T8" s="10">
        <f>HLOOKUP(T$1,vip数据表!$B$2:$AD$19,ROW(vip数据表!$A7),FALSE)</f>
        <v>5</v>
      </c>
      <c r="U8" s="10">
        <f>HLOOKUP(U$1,vip数据表!$B$2:$AD$19,ROW(vip数据表!$A7),FALSE)</f>
        <v>0</v>
      </c>
      <c r="V8" s="10">
        <f>HLOOKUP(V$1,vip数据表!$B$2:$AD$19,ROW(vip数据表!$A7),FALSE)</f>
        <v>0</v>
      </c>
      <c r="W8" s="10">
        <f>HLOOKUP(W$1,vip数据表!$B$2:$AD$19,ROW(vip数据表!$A7),FALSE)</f>
        <v>0</v>
      </c>
      <c r="X8" s="10">
        <f>HLOOKUP(X$1,vip数据表!$B$2:$AD$19,ROW(vip数据表!$A7),FALSE)</f>
        <v>0</v>
      </c>
      <c r="Y8" s="10">
        <f>HLOOKUP(Y$1,vip数据表!$B$2:$AD$19,ROW(vip数据表!$A7),FALSE)</f>
        <v>2</v>
      </c>
      <c r="Z8" s="10">
        <f>HLOOKUP(Z$1,vip数据表!$B$2:$AD$19,ROW(vip数据表!$A7),FALSE)</f>
        <v>0</v>
      </c>
    </row>
    <row r="9" spans="2:26" ht="13.5">
      <c r="B9" s="17">
        <v>5</v>
      </c>
      <c r="C9" s="18">
        <v>1200</v>
      </c>
      <c r="D9" s="10">
        <v>1</v>
      </c>
      <c r="E9" s="10">
        <f>HLOOKUP(E$1,vip数据表!$B$2:$AD$19,ROW(vip数据表!$A8),FALSE)</f>
        <v>3</v>
      </c>
      <c r="F9" s="10">
        <f>HLOOKUP(F$1,vip数据表!$B$2:$AD$19,ROW(vip数据表!$A8),FALSE)</f>
        <v>3</v>
      </c>
      <c r="G9" s="10" t="str">
        <f>HLOOKUP(G$1,vip数据表!$B$2:$AD$19,ROW(vip数据表!$A8),FALSE)</f>
        <v>10</v>
      </c>
      <c r="H9" s="10">
        <f>HLOOKUP(H$1,vip数据表!$B$2:$AD$19,ROW(vip数据表!$A8),FALSE)</f>
        <v>10</v>
      </c>
      <c r="I9" s="10">
        <f>HLOOKUP(I$1,vip数据表!$B$2:$AD$19,ROW(vip数据表!$A8),FALSE)</f>
        <v>1</v>
      </c>
      <c r="J9" s="10">
        <f>HLOOKUP(J$1,vip数据表!$B$2:$AD$19,ROW(vip数据表!$A8),FALSE)</f>
        <v>5</v>
      </c>
      <c r="K9" s="10">
        <f>HLOOKUP(K$1,vip数据表!$B$2:$AD$19,ROW(vip数据表!$A8),FALSE)</f>
        <v>2</v>
      </c>
      <c r="L9" s="10">
        <f>HLOOKUP(L$1,vip数据表!$B$2:$AD$19,ROW(vip数据表!$A8),FALSE)</f>
        <v>1</v>
      </c>
      <c r="M9" s="10">
        <f>HLOOKUP(M$1,vip数据表!$B$2:$AD$19,ROW(vip数据表!$A8),FALSE)</f>
        <v>5</v>
      </c>
      <c r="N9" s="10">
        <f>HLOOKUP(N$1,vip数据表!$B$2:$AD$19,ROW(vip数据表!$A8),FALSE)</f>
        <v>2</v>
      </c>
      <c r="O9" s="10">
        <v>1</v>
      </c>
      <c r="P9" s="12" t="s">
        <v>120</v>
      </c>
      <c r="Q9" s="10">
        <f>HLOOKUP(Q$1,vip数据表!$B$2:$AD$19,ROW(vip数据表!$A8),FALSE)</f>
        <v>6</v>
      </c>
      <c r="R9" s="10">
        <f>HLOOKUP(R$1,vip数据表!$B$2:$AD$19,ROW(vip数据表!$A8),FALSE)</f>
        <v>3</v>
      </c>
      <c r="S9" s="10">
        <f>HLOOKUP(S$1,vip数据表!$B$2:$AD$19,ROW(vip数据表!$A8),FALSE)</f>
        <v>2</v>
      </c>
      <c r="T9" s="10">
        <f>HLOOKUP(T$1,vip数据表!$B$2:$AD$19,ROW(vip数据表!$A8),FALSE)</f>
        <v>5</v>
      </c>
      <c r="U9" s="10">
        <f>HLOOKUP(U$1,vip数据表!$B$2:$AD$19,ROW(vip数据表!$A8),FALSE)</f>
        <v>0</v>
      </c>
      <c r="V9" s="10">
        <f>HLOOKUP(V$1,vip数据表!$B$2:$AD$19,ROW(vip数据表!$A8),FALSE)</f>
        <v>0</v>
      </c>
      <c r="W9" s="10">
        <f>HLOOKUP(W$1,vip数据表!$B$2:$AD$19,ROW(vip数据表!$A8),FALSE)</f>
        <v>0</v>
      </c>
      <c r="X9" s="10">
        <f>HLOOKUP(X$1,vip数据表!$B$2:$AD$19,ROW(vip数据表!$A8),FALSE)</f>
        <v>0</v>
      </c>
      <c r="Y9" s="10">
        <f>HLOOKUP(Y$1,vip数据表!$B$2:$AD$19,ROW(vip数据表!$A8),FALSE)</f>
        <v>2</v>
      </c>
      <c r="Z9" s="10">
        <f>HLOOKUP(Z$1,vip数据表!$B$2:$AD$19,ROW(vip数据表!$A8),FALSE)</f>
        <v>0</v>
      </c>
    </row>
    <row r="10" spans="2:26" ht="13.5">
      <c r="B10" s="17">
        <v>6</v>
      </c>
      <c r="C10" s="18">
        <v>2200</v>
      </c>
      <c r="D10" s="10">
        <v>1</v>
      </c>
      <c r="E10" s="10">
        <f>HLOOKUP(E$1,vip数据表!$B$2:$AD$19,ROW(vip数据表!$A9),FALSE)</f>
        <v>3</v>
      </c>
      <c r="F10" s="10">
        <f>HLOOKUP(F$1,vip数据表!$B$2:$AD$19,ROW(vip数据表!$A9),FALSE)</f>
        <v>3</v>
      </c>
      <c r="G10" s="10" t="str">
        <f>HLOOKUP(G$1,vip数据表!$B$2:$AD$19,ROW(vip数据表!$A9),FALSE)</f>
        <v>10</v>
      </c>
      <c r="H10" s="10">
        <f>HLOOKUP(H$1,vip数据表!$B$2:$AD$19,ROW(vip数据表!$A9),FALSE)</f>
        <v>10</v>
      </c>
      <c r="I10" s="10">
        <f>HLOOKUP(I$1,vip数据表!$B$2:$AD$19,ROW(vip数据表!$A9),FALSE)</f>
        <v>1</v>
      </c>
      <c r="J10" s="10">
        <f>HLOOKUP(J$1,vip数据表!$B$2:$AD$19,ROW(vip数据表!$A9),FALSE)</f>
        <v>5</v>
      </c>
      <c r="K10" s="10">
        <f>HLOOKUP(K$1,vip数据表!$B$2:$AD$19,ROW(vip数据表!$A9),FALSE)</f>
        <v>2</v>
      </c>
      <c r="L10" s="10">
        <f>HLOOKUP(L$1,vip数据表!$B$2:$AD$19,ROW(vip数据表!$A9),FALSE)</f>
        <v>1</v>
      </c>
      <c r="M10" s="10">
        <f>HLOOKUP(M$1,vip数据表!$B$2:$AD$19,ROW(vip数据表!$A9),FALSE)</f>
        <v>5</v>
      </c>
      <c r="N10" s="10">
        <f>HLOOKUP(N$1,vip数据表!$B$2:$AD$19,ROW(vip数据表!$A9),FALSE)</f>
        <v>2</v>
      </c>
      <c r="O10" s="10">
        <v>1</v>
      </c>
      <c r="P10" s="12" t="s">
        <v>120</v>
      </c>
      <c r="Q10" s="10">
        <f>HLOOKUP(Q$1,vip数据表!$B$2:$AD$19,ROW(vip数据表!$A9),FALSE)</f>
        <v>6</v>
      </c>
      <c r="R10" s="10">
        <f>HLOOKUP(R$1,vip数据表!$B$2:$AD$19,ROW(vip数据表!$A9),FALSE)</f>
        <v>3</v>
      </c>
      <c r="S10" s="10">
        <f>HLOOKUP(S$1,vip数据表!$B$2:$AD$19,ROW(vip数据表!$A9),FALSE)</f>
        <v>2</v>
      </c>
      <c r="T10" s="10">
        <f>HLOOKUP(T$1,vip数据表!$B$2:$AD$19,ROW(vip数据表!$A9),FALSE)</f>
        <v>5</v>
      </c>
      <c r="U10" s="10">
        <v>7</v>
      </c>
      <c r="V10" s="10">
        <f>HLOOKUP(V$1,vip数据表!$B$2:$AD$19,ROW(vip数据表!$A9),FALSE)</f>
        <v>0</v>
      </c>
      <c r="W10" s="10">
        <f>HLOOKUP(W$1,vip数据表!$B$2:$AD$19,ROW(vip数据表!$A9),FALSE)</f>
        <v>0</v>
      </c>
      <c r="X10" s="10">
        <f>HLOOKUP(X$1,vip数据表!$B$2:$AD$19,ROW(vip数据表!$A9),FALSE)</f>
        <v>0</v>
      </c>
      <c r="Y10" s="10">
        <f>HLOOKUP(Y$1,vip数据表!$B$2:$AD$19,ROW(vip数据表!$A9),FALSE)</f>
        <v>2</v>
      </c>
      <c r="Z10" s="10">
        <f>HLOOKUP(Z$1,vip数据表!$B$2:$AD$19,ROW(vip数据表!$A9),FALSE)</f>
        <v>0</v>
      </c>
    </row>
    <row r="11" spans="2:26" ht="13.5">
      <c r="B11" s="17">
        <v>7</v>
      </c>
      <c r="C11" s="18">
        <v>3400</v>
      </c>
      <c r="D11" s="10">
        <v>1</v>
      </c>
      <c r="E11" s="10">
        <f>HLOOKUP(E$1,vip数据表!$B$2:$AD$19,ROW(vip数据表!$A10),FALSE)</f>
        <v>3</v>
      </c>
      <c r="F11" s="10">
        <f>HLOOKUP(F$1,vip数据表!$B$2:$AD$19,ROW(vip数据表!$A10),FALSE)</f>
        <v>3</v>
      </c>
      <c r="G11" s="10" t="str">
        <f>HLOOKUP(G$1,vip数据表!$B$2:$AD$19,ROW(vip数据表!$A10),FALSE)</f>
        <v>10</v>
      </c>
      <c r="H11" s="10">
        <f>HLOOKUP(H$1,vip数据表!$B$2:$AD$19,ROW(vip数据表!$A10),FALSE)</f>
        <v>2</v>
      </c>
      <c r="I11" s="10">
        <f>HLOOKUP(I$1,vip数据表!$B$2:$AD$19,ROW(vip数据表!$A10),FALSE)</f>
        <v>1</v>
      </c>
      <c r="J11" s="10">
        <f>HLOOKUP(J$1,vip数据表!$B$2:$AD$19,ROW(vip数据表!$A10),FALSE)</f>
        <v>5</v>
      </c>
      <c r="K11" s="10">
        <f>HLOOKUP(K$1,vip数据表!$B$2:$AD$19,ROW(vip数据表!$A10),FALSE)</f>
        <v>2</v>
      </c>
      <c r="L11" s="10">
        <f>HLOOKUP(L$1,vip数据表!$B$2:$AD$19,ROW(vip数据表!$A10),FALSE)</f>
        <v>1</v>
      </c>
      <c r="M11" s="10">
        <f>HLOOKUP(M$1,vip数据表!$B$2:$AD$19,ROW(vip数据表!$A10),FALSE)</f>
        <v>6</v>
      </c>
      <c r="N11" s="10">
        <f>HLOOKUP(N$1,vip数据表!$B$2:$AD$19,ROW(vip数据表!$A10),FALSE)</f>
        <v>3</v>
      </c>
      <c r="O11" s="10">
        <v>1</v>
      </c>
      <c r="P11" s="12" t="s">
        <v>120</v>
      </c>
      <c r="Q11" s="10">
        <f>HLOOKUP(Q$1,vip数据表!$B$2:$AD$19,ROW(vip数据表!$A10),FALSE)</f>
        <v>6</v>
      </c>
      <c r="R11" s="10">
        <f>HLOOKUP(R$1,vip数据表!$B$2:$AD$19,ROW(vip数据表!$A10),FALSE)</f>
        <v>3</v>
      </c>
      <c r="S11" s="10">
        <f>HLOOKUP(S$1,vip数据表!$B$2:$AD$19,ROW(vip数据表!$A10),FALSE)</f>
        <v>2</v>
      </c>
      <c r="T11" s="10">
        <f>HLOOKUP(T$1,vip数据表!$B$2:$AD$19,ROW(vip数据表!$A10),FALSE)</f>
        <v>5</v>
      </c>
      <c r="U11" s="10">
        <v>7</v>
      </c>
      <c r="V11" s="10">
        <f>HLOOKUP(V$1,vip数据表!$B$2:$AD$19,ROW(vip数据表!$A10),FALSE)</f>
        <v>0</v>
      </c>
      <c r="W11" s="10">
        <f>HLOOKUP(W$1,vip数据表!$B$2:$AD$19,ROW(vip数据表!$A10),FALSE)</f>
        <v>0</v>
      </c>
      <c r="X11" s="10">
        <f>HLOOKUP(X$1,vip数据表!$B$2:$AD$19,ROW(vip数据表!$A10),FALSE)</f>
        <v>0</v>
      </c>
      <c r="Y11" s="10">
        <f>HLOOKUP(Y$1,vip数据表!$B$2:$AD$19,ROW(vip数据表!$A10),FALSE)</f>
        <v>2</v>
      </c>
      <c r="Z11" s="10">
        <f>HLOOKUP(Z$1,vip数据表!$B$2:$AD$19,ROW(vip数据表!$A10),FALSE)</f>
        <v>0</v>
      </c>
    </row>
    <row r="12" spans="2:26" ht="13.5">
      <c r="B12" s="17">
        <v>8</v>
      </c>
      <c r="C12" s="18">
        <v>4000</v>
      </c>
      <c r="D12" s="10">
        <v>1</v>
      </c>
      <c r="E12" s="10">
        <f>HLOOKUP(E$1,vip数据表!$B$2:$AD$19,ROW(vip数据表!$A11),FALSE)</f>
        <v>3</v>
      </c>
      <c r="F12" s="10">
        <f>HLOOKUP(F$1,vip数据表!$B$2:$AD$19,ROW(vip数据表!$A11),FALSE)</f>
        <v>3</v>
      </c>
      <c r="G12" s="10" t="str">
        <f>HLOOKUP(G$1,vip数据表!$B$2:$AD$19,ROW(vip数据表!$A11),FALSE)</f>
        <v>10</v>
      </c>
      <c r="H12" s="10">
        <f>HLOOKUP(H$1,vip数据表!$B$2:$AD$19,ROW(vip数据表!$A11),FALSE)</f>
        <v>2</v>
      </c>
      <c r="I12" s="10">
        <f>HLOOKUP(I$1,vip数据表!$B$2:$AD$19,ROW(vip数据表!$A11),FALSE)</f>
        <v>1</v>
      </c>
      <c r="J12" s="10">
        <f>HLOOKUP(J$1,vip数据表!$B$2:$AD$19,ROW(vip数据表!$A11),FALSE)</f>
        <v>5</v>
      </c>
      <c r="K12" s="10">
        <f>HLOOKUP(K$1,vip数据表!$B$2:$AD$19,ROW(vip数据表!$A11),FALSE)</f>
        <v>2</v>
      </c>
      <c r="L12" s="10">
        <f>HLOOKUP(L$1,vip数据表!$B$2:$AD$19,ROW(vip数据表!$A11),FALSE)</f>
        <v>1</v>
      </c>
      <c r="M12" s="10">
        <f>HLOOKUP(M$1,vip数据表!$B$2:$AD$19,ROW(vip数据表!$A11),FALSE)</f>
        <v>6</v>
      </c>
      <c r="N12" s="10">
        <f>HLOOKUP(N$1,vip数据表!$B$2:$AD$19,ROW(vip数据表!$A11),FALSE)</f>
        <v>3</v>
      </c>
      <c r="O12" s="10">
        <v>1</v>
      </c>
      <c r="P12" s="12" t="s">
        <v>120</v>
      </c>
      <c r="Q12" s="10">
        <f>HLOOKUP(Q$1,vip数据表!$B$2:$AD$19,ROW(vip数据表!$A11),FALSE)</f>
        <v>6</v>
      </c>
      <c r="R12" s="10">
        <f>HLOOKUP(R$1,vip数据表!$B$2:$AD$19,ROW(vip数据表!$A11),FALSE)</f>
        <v>3</v>
      </c>
      <c r="S12" s="10">
        <f>HLOOKUP(S$1,vip数据表!$B$2:$AD$19,ROW(vip数据表!$A11),FALSE)</f>
        <v>2</v>
      </c>
      <c r="T12" s="10">
        <f>HLOOKUP(T$1,vip数据表!$B$2:$AD$19,ROW(vip数据表!$A11),FALSE)</f>
        <v>5</v>
      </c>
      <c r="U12" s="10">
        <v>7</v>
      </c>
      <c r="V12" s="10">
        <f>HLOOKUP(V$1,vip数据表!$B$2:$AD$19,ROW(vip数据表!$A11),FALSE)</f>
        <v>0</v>
      </c>
      <c r="W12" s="10">
        <f>HLOOKUP(W$1,vip数据表!$B$2:$AD$19,ROW(vip数据表!$A11),FALSE)</f>
        <v>0</v>
      </c>
      <c r="X12" s="10">
        <f>HLOOKUP(X$1,vip数据表!$B$2:$AD$19,ROW(vip数据表!$A11),FALSE)</f>
        <v>0</v>
      </c>
      <c r="Y12" s="10">
        <f>HLOOKUP(Y$1,vip数据表!$B$2:$AD$19,ROW(vip数据表!$A11),FALSE)</f>
        <v>2</v>
      </c>
      <c r="Z12" s="10">
        <f>HLOOKUP(Z$1,vip数据表!$B$2:$AD$19,ROW(vip数据表!$A11),FALSE)</f>
        <v>0</v>
      </c>
    </row>
    <row r="13" spans="2:26" ht="13.5">
      <c r="B13" s="17">
        <v>9</v>
      </c>
      <c r="C13" s="18">
        <v>8000</v>
      </c>
      <c r="D13" s="10">
        <v>1</v>
      </c>
      <c r="E13" s="10">
        <f>HLOOKUP(E$1,vip数据表!$B$2:$AD$19,ROW(vip数据表!$A12),FALSE)</f>
        <v>3</v>
      </c>
      <c r="F13" s="10">
        <f>HLOOKUP(F$1,vip数据表!$B$2:$AD$19,ROW(vip数据表!$A12),FALSE)</f>
        <v>4</v>
      </c>
      <c r="G13" s="10" t="str">
        <f>HLOOKUP(G$1,vip数据表!$B$2:$AD$19,ROW(vip数据表!$A12),FALSE)</f>
        <v>20</v>
      </c>
      <c r="H13" s="10">
        <f>HLOOKUP(H$1,vip数据表!$B$2:$AD$19,ROW(vip数据表!$A12),FALSE)</f>
        <v>2</v>
      </c>
      <c r="I13" s="10">
        <f>HLOOKUP(I$1,vip数据表!$B$2:$AD$19,ROW(vip数据表!$A12),FALSE)</f>
        <v>1</v>
      </c>
      <c r="J13" s="10">
        <f>HLOOKUP(J$1,vip数据表!$B$2:$AD$19,ROW(vip数据表!$A12),FALSE)</f>
        <v>6</v>
      </c>
      <c r="K13" s="10">
        <f>HLOOKUP(K$1,vip数据表!$B$2:$AD$19,ROW(vip数据表!$A12),FALSE)</f>
        <v>3</v>
      </c>
      <c r="L13" s="10">
        <f>HLOOKUP(L$1,vip数据表!$B$2:$AD$19,ROW(vip数据表!$A12),FALSE)</f>
        <v>1</v>
      </c>
      <c r="M13" s="10">
        <f>HLOOKUP(M$1,vip数据表!$B$2:$AD$19,ROW(vip数据表!$A12),FALSE)</f>
        <v>6</v>
      </c>
      <c r="N13" s="10">
        <f>HLOOKUP(N$1,vip数据表!$B$2:$AD$19,ROW(vip数据表!$A12),FALSE)</f>
        <v>3</v>
      </c>
      <c r="O13" s="10">
        <v>1</v>
      </c>
      <c r="P13" s="12" t="s">
        <v>120</v>
      </c>
      <c r="Q13" s="10">
        <f>HLOOKUP(Q$1,vip数据表!$B$2:$AD$19,ROW(vip数据表!$A12),FALSE)</f>
        <v>6</v>
      </c>
      <c r="R13" s="10">
        <f>HLOOKUP(R$1,vip数据表!$B$2:$AD$19,ROW(vip数据表!$A12),FALSE)</f>
        <v>3</v>
      </c>
      <c r="S13" s="10">
        <f>HLOOKUP(S$1,vip数据表!$B$2:$AD$19,ROW(vip数据表!$A12),FALSE)</f>
        <v>3</v>
      </c>
      <c r="T13" s="10">
        <f>HLOOKUP(T$1,vip数据表!$B$2:$AD$19,ROW(vip数据表!$A12),FALSE)</f>
        <v>6</v>
      </c>
      <c r="U13" s="10">
        <v>7</v>
      </c>
      <c r="V13" s="10">
        <f>HLOOKUP(V$1,vip数据表!$B$2:$AD$19,ROW(vip数据表!$A12),FALSE)</f>
        <v>1</v>
      </c>
      <c r="W13" s="10">
        <f>HLOOKUP(W$1,vip数据表!$B$2:$AD$19,ROW(vip数据表!$A12),FALSE)</f>
        <v>1</v>
      </c>
      <c r="X13" s="10">
        <f>HLOOKUP(X$1,vip数据表!$B$2:$AD$19,ROW(vip数据表!$A12),FALSE)</f>
        <v>1</v>
      </c>
      <c r="Y13" s="10">
        <f>HLOOKUP(Y$1,vip数据表!$B$2:$AD$19,ROW(vip数据表!$A12),FALSE)</f>
        <v>2</v>
      </c>
      <c r="Z13" s="10">
        <f>HLOOKUP(Z$1,vip数据表!$B$2:$AD$19,ROW(vip数据表!$A12),FALSE)</f>
        <v>0</v>
      </c>
    </row>
    <row r="14" spans="2:26" ht="13.5">
      <c r="B14" s="17">
        <v>10</v>
      </c>
      <c r="C14" s="18">
        <v>10000</v>
      </c>
      <c r="D14" s="10">
        <v>1</v>
      </c>
      <c r="E14" s="10">
        <f>HLOOKUP(E$1,vip数据表!$B$2:$AD$19,ROW(vip数据表!$A13),FALSE)</f>
        <v>4</v>
      </c>
      <c r="F14" s="10">
        <f>HLOOKUP(F$1,vip数据表!$B$2:$AD$19,ROW(vip数据表!$A13),FALSE)</f>
        <v>4</v>
      </c>
      <c r="G14" s="10" t="str">
        <f>HLOOKUP(G$1,vip数据表!$B$2:$AD$19,ROW(vip数据表!$A13),FALSE)</f>
        <v>20</v>
      </c>
      <c r="H14" s="10">
        <f>HLOOKUP(H$1,vip数据表!$B$2:$AD$19,ROW(vip数据表!$A13),FALSE)</f>
        <v>1</v>
      </c>
      <c r="I14" s="10">
        <f>HLOOKUP(I$1,vip数据表!$B$2:$AD$19,ROW(vip数据表!$A13),FALSE)</f>
        <v>1</v>
      </c>
      <c r="J14" s="10">
        <f>HLOOKUP(J$1,vip数据表!$B$2:$AD$19,ROW(vip数据表!$A13),FALSE)</f>
        <v>6</v>
      </c>
      <c r="K14" s="10">
        <f>HLOOKUP(K$1,vip数据表!$B$2:$AD$19,ROW(vip数据表!$A13),FALSE)</f>
        <v>3</v>
      </c>
      <c r="L14" s="10">
        <f>HLOOKUP(L$1,vip数据表!$B$2:$AD$19,ROW(vip数据表!$A13),FALSE)</f>
        <v>1</v>
      </c>
      <c r="M14" s="10">
        <f>HLOOKUP(M$1,vip数据表!$B$2:$AD$19,ROW(vip数据表!$A13),FALSE)</f>
        <v>6</v>
      </c>
      <c r="N14" s="10">
        <f>HLOOKUP(N$1,vip数据表!$B$2:$AD$19,ROW(vip数据表!$A13),FALSE)</f>
        <v>3</v>
      </c>
      <c r="O14" s="10">
        <v>1</v>
      </c>
      <c r="P14" s="12" t="s">
        <v>120</v>
      </c>
      <c r="Q14" s="10">
        <f>HLOOKUP(Q$1,vip数据表!$B$2:$AD$19,ROW(vip数据表!$A13),FALSE)</f>
        <v>7</v>
      </c>
      <c r="R14" s="10">
        <f>HLOOKUP(R$1,vip数据表!$B$2:$AD$19,ROW(vip数据表!$A13),FALSE)</f>
        <v>4</v>
      </c>
      <c r="S14" s="10">
        <f>HLOOKUP(S$1,vip数据表!$B$2:$AD$19,ROW(vip数据表!$A13),FALSE)</f>
        <v>3</v>
      </c>
      <c r="T14" s="10">
        <f>HLOOKUP(T$1,vip数据表!$B$2:$AD$19,ROW(vip数据表!$A13),FALSE)</f>
        <v>6</v>
      </c>
      <c r="U14" s="10">
        <v>7</v>
      </c>
      <c r="V14" s="10">
        <f>HLOOKUP(V$1,vip数据表!$B$2:$AD$19,ROW(vip数据表!$A13),FALSE)</f>
        <v>1</v>
      </c>
      <c r="W14" s="10">
        <f>HLOOKUP(W$1,vip数据表!$B$2:$AD$19,ROW(vip数据表!$A13),FALSE)</f>
        <v>1</v>
      </c>
      <c r="X14" s="10">
        <f>HLOOKUP(X$1,vip数据表!$B$2:$AD$19,ROW(vip数据表!$A13),FALSE)</f>
        <v>1</v>
      </c>
      <c r="Y14" s="10">
        <f>HLOOKUP(Y$1,vip数据表!$B$2:$AD$19,ROW(vip数据表!$A13),FALSE)</f>
        <v>2</v>
      </c>
      <c r="Z14" s="10">
        <f>HLOOKUP(Z$1,vip数据表!$B$2:$AD$19,ROW(vip数据表!$A13),FALSE)</f>
        <v>0</v>
      </c>
    </row>
    <row r="15" spans="2:26" ht="13.5">
      <c r="B15" s="19" t="s">
        <v>115</v>
      </c>
      <c r="C15" s="11">
        <v>18000</v>
      </c>
      <c r="D15" s="10">
        <v>1</v>
      </c>
      <c r="E15" s="10">
        <f>HLOOKUP(E$1,vip数据表!$B$2:$AD$19,ROW(vip数据表!$A14),FALSE)</f>
        <v>4</v>
      </c>
      <c r="F15" s="10">
        <f>HLOOKUP(F$1,vip数据表!$B$2:$AD$19,ROW(vip数据表!$A14),FALSE)</f>
        <v>4</v>
      </c>
      <c r="G15" s="10" t="str">
        <f>HLOOKUP(G$1,vip数据表!$B$2:$AD$19,ROW(vip数据表!$A14),FALSE)</f>
        <v>20</v>
      </c>
      <c r="H15" s="10">
        <f>HLOOKUP(H$1,vip数据表!$B$2:$AD$19,ROW(vip数据表!$A14),FALSE)</f>
        <v>1</v>
      </c>
      <c r="I15" s="10">
        <f>HLOOKUP(I$1,vip数据表!$B$2:$AD$19,ROW(vip数据表!$A14),FALSE)</f>
        <v>1</v>
      </c>
      <c r="J15" s="10">
        <f>HLOOKUP(J$1,vip数据表!$B$2:$AD$19,ROW(vip数据表!$A14),FALSE)</f>
        <v>6</v>
      </c>
      <c r="K15" s="10">
        <f>HLOOKUP(K$1,vip数据表!$B$2:$AD$19,ROW(vip数据表!$A14),FALSE)</f>
        <v>3</v>
      </c>
      <c r="L15" s="10">
        <f>HLOOKUP(L$1,vip数据表!$B$2:$AD$19,ROW(vip数据表!$A14),FALSE)</f>
        <v>1</v>
      </c>
      <c r="M15" s="10">
        <f>HLOOKUP(M$1,vip数据表!$B$2:$AD$19,ROW(vip数据表!$A14),FALSE)</f>
        <v>7</v>
      </c>
      <c r="N15" s="10">
        <f>HLOOKUP(N$1,vip数据表!$B$2:$AD$19,ROW(vip数据表!$A14),FALSE)</f>
        <v>4</v>
      </c>
      <c r="O15" s="10">
        <v>1</v>
      </c>
      <c r="P15" s="12" t="s">
        <v>120</v>
      </c>
      <c r="Q15" s="10">
        <f>HLOOKUP(Q$1,vip数据表!$B$2:$AD$19,ROW(vip数据表!$A14),FALSE)</f>
        <v>7</v>
      </c>
      <c r="R15" s="10">
        <f>HLOOKUP(R$1,vip数据表!$B$2:$AD$19,ROW(vip数据表!$A14),FALSE)</f>
        <v>4</v>
      </c>
      <c r="S15" s="10">
        <f>HLOOKUP(S$1,vip数据表!$B$2:$AD$19,ROW(vip数据表!$A14),FALSE)</f>
        <v>3</v>
      </c>
      <c r="T15" s="10">
        <f>HLOOKUP(T$1,vip数据表!$B$2:$AD$19,ROW(vip数据表!$A14),FALSE)</f>
        <v>6</v>
      </c>
      <c r="U15" s="10">
        <v>7</v>
      </c>
      <c r="V15" s="10">
        <f>HLOOKUP(V$1,vip数据表!$B$2:$AD$19,ROW(vip数据表!$A14),FALSE)</f>
        <v>1</v>
      </c>
      <c r="W15" s="10">
        <f>HLOOKUP(W$1,vip数据表!$B$2:$AD$19,ROW(vip数据表!$A14),FALSE)</f>
        <v>1</v>
      </c>
      <c r="X15" s="10">
        <f>HLOOKUP(X$1,vip数据表!$B$2:$AD$19,ROW(vip数据表!$A14),FALSE)</f>
        <v>1</v>
      </c>
      <c r="Y15" s="10">
        <f>HLOOKUP(Y$1,vip数据表!$B$2:$AD$19,ROW(vip数据表!$A14),FALSE)</f>
        <v>2</v>
      </c>
      <c r="Z15" s="10">
        <f>HLOOKUP(Z$1,vip数据表!$B$2:$AD$19,ROW(vip数据表!$A14),FALSE)</f>
        <v>0</v>
      </c>
    </row>
    <row r="16" spans="2:26" ht="13.5">
      <c r="B16" s="19" t="s">
        <v>116</v>
      </c>
      <c r="C16" s="11">
        <v>24000</v>
      </c>
      <c r="D16" s="10">
        <v>1</v>
      </c>
      <c r="E16" s="10">
        <f>HLOOKUP(E$1,vip数据表!$B$2:$AD$19,ROW(vip数据表!$A15),FALSE)</f>
        <v>4</v>
      </c>
      <c r="F16" s="10">
        <f>HLOOKUP(F$1,vip数据表!$B$2:$AD$19,ROW(vip数据表!$A15),FALSE)</f>
        <v>4</v>
      </c>
      <c r="G16" s="10" t="str">
        <f>HLOOKUP(G$1,vip数据表!$B$2:$AD$19,ROW(vip数据表!$A15),FALSE)</f>
        <v>20</v>
      </c>
      <c r="H16" s="10">
        <f>HLOOKUP(H$1,vip数据表!$B$2:$AD$19,ROW(vip数据表!$A15),FALSE)</f>
        <v>1</v>
      </c>
      <c r="I16" s="10">
        <f>HLOOKUP(I$1,vip数据表!$B$2:$AD$19,ROW(vip数据表!$A15),FALSE)</f>
        <v>1</v>
      </c>
      <c r="J16" s="10">
        <f>HLOOKUP(J$1,vip数据表!$B$2:$AD$19,ROW(vip数据表!$A15),FALSE)</f>
        <v>6</v>
      </c>
      <c r="K16" s="10">
        <f>HLOOKUP(K$1,vip数据表!$B$2:$AD$19,ROW(vip数据表!$A15),FALSE)</f>
        <v>3</v>
      </c>
      <c r="L16" s="10">
        <f>HLOOKUP(L$1,vip数据表!$B$2:$AD$19,ROW(vip数据表!$A15),FALSE)</f>
        <v>1</v>
      </c>
      <c r="M16" s="10">
        <f>HLOOKUP(M$1,vip数据表!$B$2:$AD$19,ROW(vip数据表!$A15),FALSE)</f>
        <v>7</v>
      </c>
      <c r="N16" s="10">
        <f>HLOOKUP(N$1,vip数据表!$B$2:$AD$19,ROW(vip数据表!$A15),FALSE)</f>
        <v>4</v>
      </c>
      <c r="O16" s="10">
        <v>1</v>
      </c>
      <c r="P16" s="12" t="s">
        <v>120</v>
      </c>
      <c r="Q16" s="10">
        <f>HLOOKUP(Q$1,vip数据表!$B$2:$AD$19,ROW(vip数据表!$A15),FALSE)</f>
        <v>7</v>
      </c>
      <c r="R16" s="10">
        <f>HLOOKUP(R$1,vip数据表!$B$2:$AD$19,ROW(vip数据表!$A15),FALSE)</f>
        <v>4</v>
      </c>
      <c r="S16" s="10">
        <f>HLOOKUP(S$1,vip数据表!$B$2:$AD$19,ROW(vip数据表!$A15),FALSE)</f>
        <v>3</v>
      </c>
      <c r="T16" s="10">
        <f>HLOOKUP(T$1,vip数据表!$B$2:$AD$19,ROW(vip数据表!$A15),FALSE)</f>
        <v>6</v>
      </c>
      <c r="U16" s="10">
        <v>7</v>
      </c>
      <c r="V16" s="10">
        <f>HLOOKUP(V$1,vip数据表!$B$2:$AD$19,ROW(vip数据表!$A15),FALSE)</f>
        <v>1</v>
      </c>
      <c r="W16" s="10">
        <f>HLOOKUP(W$1,vip数据表!$B$2:$AD$19,ROW(vip数据表!$A15),FALSE)</f>
        <v>1</v>
      </c>
      <c r="X16" s="10">
        <f>HLOOKUP(X$1,vip数据表!$B$2:$AD$19,ROW(vip数据表!$A15),FALSE)</f>
        <v>1</v>
      </c>
      <c r="Y16" s="10">
        <f>HLOOKUP(Y$1,vip数据表!$B$2:$AD$19,ROW(vip数据表!$A15),FALSE)</f>
        <v>2</v>
      </c>
      <c r="Z16" s="10">
        <f>HLOOKUP(Z$1,vip数据表!$B$2:$AD$19,ROW(vip数据表!$A15),FALSE)</f>
        <v>1</v>
      </c>
    </row>
    <row r="17" spans="2:26" ht="13.5">
      <c r="B17" s="19" t="s">
        <v>117</v>
      </c>
      <c r="C17" s="11">
        <v>66000</v>
      </c>
      <c r="D17" s="10">
        <v>1</v>
      </c>
      <c r="E17" s="10">
        <f>HLOOKUP(E$1,vip数据表!$B$2:$AD$19,ROW(vip数据表!$A16),FALSE)</f>
        <v>5</v>
      </c>
      <c r="F17" s="10">
        <f>HLOOKUP(F$1,vip数据表!$B$2:$AD$19,ROW(vip数据表!$A16),FALSE)</f>
        <v>5</v>
      </c>
      <c r="G17" s="10" t="str">
        <f>HLOOKUP(G$1,vip数据表!$B$2:$AD$19,ROW(vip数据表!$A16),FALSE)</f>
        <v>20</v>
      </c>
      <c r="H17" s="10">
        <f>HLOOKUP(H$1,vip数据表!$B$2:$AD$19,ROW(vip数据表!$A16),FALSE)</f>
        <v>1</v>
      </c>
      <c r="I17" s="10">
        <f>HLOOKUP(I$1,vip数据表!$B$2:$AD$19,ROW(vip数据表!$A16),FALSE)</f>
        <v>1</v>
      </c>
      <c r="J17" s="10">
        <f>HLOOKUP(J$1,vip数据表!$B$2:$AD$19,ROW(vip数据表!$A16),FALSE)</f>
        <v>7</v>
      </c>
      <c r="K17" s="10">
        <f>HLOOKUP(K$1,vip数据表!$B$2:$AD$19,ROW(vip数据表!$A16),FALSE)</f>
        <v>4</v>
      </c>
      <c r="L17" s="10">
        <f>HLOOKUP(L$1,vip数据表!$B$2:$AD$19,ROW(vip数据表!$A16),FALSE)</f>
        <v>1</v>
      </c>
      <c r="M17" s="10">
        <f>HLOOKUP(M$1,vip数据表!$B$2:$AD$19,ROW(vip数据表!$A16),FALSE)</f>
        <v>7</v>
      </c>
      <c r="N17" s="10">
        <f>HLOOKUP(N$1,vip数据表!$B$2:$AD$19,ROW(vip数据表!$A16),FALSE)</f>
        <v>4</v>
      </c>
      <c r="O17" s="10">
        <v>1</v>
      </c>
      <c r="P17" s="12" t="s">
        <v>120</v>
      </c>
      <c r="Q17" s="10">
        <f>HLOOKUP(Q$1,vip数据表!$B$2:$AD$19,ROW(vip数据表!$A16),FALSE)</f>
        <v>7</v>
      </c>
      <c r="R17" s="10">
        <f>HLOOKUP(R$1,vip数据表!$B$2:$AD$19,ROW(vip数据表!$A16),FALSE)</f>
        <v>4</v>
      </c>
      <c r="S17" s="10">
        <f>HLOOKUP(S$1,vip数据表!$B$2:$AD$19,ROW(vip数据表!$A16),FALSE)</f>
        <v>3</v>
      </c>
      <c r="T17" s="10">
        <f>HLOOKUP(T$1,vip数据表!$B$2:$AD$19,ROW(vip数据表!$A16),FALSE)</f>
        <v>6</v>
      </c>
      <c r="U17" s="10">
        <v>7</v>
      </c>
      <c r="V17" s="10">
        <f>HLOOKUP(V$1,vip数据表!$B$2:$AD$19,ROW(vip数据表!$A16),FALSE)</f>
        <v>1</v>
      </c>
      <c r="W17" s="10">
        <f>HLOOKUP(W$1,vip数据表!$B$2:$AD$19,ROW(vip数据表!$A16),FALSE)</f>
        <v>1</v>
      </c>
      <c r="X17" s="10">
        <f>HLOOKUP(X$1,vip数据表!$B$2:$AD$19,ROW(vip数据表!$A16),FALSE)</f>
        <v>1</v>
      </c>
      <c r="Y17" s="10">
        <f>HLOOKUP(Y$1,vip数据表!$B$2:$AD$19,ROW(vip数据表!$A16),FALSE)</f>
        <v>3</v>
      </c>
      <c r="Z17" s="10">
        <f>HLOOKUP(Z$1,vip数据表!$B$2:$AD$19,ROW(vip数据表!$A16),FALSE)</f>
        <v>1</v>
      </c>
    </row>
    <row r="18" spans="2:26" ht="13.5">
      <c r="B18" s="19" t="s">
        <v>118</v>
      </c>
      <c r="C18" s="11">
        <v>120000</v>
      </c>
      <c r="D18" s="10">
        <v>1</v>
      </c>
      <c r="E18" s="10">
        <f>HLOOKUP(E$1,vip数据表!$B$2:$AD$19,ROW(vip数据表!$A17),FALSE)</f>
        <v>5</v>
      </c>
      <c r="F18" s="10">
        <f>HLOOKUP(F$1,vip数据表!$B$2:$AD$19,ROW(vip数据表!$A17),FALSE)</f>
        <v>5</v>
      </c>
      <c r="G18" s="10" t="str">
        <f>HLOOKUP(G$1,vip数据表!$B$2:$AD$19,ROW(vip数据表!$A17),FALSE)</f>
        <v>20</v>
      </c>
      <c r="H18" s="10">
        <f>HLOOKUP(H$1,vip数据表!$B$2:$AD$19,ROW(vip数据表!$A17),FALSE)</f>
        <v>1</v>
      </c>
      <c r="I18" s="10">
        <f>HLOOKUP(I$1,vip数据表!$B$2:$AD$19,ROW(vip数据表!$A17),FALSE)</f>
        <v>1</v>
      </c>
      <c r="J18" s="10">
        <f>HLOOKUP(J$1,vip数据表!$B$2:$AD$19,ROW(vip数据表!$A17),FALSE)</f>
        <v>7</v>
      </c>
      <c r="K18" s="10">
        <f>HLOOKUP(K$1,vip数据表!$B$2:$AD$19,ROW(vip数据表!$A17),FALSE)</f>
        <v>4</v>
      </c>
      <c r="L18" s="10">
        <f>HLOOKUP(L$1,vip数据表!$B$2:$AD$19,ROW(vip数据表!$A17),FALSE)</f>
        <v>1</v>
      </c>
      <c r="M18" s="10">
        <f>HLOOKUP(M$1,vip数据表!$B$2:$AD$19,ROW(vip数据表!$A17),FALSE)</f>
        <v>7</v>
      </c>
      <c r="N18" s="10">
        <f>HLOOKUP(N$1,vip数据表!$B$2:$AD$19,ROW(vip数据表!$A17),FALSE)</f>
        <v>4</v>
      </c>
      <c r="O18" s="10">
        <v>1</v>
      </c>
      <c r="P18" s="12" t="s">
        <v>120</v>
      </c>
      <c r="Q18" s="10">
        <f>HLOOKUP(Q$1,vip数据表!$B$2:$AD$19,ROW(vip数据表!$A17),FALSE)</f>
        <v>7</v>
      </c>
      <c r="R18" s="10">
        <f>HLOOKUP(R$1,vip数据表!$B$2:$AD$19,ROW(vip数据表!$A17),FALSE)</f>
        <v>4</v>
      </c>
      <c r="S18" s="10">
        <f>HLOOKUP(S$1,vip数据表!$B$2:$AD$19,ROW(vip数据表!$A17),FALSE)</f>
        <v>3</v>
      </c>
      <c r="T18" s="10">
        <f>HLOOKUP(T$1,vip数据表!$B$2:$AD$19,ROW(vip数据表!$A17),FALSE)</f>
        <v>6</v>
      </c>
      <c r="U18" s="10">
        <v>7</v>
      </c>
      <c r="V18" s="10">
        <f>HLOOKUP(V$1,vip数据表!$B$2:$AD$19,ROW(vip数据表!$A17),FALSE)</f>
        <v>1</v>
      </c>
      <c r="W18" s="10">
        <f>HLOOKUP(W$1,vip数据表!$B$2:$AD$19,ROW(vip数据表!$A17),FALSE)</f>
        <v>1</v>
      </c>
      <c r="X18" s="10">
        <f>HLOOKUP(X$1,vip数据表!$B$2:$AD$19,ROW(vip数据表!$A17),FALSE)</f>
        <v>1</v>
      </c>
      <c r="Y18" s="10">
        <f>HLOOKUP(Y$1,vip数据表!$B$2:$AD$19,ROW(vip数据表!$A17),FALSE)</f>
        <v>3</v>
      </c>
      <c r="Z18" s="10">
        <f>HLOOKUP(Z$1,vip数据表!$B$2:$AD$19,ROW(vip数据表!$A17),FALSE)</f>
        <v>1</v>
      </c>
    </row>
    <row r="19" spans="2:26" ht="13.5">
      <c r="B19" s="19" t="s">
        <v>119</v>
      </c>
      <c r="C19" s="11"/>
      <c r="D19" s="10">
        <v>1</v>
      </c>
      <c r="E19" s="10">
        <f>HLOOKUP(E$1,vip数据表!$B$2:$AD$19,ROW(vip数据表!$A18),FALSE)</f>
        <v>5</v>
      </c>
      <c r="F19" s="10">
        <f>HLOOKUP(F$1,vip数据表!$B$2:$AD$19,ROW(vip数据表!$A18),FALSE)</f>
        <v>5</v>
      </c>
      <c r="G19" s="10" t="str">
        <f>HLOOKUP(G$1,vip数据表!$B$2:$AD$19,ROW(vip数据表!$A18),FALSE)</f>
        <v>20</v>
      </c>
      <c r="H19" s="10">
        <f>HLOOKUP(H$1,vip数据表!$B$2:$AD$19,ROW(vip数据表!$A18),FALSE)</f>
        <v>1</v>
      </c>
      <c r="I19" s="10">
        <f>HLOOKUP(I$1,vip数据表!$B$2:$AD$19,ROW(vip数据表!$A18),FALSE)</f>
        <v>1</v>
      </c>
      <c r="J19" s="10">
        <f>HLOOKUP(J$1,vip数据表!$B$2:$AD$19,ROW(vip数据表!$A18),FALSE)</f>
        <v>7</v>
      </c>
      <c r="K19" s="10">
        <f>HLOOKUP(K$1,vip数据表!$B$2:$AD$19,ROW(vip数据表!$A18),FALSE)</f>
        <v>4</v>
      </c>
      <c r="L19" s="10">
        <f>HLOOKUP(L$1,vip数据表!$B$2:$AD$19,ROW(vip数据表!$A18),FALSE)</f>
        <v>1</v>
      </c>
      <c r="M19" s="10">
        <f>HLOOKUP(M$1,vip数据表!$B$2:$AD$19,ROW(vip数据表!$A18),FALSE)</f>
        <v>7</v>
      </c>
      <c r="N19" s="10">
        <f>HLOOKUP(N$1,vip数据表!$B$2:$AD$19,ROW(vip数据表!$A18),FALSE)</f>
        <v>4</v>
      </c>
      <c r="O19" s="10">
        <v>1</v>
      </c>
      <c r="P19" s="12" t="s">
        <v>120</v>
      </c>
      <c r="Q19" s="10">
        <f>HLOOKUP(Q$1,vip数据表!$B$2:$AD$19,ROW(vip数据表!$A18),FALSE)</f>
        <v>7</v>
      </c>
      <c r="R19" s="10">
        <f>HLOOKUP(R$1,vip数据表!$B$2:$AD$19,ROW(vip数据表!$A18),FALSE)</f>
        <v>4</v>
      </c>
      <c r="S19" s="10">
        <f>HLOOKUP(S$1,vip数据表!$B$2:$AD$19,ROW(vip数据表!$A18),FALSE)</f>
        <v>3</v>
      </c>
      <c r="T19" s="10">
        <f>HLOOKUP(T$1,vip数据表!$B$2:$AD$19,ROW(vip数据表!$A18),FALSE)</f>
        <v>6</v>
      </c>
      <c r="U19" s="10">
        <v>7</v>
      </c>
      <c r="V19" s="10">
        <f>HLOOKUP(V$1,vip数据表!$B$2:$AD$19,ROW(vip数据表!$A18),FALSE)</f>
        <v>1</v>
      </c>
      <c r="W19" s="10">
        <f>HLOOKUP(W$1,vip数据表!$B$2:$AD$19,ROW(vip数据表!$A18),FALSE)</f>
        <v>1</v>
      </c>
      <c r="X19" s="10">
        <f>HLOOKUP(X$1,vip数据表!$B$2:$AD$19,ROW(vip数据表!$A18),FALSE)</f>
        <v>1</v>
      </c>
      <c r="Y19" s="10">
        <f>HLOOKUP(Y$1,vip数据表!$B$2:$AD$19,ROW(vip数据表!$A18),FALSE)</f>
        <v>3</v>
      </c>
      <c r="Z19" s="10">
        <f>HLOOKUP(Z$1,vip数据表!$B$2:$AD$19,ROW(vip数据表!$A18),FALSE)</f>
        <v>1</v>
      </c>
    </row>
  </sheetData>
  <phoneticPr fontId="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充值内容</vt:lpstr>
      <vt:lpstr>vip特权</vt:lpstr>
      <vt:lpstr>vip数据表</vt:lpstr>
      <vt:lpstr>vip配置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Sky123.Org</cp:lastModifiedBy>
  <dcterms:created xsi:type="dcterms:W3CDTF">2015-05-25T01:16:45Z</dcterms:created>
  <dcterms:modified xsi:type="dcterms:W3CDTF">2016-07-28T09:31:07Z</dcterms:modified>
</cp:coreProperties>
</file>