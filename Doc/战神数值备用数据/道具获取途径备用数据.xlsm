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GodWar\Doc\战神数值备用数据\"/>
    </mc:Choice>
  </mc:AlternateContent>
  <bookViews>
    <workbookView xWindow="0" yWindow="0" windowWidth="28800" windowHeight="12765"/>
  </bookViews>
  <sheets>
    <sheet name="道具获取途径" sheetId="1" r:id="rId1"/>
  </sheet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18" i="1" l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2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17" i="1"/>
  <c r="P43" i="1"/>
  <c r="P44" i="1"/>
  <c r="P45" i="1"/>
  <c r="P70" i="1"/>
  <c r="P46" i="1"/>
  <c r="P71" i="1"/>
  <c r="P96" i="1"/>
  <c r="P47" i="1"/>
  <c r="P48" i="1"/>
  <c r="P49" i="1"/>
  <c r="P74" i="1"/>
  <c r="P50" i="1"/>
  <c r="P75" i="1"/>
  <c r="P10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91" i="1"/>
  <c r="P42" i="1"/>
  <c r="P86" i="1"/>
  <c r="P111" i="1"/>
  <c r="P79" i="1"/>
  <c r="P104" i="1"/>
  <c r="P129" i="1"/>
  <c r="P90" i="1"/>
  <c r="P115" i="1"/>
  <c r="P140" i="1"/>
  <c r="P165" i="1"/>
  <c r="P78" i="1"/>
  <c r="P87" i="1"/>
  <c r="P72" i="1"/>
  <c r="P95" i="1"/>
  <c r="P120" i="1"/>
  <c r="P82" i="1"/>
  <c r="P107" i="1"/>
  <c r="P99" i="1"/>
  <c r="P136" i="1"/>
  <c r="P112" i="1"/>
  <c r="P67" i="1"/>
  <c r="P88" i="1"/>
  <c r="P84" i="1"/>
  <c r="P80" i="1"/>
  <c r="P76" i="1"/>
  <c r="P68" i="1"/>
  <c r="P121" i="1"/>
  <c r="P125" i="1"/>
  <c r="P116" i="1"/>
  <c r="P83" i="1"/>
  <c r="P89" i="1"/>
  <c r="P85" i="1"/>
  <c r="P81" i="1"/>
  <c r="P77" i="1"/>
  <c r="P73" i="1"/>
  <c r="P69" i="1"/>
  <c r="P97" i="1"/>
  <c r="P103" i="1"/>
  <c r="P145" i="1"/>
  <c r="P170" i="1"/>
  <c r="P94" i="1"/>
  <c r="P102" i="1"/>
  <c r="P110" i="1"/>
  <c r="P141" i="1"/>
  <c r="P190" i="1"/>
  <c r="P93" i="1"/>
  <c r="P105" i="1"/>
  <c r="P132" i="1"/>
  <c r="P98" i="1"/>
  <c r="P106" i="1"/>
  <c r="P114" i="1"/>
  <c r="P101" i="1"/>
  <c r="P146" i="1"/>
  <c r="P109" i="1"/>
  <c r="P92" i="1"/>
  <c r="P161" i="1"/>
  <c r="P108" i="1"/>
  <c r="P150" i="1"/>
  <c r="P154" i="1"/>
  <c r="P113" i="1"/>
  <c r="P137" i="1"/>
  <c r="P122" i="1"/>
  <c r="P124" i="1"/>
  <c r="P128" i="1"/>
  <c r="P157" i="1"/>
  <c r="P118" i="1"/>
  <c r="P166" i="1"/>
  <c r="P127" i="1"/>
  <c r="P138" i="1"/>
  <c r="P133" i="1"/>
  <c r="P126" i="1"/>
  <c r="P131" i="1"/>
  <c r="P147" i="1"/>
  <c r="P175" i="1"/>
  <c r="P117" i="1"/>
  <c r="P195" i="1"/>
  <c r="P149" i="1"/>
  <c r="P162" i="1"/>
  <c r="P179" i="1"/>
  <c r="P186" i="1"/>
  <c r="P134" i="1"/>
  <c r="P171" i="1"/>
  <c r="P139" i="1"/>
  <c r="P123" i="1"/>
  <c r="P130" i="1"/>
  <c r="P215" i="1"/>
  <c r="P135" i="1"/>
  <c r="P119" i="1"/>
  <c r="P153" i="1"/>
  <c r="P152" i="1"/>
  <c r="P155" i="1"/>
  <c r="P220" i="1"/>
  <c r="P156" i="1"/>
  <c r="P158" i="1"/>
  <c r="P143" i="1"/>
  <c r="P160" i="1"/>
  <c r="P164" i="1"/>
  <c r="P159" i="1"/>
  <c r="P187" i="1"/>
  <c r="P200" i="1"/>
  <c r="P144" i="1"/>
  <c r="P240" i="1"/>
  <c r="P148" i="1"/>
  <c r="P196" i="1"/>
  <c r="P211" i="1"/>
  <c r="P204" i="1"/>
  <c r="P174" i="1"/>
  <c r="P142" i="1"/>
  <c r="P172" i="1"/>
  <c r="P151" i="1"/>
  <c r="P163" i="1"/>
  <c r="P191" i="1"/>
  <c r="P182" i="1"/>
  <c r="P178" i="1"/>
  <c r="P176" i="1"/>
  <c r="P265" i="1"/>
  <c r="P225" i="1"/>
  <c r="P184" i="1"/>
  <c r="P216" i="1"/>
  <c r="P167" i="1"/>
  <c r="P229" i="1"/>
  <c r="P221" i="1"/>
  <c r="P185" i="1"/>
  <c r="P183" i="1"/>
  <c r="P245" i="1"/>
  <c r="P180" i="1"/>
  <c r="P173" i="1"/>
  <c r="P207" i="1"/>
  <c r="P188" i="1"/>
  <c r="P197" i="1"/>
  <c r="P199" i="1"/>
  <c r="P236" i="1"/>
  <c r="P169" i="1"/>
  <c r="P212" i="1"/>
  <c r="P189" i="1"/>
  <c r="P168" i="1"/>
  <c r="P181" i="1"/>
  <c r="P177" i="1"/>
  <c r="P203" i="1"/>
  <c r="P237" i="1"/>
  <c r="P193" i="1"/>
  <c r="P261" i="1"/>
  <c r="P222" i="1"/>
  <c r="P232" i="1"/>
  <c r="P205" i="1"/>
  <c r="P208" i="1"/>
  <c r="P246" i="1"/>
  <c r="P192" i="1"/>
  <c r="P209" i="1"/>
  <c r="P290" i="1"/>
  <c r="P202" i="1"/>
  <c r="P206" i="1"/>
  <c r="P214" i="1"/>
  <c r="P194" i="1"/>
  <c r="P224" i="1"/>
  <c r="P213" i="1"/>
  <c r="P198" i="1"/>
  <c r="P270" i="1"/>
  <c r="P210" i="1"/>
  <c r="P254" i="1"/>
  <c r="P241" i="1"/>
  <c r="P250" i="1"/>
  <c r="P201" i="1"/>
  <c r="P228" i="1"/>
  <c r="P275" i="1"/>
  <c r="P279" i="1"/>
  <c r="P295" i="1"/>
  <c r="P238" i="1"/>
  <c r="P219" i="1"/>
  <c r="P231" i="1"/>
  <c r="P315" i="1"/>
  <c r="P217" i="1"/>
  <c r="P233" i="1"/>
  <c r="P257" i="1"/>
  <c r="P286" i="1"/>
  <c r="P227" i="1"/>
  <c r="P226" i="1"/>
  <c r="P266" i="1"/>
  <c r="P235" i="1"/>
  <c r="P223" i="1"/>
  <c r="P249" i="1"/>
  <c r="P239" i="1"/>
  <c r="P234" i="1"/>
  <c r="P271" i="1"/>
  <c r="P230" i="1"/>
  <c r="P247" i="1"/>
  <c r="P218" i="1"/>
  <c r="P262" i="1"/>
  <c r="P253" i="1"/>
  <c r="P243" i="1"/>
  <c r="P255" i="1"/>
  <c r="P259" i="1"/>
  <c r="P274" i="1"/>
  <c r="P260" i="1"/>
  <c r="P251" i="1"/>
  <c r="P282" i="1"/>
  <c r="P242" i="1"/>
  <c r="P256" i="1"/>
  <c r="P263" i="1"/>
  <c r="P304" i="1"/>
  <c r="P248" i="1"/>
  <c r="P287" i="1"/>
  <c r="P272" i="1"/>
  <c r="P296" i="1"/>
  <c r="P264" i="1"/>
  <c r="P291" i="1"/>
  <c r="P252" i="1"/>
  <c r="P311" i="1"/>
  <c r="P258" i="1"/>
  <c r="P340" i="1"/>
  <c r="P244" i="1"/>
  <c r="P320" i="1"/>
  <c r="P300" i="1"/>
  <c r="P278" i="1"/>
  <c r="P312" i="1"/>
  <c r="P345" i="1"/>
  <c r="P365" i="1"/>
  <c r="P336" i="1"/>
  <c r="P316" i="1"/>
  <c r="P321" i="1"/>
  <c r="P329" i="1"/>
  <c r="P281" i="1"/>
  <c r="P307" i="1"/>
  <c r="P276" i="1"/>
  <c r="P299" i="1"/>
  <c r="P280" i="1"/>
  <c r="P269" i="1"/>
  <c r="P285" i="1"/>
  <c r="P325" i="1"/>
  <c r="P283" i="1"/>
  <c r="P277" i="1"/>
  <c r="P289" i="1"/>
  <c r="P297" i="1"/>
  <c r="P273" i="1"/>
  <c r="P288" i="1"/>
  <c r="P267" i="1"/>
  <c r="P284" i="1"/>
  <c r="P268" i="1"/>
  <c r="P303" i="1"/>
  <c r="P309" i="1"/>
  <c r="P292" i="1"/>
  <c r="P298" i="1"/>
  <c r="P314" i="1"/>
  <c r="P308" i="1"/>
  <c r="P310" i="1"/>
  <c r="P305" i="1"/>
  <c r="P306" i="1"/>
  <c r="P346" i="1"/>
  <c r="P361" i="1"/>
  <c r="P370" i="1"/>
  <c r="P293" i="1"/>
  <c r="P313" i="1"/>
  <c r="P302" i="1"/>
  <c r="P301" i="1"/>
  <c r="P322" i="1"/>
  <c r="P350" i="1"/>
  <c r="P294" i="1"/>
  <c r="P324" i="1"/>
  <c r="P332" i="1"/>
  <c r="P354" i="1"/>
  <c r="P341" i="1"/>
  <c r="P390" i="1"/>
  <c r="P337" i="1"/>
  <c r="P328" i="1"/>
  <c r="P415" i="1"/>
  <c r="P379" i="1"/>
  <c r="P375" i="1"/>
  <c r="P318" i="1"/>
  <c r="P331" i="1"/>
  <c r="P339" i="1"/>
  <c r="P333" i="1"/>
  <c r="P349" i="1"/>
  <c r="P317" i="1"/>
  <c r="P327" i="1"/>
  <c r="P386" i="1"/>
  <c r="P335" i="1"/>
  <c r="P362" i="1"/>
  <c r="P366" i="1"/>
  <c r="P357" i="1"/>
  <c r="P319" i="1"/>
  <c r="P347" i="1"/>
  <c r="P326" i="1"/>
  <c r="P338" i="1"/>
  <c r="P395" i="1"/>
  <c r="P371" i="1"/>
  <c r="P330" i="1"/>
  <c r="P323" i="1"/>
  <c r="P334" i="1"/>
  <c r="P353" i="1"/>
  <c r="P343" i="1"/>
  <c r="P404" i="1"/>
  <c r="P364" i="1"/>
  <c r="P360" i="1"/>
  <c r="P348" i="1"/>
  <c r="P396" i="1"/>
  <c r="P363" i="1"/>
  <c r="P372" i="1"/>
  <c r="P382" i="1"/>
  <c r="P387" i="1"/>
  <c r="P411" i="1"/>
  <c r="P374" i="1"/>
  <c r="P359" i="1"/>
  <c r="P355" i="1"/>
  <c r="P351" i="1"/>
  <c r="P344" i="1"/>
  <c r="P391" i="1"/>
  <c r="P352" i="1"/>
  <c r="P342" i="1"/>
  <c r="P358" i="1"/>
  <c r="P356" i="1"/>
  <c r="P400" i="1"/>
  <c r="P378" i="1"/>
  <c r="P377" i="1"/>
  <c r="P369" i="1"/>
  <c r="P381" i="1"/>
  <c r="P376" i="1"/>
  <c r="P367" i="1"/>
  <c r="P416" i="1"/>
  <c r="P384" i="1"/>
  <c r="P407" i="1"/>
  <c r="P388" i="1"/>
  <c r="P373" i="1"/>
  <c r="P389" i="1"/>
  <c r="P368" i="1"/>
  <c r="P397" i="1"/>
  <c r="P383" i="1"/>
  <c r="P380" i="1"/>
  <c r="P399" i="1"/>
  <c r="P412" i="1"/>
  <c r="P385" i="1"/>
  <c r="P403" i="1"/>
  <c r="P401" i="1"/>
  <c r="P410" i="1"/>
  <c r="P408" i="1"/>
  <c r="P393" i="1"/>
  <c r="P398" i="1"/>
  <c r="P394" i="1"/>
  <c r="P413" i="1"/>
  <c r="P392" i="1"/>
  <c r="P405" i="1"/>
  <c r="P414" i="1"/>
  <c r="P409" i="1"/>
  <c r="P406" i="1"/>
  <c r="P402" i="1"/>
</calcChain>
</file>

<file path=xl/sharedStrings.xml><?xml version="1.0" encoding="utf-8"?>
<sst xmlns="http://schemas.openxmlformats.org/spreadsheetml/2006/main" count="213" uniqueCount="196">
  <si>
    <t>普通难度</t>
    <phoneticPr fontId="2" type="noConversion"/>
  </si>
  <si>
    <t>困难难度</t>
    <phoneticPr fontId="2" type="noConversion"/>
  </si>
  <si>
    <t>ID</t>
  </si>
  <si>
    <t>归属链接系统</t>
  </si>
  <si>
    <t>链接参数</t>
  </si>
  <si>
    <t>链接显示文字</t>
  </si>
  <si>
    <t>id</t>
  </si>
  <si>
    <t>type</t>
  </si>
  <si>
    <t>param</t>
  </si>
  <si>
    <t>text</t>
  </si>
  <si>
    <t>特殊途径</t>
    <phoneticPr fontId="2" type="noConversion"/>
  </si>
  <si>
    <t>关卡名称</t>
    <phoneticPr fontId="2" type="noConversion"/>
  </si>
  <si>
    <t>大战伊始</t>
  </si>
  <si>
    <t>家园惊变</t>
  </si>
  <si>
    <t>疯狂的战神</t>
  </si>
  <si>
    <t>利比亚蝎王</t>
  </si>
  <si>
    <t>斩蝎行动</t>
  </si>
  <si>
    <t>烽火余生</t>
  </si>
  <si>
    <t>城郊寻女</t>
  </si>
  <si>
    <t>战神的指引</t>
  </si>
  <si>
    <t>温泉关之战</t>
  </si>
  <si>
    <t>巨人的毁灭</t>
  </si>
  <si>
    <t>战争余烬</t>
  </si>
  <si>
    <t>名王东逃</t>
  </si>
  <si>
    <t>重赏之下</t>
  </si>
  <si>
    <t>千里穷追</t>
  </si>
  <si>
    <t>波斯王之殒</t>
  </si>
  <si>
    <t>异端之国</t>
  </si>
  <si>
    <t>色雷斯之灾</t>
  </si>
  <si>
    <t>铸成大错</t>
  </si>
  <si>
    <t>破誓者之志</t>
  </si>
  <si>
    <t>复仇女神</t>
  </si>
  <si>
    <t>异变突生</t>
  </si>
  <si>
    <t>莱山德归国</t>
  </si>
  <si>
    <t>英雄之路</t>
  </si>
  <si>
    <t>潜行避战</t>
  </si>
  <si>
    <t>三头犬之死</t>
  </si>
  <si>
    <t>【所有普通副本】</t>
    <phoneticPr fontId="2" type="noConversion"/>
  </si>
  <si>
    <t>【所有困难副本】</t>
    <phoneticPr fontId="2" type="noConversion"/>
  </si>
  <si>
    <t>【精英副本】</t>
    <phoneticPr fontId="2" type="noConversion"/>
  </si>
  <si>
    <t>【竞技场】</t>
  </si>
  <si>
    <t>【每日任务】</t>
  </si>
  <si>
    <t>【金币副本】</t>
  </si>
  <si>
    <t>【哈迪斯之血】</t>
  </si>
  <si>
    <t>【挚爱守护】</t>
  </si>
  <si>
    <t>【每日签到】</t>
  </si>
  <si>
    <t>【装备宝箱】</t>
  </si>
  <si>
    <t>【VIP系统】</t>
  </si>
  <si>
    <t>【兑换商店】</t>
  </si>
  <si>
    <t>【顶级宝藏】</t>
    <phoneticPr fontId="2" type="noConversion"/>
  </si>
  <si>
    <t>名称</t>
  </si>
  <si>
    <t>name</t>
  </si>
  <si>
    <t>凡品经验灵药</t>
  </si>
  <si>
    <t>普通经验灵药</t>
    <phoneticPr fontId="6" type="noConversion"/>
  </si>
  <si>
    <t>金币</t>
  </si>
  <si>
    <t>经验</t>
  </si>
  <si>
    <t>凡品天空精元</t>
  </si>
  <si>
    <t>普通天空精元</t>
  </si>
  <si>
    <t>完美天空精元</t>
  </si>
  <si>
    <t>稀有天空精元</t>
  </si>
  <si>
    <t>卓越天空精元</t>
  </si>
  <si>
    <t>极品天空精元</t>
  </si>
  <si>
    <t>神圣天空精元</t>
  </si>
  <si>
    <t>史诗天空精元</t>
  </si>
  <si>
    <t>传说天空精元</t>
  </si>
  <si>
    <t>凡品海洋精元</t>
  </si>
  <si>
    <t>普通海洋精元</t>
  </si>
  <si>
    <t>优质海洋精元</t>
  </si>
  <si>
    <t>完美海洋精元</t>
  </si>
  <si>
    <t>稀有海洋精元</t>
  </si>
  <si>
    <t>卓越海洋精元</t>
  </si>
  <si>
    <t>极品海洋精元</t>
  </si>
  <si>
    <t>神圣海洋精元</t>
  </si>
  <si>
    <t>史诗海洋精元</t>
  </si>
  <si>
    <t>传说海洋精元</t>
  </si>
  <si>
    <t>普通卷轴</t>
  </si>
  <si>
    <t>普通卷轴+1</t>
  </si>
  <si>
    <t>普通卷轴+2</t>
  </si>
  <si>
    <t>普通卷轴+3</t>
  </si>
  <si>
    <t>完美卷轴</t>
  </si>
  <si>
    <t>完美卷轴+1</t>
  </si>
  <si>
    <t>完美卷轴+2</t>
  </si>
  <si>
    <t>完美卷轴+3</t>
  </si>
  <si>
    <t>稀有卷轴</t>
  </si>
  <si>
    <t>稀有卷轴+1</t>
  </si>
  <si>
    <t>稀有卷轴+2</t>
  </si>
  <si>
    <t>稀有卷轴+3</t>
  </si>
  <si>
    <t>稀有卷轴+4</t>
  </si>
  <si>
    <t>装备觉醒石</t>
  </si>
  <si>
    <t>阿尔忒弥斯</t>
  </si>
  <si>
    <t>获取途径ID</t>
    <phoneticPr fontId="2" type="noConversion"/>
  </si>
  <si>
    <t>关卡章节</t>
  </si>
  <si>
    <t>关卡ID</t>
  </si>
  <si>
    <t>道具ID</t>
    <phoneticPr fontId="2" type="noConversion"/>
  </si>
  <si>
    <t>进阶道具ID</t>
    <phoneticPr fontId="2" type="noConversion"/>
  </si>
  <si>
    <t>神魂ID</t>
    <phoneticPr fontId="2" type="noConversion"/>
  </si>
  <si>
    <t>金币ID</t>
    <phoneticPr fontId="2" type="noConversion"/>
  </si>
  <si>
    <t>经验药1ID</t>
    <phoneticPr fontId="2" type="noConversion"/>
  </si>
  <si>
    <t>经验药2ID</t>
    <phoneticPr fontId="2" type="noConversion"/>
  </si>
  <si>
    <t>经验药3ID</t>
    <phoneticPr fontId="2" type="noConversion"/>
  </si>
  <si>
    <t/>
  </si>
  <si>
    <t>1141,1151</t>
  </si>
  <si>
    <t>1161,1171</t>
  </si>
  <si>
    <t>1181,1191</t>
  </si>
  <si>
    <t>1045,1055</t>
  </si>
  <si>
    <t>1065,1075</t>
  </si>
  <si>
    <t>1085,1095</t>
  </si>
  <si>
    <t>1105,1115</t>
  </si>
  <si>
    <t>1125,1135</t>
  </si>
  <si>
    <t>1145,1155</t>
  </si>
  <si>
    <t>1165,1175</t>
  </si>
  <si>
    <t>1185,1195</t>
  </si>
  <si>
    <t>1048,1058</t>
  </si>
  <si>
    <t>1068,1078</t>
  </si>
  <si>
    <t>1088,1098</t>
  </si>
  <si>
    <t>1108,1118</t>
  </si>
  <si>
    <t>1128,1138</t>
  </si>
  <si>
    <t>1148,1158</t>
  </si>
  <si>
    <t>1168,1178</t>
  </si>
  <si>
    <t>1188,1198</t>
  </si>
  <si>
    <t>神血结晶</t>
    <phoneticPr fontId="6" type="noConversion"/>
  </si>
  <si>
    <t>神侍装备精华</t>
    <phoneticPr fontId="6" type="noConversion"/>
  </si>
  <si>
    <t>完美经验灵药</t>
    <phoneticPr fontId="6" type="noConversion"/>
  </si>
  <si>
    <t>稀有经验灵药</t>
    <phoneticPr fontId="6" type="noConversion"/>
  </si>
  <si>
    <t>金宝箱</t>
    <phoneticPr fontId="6" type="noConversion"/>
  </si>
  <si>
    <t>钻石</t>
    <phoneticPr fontId="6" type="noConversion"/>
  </si>
  <si>
    <t>体力</t>
    <phoneticPr fontId="6" type="noConversion"/>
  </si>
  <si>
    <t>竞技场兑换币</t>
    <phoneticPr fontId="6" type="noConversion"/>
  </si>
  <si>
    <t>丰饶之券</t>
    <phoneticPr fontId="6" type="noConversion"/>
  </si>
  <si>
    <t>神赉之券</t>
    <phoneticPr fontId="6" type="noConversion"/>
  </si>
  <si>
    <t>高级宝藏碎片</t>
    <phoneticPr fontId="6" type="noConversion"/>
  </si>
  <si>
    <t>顶级宝藏碎片</t>
    <phoneticPr fontId="6" type="noConversion"/>
  </si>
  <si>
    <t>个人贡献</t>
    <phoneticPr fontId="6" type="noConversion"/>
  </si>
  <si>
    <t>火神燧石</t>
    <phoneticPr fontId="6" type="noConversion"/>
  </si>
  <si>
    <t>初级天赋石</t>
    <phoneticPr fontId="6" type="noConversion"/>
  </si>
  <si>
    <t>高级天赋石</t>
    <phoneticPr fontId="6" type="noConversion"/>
  </si>
  <si>
    <t>勇士勋章</t>
    <phoneticPr fontId="6" type="noConversion"/>
  </si>
  <si>
    <t>初级突破石</t>
    <phoneticPr fontId="6" type="noConversion"/>
  </si>
  <si>
    <t>高级突破石</t>
    <phoneticPr fontId="6" type="noConversion"/>
  </si>
  <si>
    <t>卡德摩斯之石</t>
    <phoneticPr fontId="6" type="noConversion"/>
  </si>
  <si>
    <t>卡德摩斯印记</t>
    <phoneticPr fontId="6" type="noConversion"/>
  </si>
  <si>
    <t>迈达斯之石</t>
    <phoneticPr fontId="6" type="noConversion"/>
  </si>
  <si>
    <t>迈达斯印记</t>
    <phoneticPr fontId="6" type="noConversion"/>
  </si>
  <si>
    <t>神魂</t>
    <phoneticPr fontId="6" type="noConversion"/>
  </si>
  <si>
    <t>链刃铭文石</t>
    <phoneticPr fontId="6" type="noConversion"/>
  </si>
  <si>
    <t>重剑铭文石</t>
    <phoneticPr fontId="6" type="noConversion"/>
  </si>
  <si>
    <t>蛮锤铭文石</t>
    <phoneticPr fontId="6" type="noConversion"/>
  </si>
  <si>
    <t>战矛铭文石</t>
    <phoneticPr fontId="6" type="noConversion"/>
  </si>
  <si>
    <t>神器碎片</t>
    <phoneticPr fontId="6" type="noConversion"/>
  </si>
  <si>
    <t>凡品大地精元</t>
    <phoneticPr fontId="6" type="noConversion"/>
  </si>
  <si>
    <t>普通大地精元</t>
    <phoneticPr fontId="6" type="noConversion"/>
  </si>
  <si>
    <t>优质大地精元</t>
    <phoneticPr fontId="6" type="noConversion"/>
  </si>
  <si>
    <t>完美大地精元</t>
    <phoneticPr fontId="6" type="noConversion"/>
  </si>
  <si>
    <t>稀有大地精元</t>
    <phoneticPr fontId="6" type="noConversion"/>
  </si>
  <si>
    <t>卓越大地精元</t>
    <phoneticPr fontId="6" type="noConversion"/>
  </si>
  <si>
    <t>极品大地精元</t>
    <phoneticPr fontId="6" type="noConversion"/>
  </si>
  <si>
    <t>神圣大地精元</t>
    <phoneticPr fontId="6" type="noConversion"/>
  </si>
  <si>
    <t>史诗大地精元</t>
    <phoneticPr fontId="6" type="noConversion"/>
  </si>
  <si>
    <t>传说大地精元</t>
    <phoneticPr fontId="6" type="noConversion"/>
  </si>
  <si>
    <t>优质天空精元</t>
  </si>
  <si>
    <t>凡品卷轴</t>
    <phoneticPr fontId="6" type="noConversion"/>
  </si>
  <si>
    <t>优质卷轴</t>
  </si>
  <si>
    <t>优质卷轴+1</t>
  </si>
  <si>
    <t>优质卷轴+2</t>
  </si>
  <si>
    <t>优质卷轴+3</t>
  </si>
  <si>
    <t>复仇之刃</t>
    <phoneticPr fontId="6" type="noConversion"/>
  </si>
  <si>
    <t>奥林匹斯之剑</t>
    <phoneticPr fontId="6" type="noConversion"/>
  </si>
  <si>
    <t>天罚之锤</t>
    <phoneticPr fontId="6" type="noConversion"/>
  </si>
  <si>
    <t>列奥尼达武装</t>
    <phoneticPr fontId="6" type="noConversion"/>
  </si>
  <si>
    <t>亚述狂战斧</t>
    <phoneticPr fontId="6" type="noConversion"/>
  </si>
  <si>
    <t>护身符碎片</t>
    <phoneticPr fontId="6" type="noConversion"/>
  </si>
  <si>
    <t>神戒碎片</t>
    <phoneticPr fontId="6" type="noConversion"/>
  </si>
  <si>
    <t>宙斯</t>
    <phoneticPr fontId="6" type="noConversion"/>
  </si>
  <si>
    <t>阿波罗</t>
    <phoneticPr fontId="6" type="noConversion"/>
  </si>
  <si>
    <t>哈迪斯</t>
    <phoneticPr fontId="6" type="noConversion"/>
  </si>
  <si>
    <t>赫拉</t>
    <phoneticPr fontId="6" type="noConversion"/>
  </si>
  <si>
    <t>海格力斯</t>
    <phoneticPr fontId="6" type="noConversion"/>
  </si>
  <si>
    <t>巴克斯</t>
    <phoneticPr fontId="6" type="noConversion"/>
  </si>
  <si>
    <t>暗黑女神</t>
    <phoneticPr fontId="6" type="noConversion"/>
  </si>
  <si>
    <t>波塞冬</t>
    <phoneticPr fontId="6" type="noConversion"/>
  </si>
  <si>
    <t>雅典娜</t>
    <phoneticPr fontId="6" type="noConversion"/>
  </si>
  <si>
    <t>赫尔墨斯</t>
    <phoneticPr fontId="6" type="noConversion"/>
  </si>
  <si>
    <t>赫菲斯托斯</t>
    <phoneticPr fontId="6" type="noConversion"/>
  </si>
  <si>
    <t>薛西斯</t>
    <phoneticPr fontId="6" type="noConversion"/>
  </si>
  <si>
    <t>复仇女神</t>
    <phoneticPr fontId="6" type="noConversion"/>
  </si>
  <si>
    <t>1031,1036</t>
  </si>
  <si>
    <t>1041,1051</t>
  </si>
  <si>
    <t>1061,1071</t>
  </si>
  <si>
    <t>1081,1091</t>
  </si>
  <si>
    <t>1101,1111</t>
  </si>
  <si>
    <t>1121,1131</t>
  </si>
  <si>
    <t>1028,1035,1040</t>
    <phoneticPr fontId="2" type="noConversion"/>
  </si>
  <si>
    <t>1026,1033,1038</t>
    <phoneticPr fontId="2" type="noConversion"/>
  </si>
  <si>
    <t>1003,1013,1021</t>
    <phoneticPr fontId="2" type="noConversion"/>
  </si>
  <si>
    <t>1004,1014,1025</t>
    <phoneticPr fontId="2" type="noConversion"/>
  </si>
  <si>
    <t>1005,1015,1019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</si>
</sst>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9"/>
      <color theme="1"/>
      <name val="宋体"/>
      <family val="3"/>
      <charset val="134"/>
      <scheme val="minor"/>
    </font>
    <font>
      <b/>
      <sz val="9"/>
      <color rgb="FFFF0000"/>
      <name val="宋体"/>
      <family val="3"/>
      <charset val="134"/>
      <scheme val="minor"/>
    </font>
    <font>
      <sz val="10"/>
      <color indexed="8"/>
      <name val="宋体"/>
      <family val="3"/>
      <charset val="134"/>
    </font>
    <font>
      <sz val="9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1" fillId="0" borderId="0" xfId="0" applyFont="1">
      <alignment vertical="center"/>
    </xf>
    <xf numFmtId="0" fontId="4" fillId="0" borderId="0" xfId="0" applyFo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5" fillId="3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1" fillId="0" borderId="1" xfId="0" applyFont="1" applyBorder="1">
      <alignment vertical="center"/>
    </xf>
    <xf numFmtId="0" fontId="1" fillId="4" borderId="1" xfId="0" applyFont="1" applyFill="1" applyBorder="1">
      <alignment vertical="center"/>
    </xf>
    <xf numFmtId="0" fontId="1" fillId="5" borderId="2" xfId="0" applyFont="1" applyFill="1" applyBorder="1">
      <alignment vertical="center"/>
    </xf>
    <xf numFmtId="0" fontId="1" fillId="5" borderId="1" xfId="0" applyFont="1" applyFill="1" applyBorder="1">
      <alignment vertical="center"/>
    </xf>
    <xf numFmtId="0" fontId="1" fillId="6" borderId="1" xfId="0" applyFont="1" applyFill="1" applyBorder="1">
      <alignment vertical="center"/>
    </xf>
    <xf numFmtId="0" fontId="1" fillId="7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1" fillId="9" borderId="1" xfId="0" applyFont="1" applyFill="1" applyBorder="1">
      <alignment vertical="center"/>
    </xf>
    <xf numFmtId="49" fontId="1" fillId="0" borderId="0" xfId="0" applyNumberFormat="1" applyFont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0</xdr:rowOff>
        </xdr:from>
        <xdr:to>
          <xdr:col>5</xdr:col>
          <xdr:colOff>247650</xdr:colOff>
          <xdr:row>2</xdr:row>
          <xdr:rowOff>0</xdr:rowOff>
        </xdr:to>
        <xdr:sp macro="" textlink="">
          <xdr:nvSpPr>
            <xdr:cNvPr id="1025" name="CommandButton2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T416"/>
  <sheetViews>
    <sheetView tabSelected="1" topLeftCell="A180" workbookViewId="0">
      <selection activeCell="T217" sqref="T217:T416"/>
    </sheetView>
  </sheetViews>
  <sheetFormatPr defaultRowHeight="12" x14ac:dyDescent="0.15"/>
  <cols>
    <col min="1" max="1" width="9" style="1"/>
    <col min="2" max="2" width="7.375" style="6" customWidth="1"/>
    <col min="3" max="3" width="16.75" style="6" customWidth="1"/>
    <col min="4" max="4" width="9" style="15"/>
    <col min="5" max="14" width="9" style="1"/>
    <col min="15" max="16" width="9" style="2"/>
    <col min="17" max="16384" width="9" style="1"/>
  </cols>
  <sheetData>
    <row r="1" spans="2:20" x14ac:dyDescent="0.15">
      <c r="B1" s="3"/>
      <c r="C1" s="3"/>
      <c r="H1" s="16" t="s">
        <v>93</v>
      </c>
      <c r="I1" s="17"/>
      <c r="J1" s="17"/>
      <c r="K1" s="17"/>
      <c r="L1" s="17"/>
      <c r="M1" s="18"/>
    </row>
    <row r="2" spans="2:20" x14ac:dyDescent="0.15">
      <c r="B2" s="4" t="s">
        <v>2</v>
      </c>
      <c r="C2" s="4" t="s">
        <v>50</v>
      </c>
      <c r="D2" s="15" t="s">
        <v>90</v>
      </c>
      <c r="F2" s="7" t="s">
        <v>91</v>
      </c>
      <c r="G2" s="7" t="s">
        <v>92</v>
      </c>
      <c r="H2" s="14" t="s">
        <v>94</v>
      </c>
      <c r="I2" s="14" t="s">
        <v>95</v>
      </c>
      <c r="J2" s="14" t="s">
        <v>96</v>
      </c>
      <c r="K2" s="14" t="s">
        <v>97</v>
      </c>
      <c r="L2" s="14" t="s">
        <v>98</v>
      </c>
      <c r="M2" s="14" t="s">
        <v>99</v>
      </c>
      <c r="P2" s="2" t="s">
        <v>11</v>
      </c>
      <c r="Q2" s="1" t="s">
        <v>2</v>
      </c>
      <c r="R2" s="1" t="s">
        <v>3</v>
      </c>
      <c r="S2" s="1" t="s">
        <v>4</v>
      </c>
      <c r="T2" s="1" t="s">
        <v>5</v>
      </c>
    </row>
    <row r="3" spans="2:20" x14ac:dyDescent="0.15">
      <c r="B3" s="5" t="s">
        <v>6</v>
      </c>
      <c r="C3" s="5" t="s">
        <v>51</v>
      </c>
      <c r="F3" s="8">
        <v>1</v>
      </c>
      <c r="G3" s="8">
        <v>1</v>
      </c>
      <c r="H3" s="14">
        <v>100001</v>
      </c>
      <c r="I3" s="14">
        <v>40200</v>
      </c>
      <c r="J3" s="14">
        <v>30000</v>
      </c>
      <c r="K3" s="14">
        <v>20000</v>
      </c>
      <c r="L3" s="14">
        <v>20000</v>
      </c>
      <c r="M3" s="14">
        <v>20000</v>
      </c>
      <c r="Q3" s="1" t="s">
        <v>6</v>
      </c>
      <c r="R3" s="1" t="s">
        <v>7</v>
      </c>
      <c r="S3" s="1" t="s">
        <v>8</v>
      </c>
      <c r="T3" s="1" t="s">
        <v>9</v>
      </c>
    </row>
    <row r="4" spans="2:20" x14ac:dyDescent="0.15">
      <c r="B4" s="6">
        <v>10001</v>
      </c>
      <c r="C4" s="6" t="s">
        <v>120</v>
      </c>
      <c r="F4" s="8">
        <v>1</v>
      </c>
      <c r="G4" s="8">
        <v>2</v>
      </c>
      <c r="H4" s="14">
        <v>100101</v>
      </c>
      <c r="I4" s="14">
        <v>40200</v>
      </c>
      <c r="J4" s="14">
        <v>30000</v>
      </c>
      <c r="K4" s="14">
        <v>20000</v>
      </c>
      <c r="L4" s="14">
        <v>20000</v>
      </c>
      <c r="M4" s="14">
        <v>20000</v>
      </c>
      <c r="O4" s="2" t="s">
        <v>10</v>
      </c>
      <c r="Q4" s="1">
        <v>1</v>
      </c>
      <c r="R4" s="1">
        <v>1</v>
      </c>
      <c r="T4" s="1" t="s">
        <v>37</v>
      </c>
    </row>
    <row r="5" spans="2:20" x14ac:dyDescent="0.15">
      <c r="B5" s="6">
        <v>10002</v>
      </c>
      <c r="C5" s="6" t="s">
        <v>121</v>
      </c>
      <c r="F5" s="8">
        <v>1</v>
      </c>
      <c r="G5" s="8">
        <v>3</v>
      </c>
      <c r="H5" s="14">
        <v>100001</v>
      </c>
      <c r="I5" s="14">
        <v>40200</v>
      </c>
      <c r="J5" s="14">
        <v>30000</v>
      </c>
      <c r="K5" s="14">
        <v>20000</v>
      </c>
      <c r="L5" s="14">
        <v>20000</v>
      </c>
      <c r="M5" s="14">
        <v>20000</v>
      </c>
      <c r="Q5" s="1">
        <v>2</v>
      </c>
      <c r="R5" s="1">
        <v>2</v>
      </c>
      <c r="T5" s="1" t="s">
        <v>38</v>
      </c>
    </row>
    <row r="6" spans="2:20" x14ac:dyDescent="0.15">
      <c r="B6" s="6">
        <v>20000</v>
      </c>
      <c r="C6" s="6" t="s">
        <v>52</v>
      </c>
      <c r="F6" s="8">
        <v>1</v>
      </c>
      <c r="G6" s="8">
        <v>4</v>
      </c>
      <c r="H6" s="14">
        <v>100101</v>
      </c>
      <c r="I6" s="14">
        <v>40200</v>
      </c>
      <c r="J6" s="14">
        <v>30000</v>
      </c>
      <c r="K6" s="14">
        <v>20000</v>
      </c>
      <c r="L6" s="14">
        <v>20000</v>
      </c>
      <c r="M6" s="14">
        <v>20000</v>
      </c>
      <c r="Q6" s="1">
        <v>3</v>
      </c>
      <c r="R6" s="1">
        <v>3</v>
      </c>
      <c r="T6" s="1" t="s">
        <v>39</v>
      </c>
    </row>
    <row r="7" spans="2:20" x14ac:dyDescent="0.15">
      <c r="B7" s="6">
        <v>20001</v>
      </c>
      <c r="C7" s="6" t="s">
        <v>53</v>
      </c>
      <c r="F7" s="8">
        <v>1</v>
      </c>
      <c r="G7" s="8">
        <v>5</v>
      </c>
      <c r="H7" s="14">
        <v>100201</v>
      </c>
      <c r="I7" s="14">
        <v>40200</v>
      </c>
      <c r="J7" s="14">
        <v>30000</v>
      </c>
      <c r="K7" s="14">
        <v>20000</v>
      </c>
      <c r="L7" s="14">
        <v>20000</v>
      </c>
      <c r="M7" s="14">
        <v>20000</v>
      </c>
      <c r="Q7" s="1">
        <v>4</v>
      </c>
      <c r="R7" s="1">
        <v>4</v>
      </c>
      <c r="T7" s="1" t="s">
        <v>40</v>
      </c>
    </row>
    <row r="8" spans="2:20" x14ac:dyDescent="0.15">
      <c r="B8" s="6">
        <v>20002</v>
      </c>
      <c r="C8" s="6" t="s">
        <v>122</v>
      </c>
      <c r="F8" s="8">
        <v>1</v>
      </c>
      <c r="G8" s="8">
        <v>6</v>
      </c>
      <c r="H8" s="14">
        <v>100201</v>
      </c>
      <c r="I8" s="14">
        <v>40200</v>
      </c>
      <c r="J8" s="14">
        <v>30000</v>
      </c>
      <c r="K8" s="14">
        <v>20000</v>
      </c>
      <c r="L8" s="14">
        <v>20000</v>
      </c>
      <c r="M8" s="14">
        <v>20000</v>
      </c>
      <c r="Q8" s="1">
        <v>5</v>
      </c>
      <c r="R8" s="1">
        <v>5</v>
      </c>
      <c r="T8" s="1" t="s">
        <v>41</v>
      </c>
    </row>
    <row r="9" spans="2:20" x14ac:dyDescent="0.15">
      <c r="B9" s="6">
        <v>20003</v>
      </c>
      <c r="C9" s="6" t="s">
        <v>123</v>
      </c>
      <c r="F9" s="8">
        <v>1</v>
      </c>
      <c r="G9" s="8">
        <v>7</v>
      </c>
      <c r="H9" s="14">
        <v>100001</v>
      </c>
      <c r="I9" s="14">
        <v>40200</v>
      </c>
      <c r="J9" s="14">
        <v>30000</v>
      </c>
      <c r="K9" s="14">
        <v>20000</v>
      </c>
      <c r="L9" s="14">
        <v>20000</v>
      </c>
      <c r="M9" s="14">
        <v>20000</v>
      </c>
      <c r="Q9" s="1">
        <v>6</v>
      </c>
      <c r="R9" s="1">
        <v>6</v>
      </c>
      <c r="T9" s="1" t="s">
        <v>42</v>
      </c>
    </row>
    <row r="10" spans="2:20" x14ac:dyDescent="0.15">
      <c r="B10" s="6">
        <v>20100</v>
      </c>
      <c r="C10" s="6" t="s">
        <v>124</v>
      </c>
      <c r="F10" s="8">
        <v>1</v>
      </c>
      <c r="G10" s="8">
        <v>8</v>
      </c>
      <c r="H10" s="14">
        <v>100101</v>
      </c>
      <c r="I10" s="14">
        <v>40200</v>
      </c>
      <c r="J10" s="14">
        <v>30000</v>
      </c>
      <c r="K10" s="14">
        <v>20000</v>
      </c>
      <c r="L10" s="14">
        <v>20000</v>
      </c>
      <c r="M10" s="14">
        <v>20000</v>
      </c>
      <c r="Q10" s="1">
        <v>7</v>
      </c>
      <c r="R10" s="1">
        <v>7</v>
      </c>
      <c r="T10" s="1" t="s">
        <v>43</v>
      </c>
    </row>
    <row r="11" spans="2:20" x14ac:dyDescent="0.15">
      <c r="B11" s="6">
        <v>30000</v>
      </c>
      <c r="C11" s="6" t="s">
        <v>54</v>
      </c>
      <c r="F11" s="8">
        <v>1</v>
      </c>
      <c r="G11" s="8">
        <v>9</v>
      </c>
      <c r="H11" s="14">
        <v>100201</v>
      </c>
      <c r="I11" s="14">
        <v>40200</v>
      </c>
      <c r="J11" s="14">
        <v>30000</v>
      </c>
      <c r="K11" s="14">
        <v>20000</v>
      </c>
      <c r="L11" s="14">
        <v>20000</v>
      </c>
      <c r="M11" s="14">
        <v>20000</v>
      </c>
      <c r="Q11" s="1">
        <v>8</v>
      </c>
      <c r="R11" s="1">
        <v>8</v>
      </c>
      <c r="T11" s="1" t="s">
        <v>44</v>
      </c>
    </row>
    <row r="12" spans="2:20" x14ac:dyDescent="0.15">
      <c r="B12" s="6">
        <v>30001</v>
      </c>
      <c r="C12" s="6" t="s">
        <v>55</v>
      </c>
      <c r="F12" s="8">
        <v>1</v>
      </c>
      <c r="G12" s="8">
        <v>10</v>
      </c>
      <c r="H12" s="14">
        <v>100201</v>
      </c>
      <c r="I12" s="14">
        <v>40200</v>
      </c>
      <c r="J12" s="14">
        <v>30000</v>
      </c>
      <c r="K12" s="14">
        <v>20000</v>
      </c>
      <c r="L12" s="14">
        <v>20000</v>
      </c>
      <c r="M12" s="14">
        <v>20000</v>
      </c>
      <c r="Q12" s="1">
        <v>9</v>
      </c>
      <c r="R12" s="1">
        <v>9</v>
      </c>
      <c r="T12" s="1" t="s">
        <v>45</v>
      </c>
    </row>
    <row r="13" spans="2:20" x14ac:dyDescent="0.15">
      <c r="B13" s="6">
        <v>30002</v>
      </c>
      <c r="C13" s="6" t="s">
        <v>125</v>
      </c>
      <c r="F13" s="9">
        <v>2</v>
      </c>
      <c r="G13" s="9">
        <v>11</v>
      </c>
      <c r="H13" s="14">
        <v>100001</v>
      </c>
      <c r="I13" s="14">
        <v>40200</v>
      </c>
      <c r="J13" s="14">
        <v>30000</v>
      </c>
      <c r="K13" s="14">
        <v>20000</v>
      </c>
      <c r="L13" s="14">
        <v>20000</v>
      </c>
      <c r="M13" s="14">
        <v>20000</v>
      </c>
      <c r="Q13" s="1">
        <v>10</v>
      </c>
      <c r="R13" s="1">
        <v>10</v>
      </c>
      <c r="T13" s="1" t="s">
        <v>49</v>
      </c>
    </row>
    <row r="14" spans="2:20" x14ac:dyDescent="0.15">
      <c r="B14" s="6">
        <v>30003</v>
      </c>
      <c r="C14" s="6" t="s">
        <v>126</v>
      </c>
      <c r="F14" s="10">
        <v>2</v>
      </c>
      <c r="G14" s="10">
        <v>12</v>
      </c>
      <c r="H14" s="14">
        <v>100101</v>
      </c>
      <c r="I14" s="14">
        <v>40200</v>
      </c>
      <c r="J14" s="14">
        <v>30000</v>
      </c>
      <c r="K14" s="14">
        <v>20000</v>
      </c>
      <c r="L14" s="14">
        <v>20000</v>
      </c>
      <c r="M14" s="14">
        <v>20000</v>
      </c>
      <c r="Q14" s="1">
        <v>11</v>
      </c>
      <c r="R14" s="1">
        <v>11</v>
      </c>
      <c r="T14" s="1" t="s">
        <v>46</v>
      </c>
    </row>
    <row r="15" spans="2:20" x14ac:dyDescent="0.15">
      <c r="B15" s="6">
        <v>30004</v>
      </c>
      <c r="C15" s="6" t="s">
        <v>127</v>
      </c>
      <c r="F15" s="10">
        <v>2</v>
      </c>
      <c r="G15" s="10">
        <v>13</v>
      </c>
      <c r="H15" s="14">
        <v>100001</v>
      </c>
      <c r="I15" s="14">
        <v>40200</v>
      </c>
      <c r="J15" s="14">
        <v>30000</v>
      </c>
      <c r="K15" s="14">
        <v>20000</v>
      </c>
      <c r="L15" s="14">
        <v>20000</v>
      </c>
      <c r="M15" s="14">
        <v>20000</v>
      </c>
      <c r="Q15" s="1">
        <v>12</v>
      </c>
      <c r="R15" s="1">
        <v>12</v>
      </c>
      <c r="T15" s="1" t="s">
        <v>47</v>
      </c>
    </row>
    <row r="16" spans="2:20" x14ac:dyDescent="0.15">
      <c r="B16" s="6">
        <v>30005</v>
      </c>
      <c r="C16" s="6" t="s">
        <v>128</v>
      </c>
      <c r="F16" s="10">
        <v>2</v>
      </c>
      <c r="G16" s="10">
        <v>14</v>
      </c>
      <c r="H16" s="14">
        <v>100101</v>
      </c>
      <c r="I16" s="14">
        <v>40200</v>
      </c>
      <c r="J16" s="14">
        <v>30000</v>
      </c>
      <c r="K16" s="14">
        <v>20000</v>
      </c>
      <c r="L16" s="14">
        <v>20000</v>
      </c>
      <c r="M16" s="14">
        <v>20000</v>
      </c>
      <c r="Q16" s="1">
        <v>13</v>
      </c>
      <c r="R16" s="1">
        <v>13</v>
      </c>
      <c r="T16" s="1" t="s">
        <v>48</v>
      </c>
    </row>
    <row r="17" spans="2:20" x14ac:dyDescent="0.15">
      <c r="B17" s="6">
        <v>30006</v>
      </c>
      <c r="C17" s="6" t="s">
        <v>129</v>
      </c>
      <c r="F17" s="10">
        <v>2</v>
      </c>
      <c r="G17" s="10">
        <v>15</v>
      </c>
      <c r="H17" s="14">
        <v>100201</v>
      </c>
      <c r="I17" s="14">
        <v>40200</v>
      </c>
      <c r="J17" s="14">
        <v>30000</v>
      </c>
      <c r="K17" s="14">
        <v>20000</v>
      </c>
      <c r="L17" s="14">
        <v>20000</v>
      </c>
      <c r="M17" s="14">
        <v>20000</v>
      </c>
      <c r="O17" s="2" t="s">
        <v>0</v>
      </c>
      <c r="P17" s="2" t="s">
        <v>12</v>
      </c>
      <c r="Q17" s="1">
        <v>1001</v>
      </c>
      <c r="R17" s="1">
        <v>1</v>
      </c>
      <c r="S17" s="1">
        <v>1</v>
      </c>
      <c r="T17" s="1" t="str">
        <f>"【普通 "&amp;F3&amp;"-"&amp;IF(INT(RIGHT(Q17,1))=0,10,RIGHT(Q17,1))&amp;"】  "&amp;"&lt;color=#c4b8aa&gt;"&amp;P17&amp;"&lt;/color&gt;"</f>
        <v>【普通 1-1】  &lt;color=#c4b8aa&gt;大战伊始&lt;/color&gt;</v>
      </c>
    </row>
    <row r="18" spans="2:20" x14ac:dyDescent="0.15">
      <c r="B18" s="6">
        <v>30007</v>
      </c>
      <c r="C18" s="6" t="s">
        <v>130</v>
      </c>
      <c r="F18" s="10">
        <v>2</v>
      </c>
      <c r="G18" s="10">
        <v>16</v>
      </c>
      <c r="H18" s="14">
        <v>100201</v>
      </c>
      <c r="I18" s="14">
        <v>40200</v>
      </c>
      <c r="J18" s="14">
        <v>30000</v>
      </c>
      <c r="K18" s="14">
        <v>20000</v>
      </c>
      <c r="L18" s="14">
        <v>20000</v>
      </c>
      <c r="M18" s="14">
        <v>20000</v>
      </c>
      <c r="P18" s="2" t="s">
        <v>13</v>
      </c>
      <c r="Q18" s="1">
        <v>1002</v>
      </c>
      <c r="R18" s="1">
        <v>1</v>
      </c>
      <c r="S18" s="1">
        <v>2</v>
      </c>
      <c r="T18" s="1" t="str">
        <f t="shared" ref="T18:T81" si="0">"【普通 "&amp;F4&amp;"-"&amp;IF(INT(RIGHT(Q18,1))=0,10,RIGHT(Q18,1))&amp;"】  "&amp;"&lt;color=#c4b8aa&gt;"&amp;P18&amp;"&lt;/color&gt;"</f>
        <v>【普通 1-2】  &lt;color=#c4b8aa&gt;家园惊变&lt;/color&gt;</v>
      </c>
    </row>
    <row r="19" spans="2:20" x14ac:dyDescent="0.15">
      <c r="B19" s="6">
        <v>30008</v>
      </c>
      <c r="C19" s="6" t="s">
        <v>131</v>
      </c>
      <c r="F19" s="10">
        <v>2</v>
      </c>
      <c r="G19" s="10">
        <v>17</v>
      </c>
      <c r="H19" s="14">
        <v>100001</v>
      </c>
      <c r="I19" s="14">
        <v>40200</v>
      </c>
      <c r="J19" s="14">
        <v>30000</v>
      </c>
      <c r="K19" s="14">
        <v>20000</v>
      </c>
      <c r="L19" s="14">
        <v>20000</v>
      </c>
      <c r="M19" s="14">
        <v>20000</v>
      </c>
      <c r="P19" s="2" t="s">
        <v>14</v>
      </c>
      <c r="Q19" s="1">
        <v>1003</v>
      </c>
      <c r="R19" s="1">
        <v>1</v>
      </c>
      <c r="S19" s="1">
        <v>3</v>
      </c>
      <c r="T19" s="1" t="str">
        <f t="shared" si="0"/>
        <v>【普通 1-3】  &lt;color=#c4b8aa&gt;疯狂的战神&lt;/color&gt;</v>
      </c>
    </row>
    <row r="20" spans="2:20" x14ac:dyDescent="0.15">
      <c r="B20" s="6">
        <v>30009</v>
      </c>
      <c r="C20" s="6" t="s">
        <v>132</v>
      </c>
      <c r="F20" s="10">
        <v>2</v>
      </c>
      <c r="G20" s="10">
        <v>18</v>
      </c>
      <c r="H20" s="14">
        <v>100101</v>
      </c>
      <c r="I20" s="14">
        <v>40200</v>
      </c>
      <c r="J20" s="14">
        <v>30000</v>
      </c>
      <c r="K20" s="14">
        <v>20000</v>
      </c>
      <c r="L20" s="14">
        <v>20000</v>
      </c>
      <c r="M20" s="14">
        <v>20000</v>
      </c>
      <c r="P20" s="2" t="s">
        <v>15</v>
      </c>
      <c r="Q20" s="1">
        <v>1004</v>
      </c>
      <c r="R20" s="1">
        <v>1</v>
      </c>
      <c r="S20" s="1">
        <v>4</v>
      </c>
      <c r="T20" s="1" t="str">
        <f t="shared" si="0"/>
        <v>【普通 1-4】  &lt;color=#c4b8aa&gt;利比亚蝎王&lt;/color&gt;</v>
      </c>
    </row>
    <row r="21" spans="2:20" x14ac:dyDescent="0.15">
      <c r="B21" s="6">
        <v>30010</v>
      </c>
      <c r="C21" s="6" t="s">
        <v>133</v>
      </c>
      <c r="F21" s="10">
        <v>2</v>
      </c>
      <c r="G21" s="10">
        <v>19</v>
      </c>
      <c r="H21" s="14">
        <v>100201</v>
      </c>
      <c r="I21" s="14">
        <v>40200</v>
      </c>
      <c r="J21" s="14">
        <v>30000</v>
      </c>
      <c r="K21" s="14">
        <v>20000</v>
      </c>
      <c r="L21" s="14">
        <v>20000</v>
      </c>
      <c r="M21" s="14">
        <v>20000</v>
      </c>
      <c r="P21" s="2" t="s">
        <v>16</v>
      </c>
      <c r="Q21" s="1">
        <v>1005</v>
      </c>
      <c r="R21" s="1">
        <v>1</v>
      </c>
      <c r="S21" s="1">
        <v>5</v>
      </c>
      <c r="T21" s="1" t="str">
        <f t="shared" si="0"/>
        <v>【普通 1-5】  &lt;color=#c4b8aa&gt;斩蝎行动&lt;/color&gt;</v>
      </c>
    </row>
    <row r="22" spans="2:20" x14ac:dyDescent="0.15">
      <c r="B22" s="6">
        <v>30011</v>
      </c>
      <c r="C22" s="6" t="s">
        <v>134</v>
      </c>
      <c r="F22" s="10">
        <v>2</v>
      </c>
      <c r="G22" s="10">
        <v>20</v>
      </c>
      <c r="H22" s="14">
        <v>100201</v>
      </c>
      <c r="I22" s="14">
        <v>40200</v>
      </c>
      <c r="J22" s="14">
        <v>30000</v>
      </c>
      <c r="K22" s="14">
        <v>20000</v>
      </c>
      <c r="L22" s="14">
        <v>20000</v>
      </c>
      <c r="M22" s="14">
        <v>20000</v>
      </c>
      <c r="P22" s="2" t="s">
        <v>17</v>
      </c>
      <c r="Q22" s="1">
        <v>1006</v>
      </c>
      <c r="R22" s="1">
        <v>1</v>
      </c>
      <c r="S22" s="1">
        <v>6</v>
      </c>
      <c r="T22" s="1" t="str">
        <f t="shared" si="0"/>
        <v>【普通 1-6】  &lt;color=#c4b8aa&gt;烽火余生&lt;/color&gt;</v>
      </c>
    </row>
    <row r="23" spans="2:20" x14ac:dyDescent="0.15">
      <c r="B23" s="6">
        <v>30012</v>
      </c>
      <c r="C23" s="6" t="s">
        <v>135</v>
      </c>
      <c r="F23" s="11">
        <v>3</v>
      </c>
      <c r="G23" s="11">
        <v>21</v>
      </c>
      <c r="H23" s="14">
        <v>100001</v>
      </c>
      <c r="I23" s="14">
        <v>40200</v>
      </c>
      <c r="J23" s="14">
        <v>30000</v>
      </c>
      <c r="K23" s="14">
        <v>20000</v>
      </c>
      <c r="L23" s="14">
        <v>20000</v>
      </c>
      <c r="M23" s="14">
        <v>20001</v>
      </c>
      <c r="P23" s="2" t="s">
        <v>18</v>
      </c>
      <c r="Q23" s="1">
        <v>1007</v>
      </c>
      <c r="R23" s="1">
        <v>1</v>
      </c>
      <c r="S23" s="1">
        <v>7</v>
      </c>
      <c r="T23" s="1" t="str">
        <f t="shared" si="0"/>
        <v>【普通 1-7】  &lt;color=#c4b8aa&gt;城郊寻女&lt;/color&gt;</v>
      </c>
    </row>
    <row r="24" spans="2:20" x14ac:dyDescent="0.15">
      <c r="B24" s="6">
        <v>30013</v>
      </c>
      <c r="C24" s="6" t="s">
        <v>136</v>
      </c>
      <c r="F24" s="11">
        <v>3</v>
      </c>
      <c r="G24" s="11">
        <v>22</v>
      </c>
      <c r="H24" s="14">
        <v>100001</v>
      </c>
      <c r="I24" s="14">
        <v>40200</v>
      </c>
      <c r="J24" s="14">
        <v>30000</v>
      </c>
      <c r="K24" s="14">
        <v>20000</v>
      </c>
      <c r="L24" s="14">
        <v>20000</v>
      </c>
      <c r="M24" s="14">
        <v>20001</v>
      </c>
      <c r="P24" s="2" t="s">
        <v>19</v>
      </c>
      <c r="Q24" s="1">
        <v>1008</v>
      </c>
      <c r="R24" s="1">
        <v>1</v>
      </c>
      <c r="S24" s="1">
        <v>8</v>
      </c>
      <c r="T24" s="1" t="str">
        <f t="shared" si="0"/>
        <v>【普通 1-8】  &lt;color=#c4b8aa&gt;战神的指引&lt;/color&gt;</v>
      </c>
    </row>
    <row r="25" spans="2:20" x14ac:dyDescent="0.15">
      <c r="B25" s="6">
        <v>30014</v>
      </c>
      <c r="C25" s="6" t="s">
        <v>137</v>
      </c>
      <c r="F25" s="11">
        <v>3</v>
      </c>
      <c r="G25" s="11">
        <v>23</v>
      </c>
      <c r="H25" s="14">
        <v>100001</v>
      </c>
      <c r="I25" s="14">
        <v>40200</v>
      </c>
      <c r="J25" s="14">
        <v>30000</v>
      </c>
      <c r="K25" s="14">
        <v>20000</v>
      </c>
      <c r="L25" s="14">
        <v>20000</v>
      </c>
      <c r="M25" s="14">
        <v>20001</v>
      </c>
      <c r="P25" s="2" t="s">
        <v>20</v>
      </c>
      <c r="Q25" s="1">
        <v>1009</v>
      </c>
      <c r="R25" s="1">
        <v>1</v>
      </c>
      <c r="S25" s="1">
        <v>9</v>
      </c>
      <c r="T25" s="1" t="str">
        <f t="shared" si="0"/>
        <v>【普通 1-9】  &lt;color=#c4b8aa&gt;温泉关之战&lt;/color&gt;</v>
      </c>
    </row>
    <row r="26" spans="2:20" x14ac:dyDescent="0.15">
      <c r="B26" s="6">
        <v>30015</v>
      </c>
      <c r="C26" s="6" t="s">
        <v>138</v>
      </c>
      <c r="F26" s="11">
        <v>3</v>
      </c>
      <c r="G26" s="11">
        <v>24</v>
      </c>
      <c r="H26" s="14">
        <v>100001</v>
      </c>
      <c r="I26" s="14">
        <v>40200</v>
      </c>
      <c r="J26" s="14">
        <v>30000</v>
      </c>
      <c r="K26" s="14">
        <v>20000</v>
      </c>
      <c r="L26" s="14">
        <v>20000</v>
      </c>
      <c r="M26" s="14">
        <v>20001</v>
      </c>
      <c r="P26" s="2" t="s">
        <v>21</v>
      </c>
      <c r="Q26" s="1">
        <v>1010</v>
      </c>
      <c r="R26" s="1">
        <v>1</v>
      </c>
      <c r="S26" s="1">
        <v>10</v>
      </c>
      <c r="T26" s="1" t="str">
        <f t="shared" si="0"/>
        <v>【普通 1-10】  &lt;color=#c4b8aa&gt;巨人的毁灭&lt;/color&gt;</v>
      </c>
    </row>
    <row r="27" spans="2:20" x14ac:dyDescent="0.15">
      <c r="B27" s="6">
        <v>40000</v>
      </c>
      <c r="C27" s="6" t="s">
        <v>139</v>
      </c>
      <c r="F27" s="11">
        <v>3</v>
      </c>
      <c r="G27" s="11">
        <v>25</v>
      </c>
      <c r="H27" s="14">
        <v>100101</v>
      </c>
      <c r="I27" s="14">
        <v>40200</v>
      </c>
      <c r="J27" s="14">
        <v>30000</v>
      </c>
      <c r="K27" s="14">
        <v>20000</v>
      </c>
      <c r="L27" s="14">
        <v>20000</v>
      </c>
      <c r="M27" s="14">
        <v>20001</v>
      </c>
      <c r="P27" s="2" t="s">
        <v>22</v>
      </c>
      <c r="Q27" s="1">
        <v>1011</v>
      </c>
      <c r="R27" s="1">
        <v>1</v>
      </c>
      <c r="S27" s="1">
        <v>11</v>
      </c>
      <c r="T27" s="1" t="str">
        <f t="shared" si="0"/>
        <v>【普通 2-1】  &lt;color=#c4b8aa&gt;战争余烬&lt;/color&gt;</v>
      </c>
    </row>
    <row r="28" spans="2:20" x14ac:dyDescent="0.15">
      <c r="B28" s="6">
        <v>40001</v>
      </c>
      <c r="C28" s="6" t="s">
        <v>140</v>
      </c>
      <c r="F28" s="11">
        <v>3</v>
      </c>
      <c r="G28" s="11">
        <v>26</v>
      </c>
      <c r="H28" s="14">
        <v>100102</v>
      </c>
      <c r="I28" s="14">
        <v>40200</v>
      </c>
      <c r="J28" s="14">
        <v>30000</v>
      </c>
      <c r="K28" s="14">
        <v>20000</v>
      </c>
      <c r="L28" s="14">
        <v>20000</v>
      </c>
      <c r="M28" s="14">
        <v>20001</v>
      </c>
      <c r="P28" s="2" t="s">
        <v>23</v>
      </c>
      <c r="Q28" s="1">
        <v>1012</v>
      </c>
      <c r="R28" s="1">
        <v>1</v>
      </c>
      <c r="S28" s="1">
        <v>12</v>
      </c>
      <c r="T28" s="1" t="str">
        <f t="shared" si="0"/>
        <v>【普通 2-2】  &lt;color=#c4b8aa&gt;名王东逃&lt;/color&gt;</v>
      </c>
    </row>
    <row r="29" spans="2:20" x14ac:dyDescent="0.15">
      <c r="B29" s="6">
        <v>40100</v>
      </c>
      <c r="C29" s="6" t="s">
        <v>141</v>
      </c>
      <c r="F29" s="11">
        <v>3</v>
      </c>
      <c r="G29" s="11">
        <v>27</v>
      </c>
      <c r="H29" s="14">
        <v>100102</v>
      </c>
      <c r="I29" s="14">
        <v>40200</v>
      </c>
      <c r="J29" s="14">
        <v>30000</v>
      </c>
      <c r="K29" s="14">
        <v>20000</v>
      </c>
      <c r="L29" s="14">
        <v>20000</v>
      </c>
      <c r="M29" s="14">
        <v>20001</v>
      </c>
      <c r="P29" s="2" t="s">
        <v>24</v>
      </c>
      <c r="Q29" s="1">
        <v>1013</v>
      </c>
      <c r="R29" s="1">
        <v>1</v>
      </c>
      <c r="S29" s="1">
        <v>13</v>
      </c>
      <c r="T29" s="1" t="str">
        <f t="shared" si="0"/>
        <v>【普通 2-3】  &lt;color=#c4b8aa&gt;重赏之下&lt;/color&gt;</v>
      </c>
    </row>
    <row r="30" spans="2:20" x14ac:dyDescent="0.15">
      <c r="B30" s="6">
        <v>40101</v>
      </c>
      <c r="C30" s="6" t="s">
        <v>142</v>
      </c>
      <c r="F30" s="11">
        <v>3</v>
      </c>
      <c r="G30" s="11">
        <v>28</v>
      </c>
      <c r="H30" s="14">
        <v>100202</v>
      </c>
      <c r="I30" s="14">
        <v>40200</v>
      </c>
      <c r="J30" s="14">
        <v>30000</v>
      </c>
      <c r="K30" s="14">
        <v>20000</v>
      </c>
      <c r="L30" s="14">
        <v>20000</v>
      </c>
      <c r="M30" s="14">
        <v>20001</v>
      </c>
      <c r="P30" s="2" t="s">
        <v>25</v>
      </c>
      <c r="Q30" s="1">
        <v>1014</v>
      </c>
      <c r="R30" s="1">
        <v>1</v>
      </c>
      <c r="S30" s="1">
        <v>14</v>
      </c>
      <c r="T30" s="1" t="str">
        <f t="shared" si="0"/>
        <v>【普通 2-4】  &lt;color=#c4b8aa&gt;千里穷追&lt;/color&gt;</v>
      </c>
    </row>
    <row r="31" spans="2:20" x14ac:dyDescent="0.15">
      <c r="B31" s="6">
        <v>40200</v>
      </c>
      <c r="C31" s="6" t="s">
        <v>143</v>
      </c>
      <c r="F31" s="11">
        <v>3</v>
      </c>
      <c r="G31" s="11">
        <v>29</v>
      </c>
      <c r="H31" s="14">
        <v>100202</v>
      </c>
      <c r="I31" s="14">
        <v>40200</v>
      </c>
      <c r="J31" s="14">
        <v>30000</v>
      </c>
      <c r="K31" s="14">
        <v>20000</v>
      </c>
      <c r="L31" s="14">
        <v>20000</v>
      </c>
      <c r="M31" s="14">
        <v>20001</v>
      </c>
      <c r="P31" s="2" t="s">
        <v>26</v>
      </c>
      <c r="Q31" s="1">
        <v>1015</v>
      </c>
      <c r="R31" s="1">
        <v>1</v>
      </c>
      <c r="S31" s="1">
        <v>15</v>
      </c>
      <c r="T31" s="1" t="str">
        <f t="shared" si="0"/>
        <v>【普通 2-5】  &lt;color=#c4b8aa&gt;波斯王之殒&lt;/color&gt;</v>
      </c>
    </row>
    <row r="32" spans="2:20" x14ac:dyDescent="0.15">
      <c r="B32" s="6">
        <v>40201</v>
      </c>
      <c r="C32" s="6" t="s">
        <v>144</v>
      </c>
      <c r="F32" s="11">
        <v>3</v>
      </c>
      <c r="G32" s="11">
        <v>30</v>
      </c>
      <c r="H32" s="14">
        <v>100202</v>
      </c>
      <c r="I32" s="14">
        <v>40200</v>
      </c>
      <c r="J32" s="14">
        <v>30000</v>
      </c>
      <c r="K32" s="14">
        <v>20000</v>
      </c>
      <c r="L32" s="14">
        <v>20000</v>
      </c>
      <c r="M32" s="14">
        <v>20001</v>
      </c>
      <c r="P32" s="2" t="s">
        <v>27</v>
      </c>
      <c r="Q32" s="1">
        <v>1016</v>
      </c>
      <c r="R32" s="1">
        <v>1</v>
      </c>
      <c r="S32" s="1">
        <v>16</v>
      </c>
      <c r="T32" s="1" t="str">
        <f t="shared" si="0"/>
        <v>【普通 2-6】  &lt;color=#c4b8aa&gt;异端之国&lt;/color&gt;</v>
      </c>
    </row>
    <row r="33" spans="2:20" x14ac:dyDescent="0.15">
      <c r="B33" s="6">
        <v>40202</v>
      </c>
      <c r="C33" s="6" t="s">
        <v>145</v>
      </c>
      <c r="F33" s="12">
        <v>4</v>
      </c>
      <c r="G33" s="12">
        <v>31</v>
      </c>
      <c r="H33" s="14">
        <v>100002</v>
      </c>
      <c r="I33" s="14">
        <v>40200</v>
      </c>
      <c r="J33" s="14">
        <v>30000</v>
      </c>
      <c r="K33" s="14">
        <v>20000</v>
      </c>
      <c r="L33" s="14">
        <v>20000</v>
      </c>
      <c r="M33" s="14">
        <v>20001</v>
      </c>
      <c r="P33" s="2" t="s">
        <v>28</v>
      </c>
      <c r="Q33" s="1">
        <v>1017</v>
      </c>
      <c r="R33" s="1">
        <v>1</v>
      </c>
      <c r="S33" s="1">
        <v>17</v>
      </c>
      <c r="T33" s="1" t="str">
        <f t="shared" si="0"/>
        <v>【普通 2-7】  &lt;color=#c4b8aa&gt;色雷斯之灾&lt;/color&gt;</v>
      </c>
    </row>
    <row r="34" spans="2:20" x14ac:dyDescent="0.15">
      <c r="B34" s="6">
        <v>40203</v>
      </c>
      <c r="C34" s="6" t="s">
        <v>146</v>
      </c>
      <c r="F34" s="12">
        <v>4</v>
      </c>
      <c r="G34" s="12">
        <v>32</v>
      </c>
      <c r="H34" s="14">
        <v>100002</v>
      </c>
      <c r="I34" s="14">
        <v>40200</v>
      </c>
      <c r="J34" s="14">
        <v>30000</v>
      </c>
      <c r="K34" s="14">
        <v>20000</v>
      </c>
      <c r="L34" s="14">
        <v>20000</v>
      </c>
      <c r="M34" s="14">
        <v>20001</v>
      </c>
      <c r="P34" s="2" t="s">
        <v>29</v>
      </c>
      <c r="Q34" s="1">
        <v>1018</v>
      </c>
      <c r="R34" s="1">
        <v>1</v>
      </c>
      <c r="S34" s="1">
        <v>18</v>
      </c>
      <c r="T34" s="1" t="str">
        <f t="shared" si="0"/>
        <v>【普通 2-8】  &lt;color=#c4b8aa&gt;铸成大错&lt;/color&gt;</v>
      </c>
    </row>
    <row r="35" spans="2:20" x14ac:dyDescent="0.15">
      <c r="B35" s="6">
        <v>40204</v>
      </c>
      <c r="C35" s="6" t="s">
        <v>147</v>
      </c>
      <c r="F35" s="12">
        <v>4</v>
      </c>
      <c r="G35" s="12">
        <v>33</v>
      </c>
      <c r="H35" s="14">
        <v>100102</v>
      </c>
      <c r="I35" s="14">
        <v>40200</v>
      </c>
      <c r="J35" s="14">
        <v>30000</v>
      </c>
      <c r="K35" s="14">
        <v>20000</v>
      </c>
      <c r="L35" s="14">
        <v>20000</v>
      </c>
      <c r="M35" s="14">
        <v>20001</v>
      </c>
      <c r="P35" s="2" t="s">
        <v>30</v>
      </c>
      <c r="Q35" s="1">
        <v>1019</v>
      </c>
      <c r="R35" s="1">
        <v>1</v>
      </c>
      <c r="S35" s="1">
        <v>19</v>
      </c>
      <c r="T35" s="1" t="str">
        <f t="shared" si="0"/>
        <v>【普通 2-9】  &lt;color=#c4b8aa&gt;破誓者之志&lt;/color&gt;</v>
      </c>
    </row>
    <row r="36" spans="2:20" x14ac:dyDescent="0.15">
      <c r="B36" s="6">
        <v>40300</v>
      </c>
      <c r="C36" s="6" t="s">
        <v>148</v>
      </c>
      <c r="F36" s="12">
        <v>4</v>
      </c>
      <c r="G36" s="12">
        <v>34</v>
      </c>
      <c r="H36" s="14">
        <v>100102</v>
      </c>
      <c r="I36" s="14">
        <v>40200</v>
      </c>
      <c r="J36" s="14">
        <v>30000</v>
      </c>
      <c r="K36" s="14">
        <v>20000</v>
      </c>
      <c r="L36" s="14">
        <v>20000</v>
      </c>
      <c r="M36" s="14">
        <v>20001</v>
      </c>
      <c r="P36" s="2" t="s">
        <v>31</v>
      </c>
      <c r="Q36" s="1">
        <v>1020</v>
      </c>
      <c r="R36" s="1">
        <v>1</v>
      </c>
      <c r="S36" s="1">
        <v>20</v>
      </c>
      <c r="T36" s="1" t="str">
        <f t="shared" si="0"/>
        <v>【普通 2-10】  &lt;color=#c4b8aa&gt;复仇女神&lt;/color&gt;</v>
      </c>
    </row>
    <row r="37" spans="2:20" x14ac:dyDescent="0.15">
      <c r="B37" s="6">
        <v>100001</v>
      </c>
      <c r="C37" s="6" t="s">
        <v>149</v>
      </c>
      <c r="D37" s="15" t="s">
        <v>193</v>
      </c>
      <c r="F37" s="12">
        <v>4</v>
      </c>
      <c r="G37" s="12">
        <v>35</v>
      </c>
      <c r="H37" s="14">
        <v>100202</v>
      </c>
      <c r="I37" s="14">
        <v>40200</v>
      </c>
      <c r="J37" s="14">
        <v>30000</v>
      </c>
      <c r="K37" s="14">
        <v>20000</v>
      </c>
      <c r="L37" s="14">
        <v>20000</v>
      </c>
      <c r="M37" s="14">
        <v>20001</v>
      </c>
      <c r="P37" s="2" t="s">
        <v>32</v>
      </c>
      <c r="Q37" s="1">
        <v>1021</v>
      </c>
      <c r="R37" s="1">
        <v>1</v>
      </c>
      <c r="S37" s="1">
        <v>21</v>
      </c>
      <c r="T37" s="1" t="str">
        <f t="shared" si="0"/>
        <v>【普通 3-1】  &lt;color=#c4b8aa&gt;异变突生&lt;/color&gt;</v>
      </c>
    </row>
    <row r="38" spans="2:20" x14ac:dyDescent="0.15">
      <c r="B38" s="6">
        <v>100002</v>
      </c>
      <c r="C38" s="6" t="s">
        <v>150</v>
      </c>
      <c r="D38" s="15" t="s">
        <v>185</v>
      </c>
      <c r="F38" s="12">
        <v>4</v>
      </c>
      <c r="G38" s="12">
        <v>36</v>
      </c>
      <c r="H38" s="14">
        <v>100002</v>
      </c>
      <c r="I38" s="14">
        <v>40200</v>
      </c>
      <c r="J38" s="14">
        <v>30000</v>
      </c>
      <c r="K38" s="14">
        <v>20000</v>
      </c>
      <c r="L38" s="14">
        <v>20000</v>
      </c>
      <c r="M38" s="14">
        <v>20001</v>
      </c>
      <c r="P38" s="2" t="s">
        <v>33</v>
      </c>
      <c r="Q38" s="1">
        <v>1022</v>
      </c>
      <c r="R38" s="1">
        <v>1</v>
      </c>
      <c r="S38" s="1">
        <v>22</v>
      </c>
      <c r="T38" s="1" t="str">
        <f t="shared" si="0"/>
        <v>【普通 3-2】  &lt;color=#c4b8aa&gt;莱山德归国&lt;/color&gt;</v>
      </c>
    </row>
    <row r="39" spans="2:20" x14ac:dyDescent="0.15">
      <c r="B39" s="6">
        <v>100003</v>
      </c>
      <c r="C39" s="6" t="s">
        <v>151</v>
      </c>
      <c r="D39" s="15" t="s">
        <v>186</v>
      </c>
      <c r="F39" s="12">
        <v>4</v>
      </c>
      <c r="G39" s="12">
        <v>37</v>
      </c>
      <c r="H39" s="14">
        <v>100002</v>
      </c>
      <c r="I39" s="14">
        <v>40200</v>
      </c>
      <c r="J39" s="14">
        <v>30000</v>
      </c>
      <c r="K39" s="14">
        <v>20000</v>
      </c>
      <c r="L39" s="14">
        <v>20000</v>
      </c>
      <c r="M39" s="14">
        <v>20001</v>
      </c>
      <c r="P39" s="2" t="s">
        <v>34</v>
      </c>
      <c r="Q39" s="1">
        <v>1023</v>
      </c>
      <c r="R39" s="1">
        <v>1</v>
      </c>
      <c r="S39" s="1">
        <v>23</v>
      </c>
      <c r="T39" s="1" t="str">
        <f t="shared" si="0"/>
        <v>【普通 3-3】  &lt;color=#c4b8aa&gt;英雄之路&lt;/color&gt;</v>
      </c>
    </row>
    <row r="40" spans="2:20" x14ac:dyDescent="0.15">
      <c r="B40" s="6">
        <v>100004</v>
      </c>
      <c r="C40" s="6" t="s">
        <v>152</v>
      </c>
      <c r="D40" s="15" t="s">
        <v>187</v>
      </c>
      <c r="F40" s="12">
        <v>4</v>
      </c>
      <c r="G40" s="12">
        <v>38</v>
      </c>
      <c r="H40" s="14">
        <v>100102</v>
      </c>
      <c r="I40" s="14">
        <v>40200</v>
      </c>
      <c r="J40" s="14">
        <v>30000</v>
      </c>
      <c r="K40" s="14">
        <v>20000</v>
      </c>
      <c r="L40" s="14">
        <v>20000</v>
      </c>
      <c r="M40" s="14">
        <v>20001</v>
      </c>
      <c r="P40" s="2" t="s">
        <v>35</v>
      </c>
      <c r="Q40" s="1">
        <v>1024</v>
      </c>
      <c r="R40" s="1">
        <v>1</v>
      </c>
      <c r="S40" s="1">
        <v>24</v>
      </c>
      <c r="T40" s="1" t="str">
        <f t="shared" si="0"/>
        <v>【普通 3-4】  &lt;color=#c4b8aa&gt;潜行避战&lt;/color&gt;</v>
      </c>
    </row>
    <row r="41" spans="2:20" x14ac:dyDescent="0.15">
      <c r="B41" s="6">
        <v>100005</v>
      </c>
      <c r="C41" s="6" t="s">
        <v>153</v>
      </c>
      <c r="D41" s="15" t="s">
        <v>188</v>
      </c>
      <c r="F41" s="12">
        <v>4</v>
      </c>
      <c r="G41" s="12">
        <v>39</v>
      </c>
      <c r="H41" s="14">
        <v>100102</v>
      </c>
      <c r="I41" s="14">
        <v>40200</v>
      </c>
      <c r="J41" s="14">
        <v>30000</v>
      </c>
      <c r="K41" s="14">
        <v>20000</v>
      </c>
      <c r="L41" s="14">
        <v>20000</v>
      </c>
      <c r="M41" s="14">
        <v>20001</v>
      </c>
      <c r="P41" s="2" t="s">
        <v>36</v>
      </c>
      <c r="Q41" s="1">
        <v>1025</v>
      </c>
      <c r="R41" s="1">
        <v>1</v>
      </c>
      <c r="S41" s="1">
        <v>25</v>
      </c>
      <c r="T41" s="1" t="str">
        <f t="shared" si="0"/>
        <v>【普通 3-5】  &lt;color=#c4b8aa&gt;三头犬之死&lt;/color&gt;</v>
      </c>
    </row>
    <row r="42" spans="2:20" x14ac:dyDescent="0.15">
      <c r="B42" s="6">
        <v>100006</v>
      </c>
      <c r="C42" s="6" t="s">
        <v>154</v>
      </c>
      <c r="D42" s="15" t="s">
        <v>189</v>
      </c>
      <c r="F42" s="12">
        <v>4</v>
      </c>
      <c r="G42" s="12">
        <v>40</v>
      </c>
      <c r="H42" s="14">
        <v>100202</v>
      </c>
      <c r="I42" s="14">
        <v>40200</v>
      </c>
      <c r="J42" s="14">
        <v>30000</v>
      </c>
      <c r="K42" s="14">
        <v>20000</v>
      </c>
      <c r="L42" s="14">
        <v>20000</v>
      </c>
      <c r="M42" s="14">
        <v>20001</v>
      </c>
      <c r="P42" s="2" t="str">
        <f>P17</f>
        <v>大战伊始</v>
      </c>
      <c r="Q42" s="1">
        <v>1026</v>
      </c>
      <c r="R42" s="1">
        <v>1</v>
      </c>
      <c r="S42" s="1">
        <v>26</v>
      </c>
      <c r="T42" s="1" t="str">
        <f t="shared" si="0"/>
        <v>【普通 3-6】  &lt;color=#c4b8aa&gt;大战伊始&lt;/color&gt;</v>
      </c>
    </row>
    <row r="43" spans="2:20" x14ac:dyDescent="0.15">
      <c r="B43" s="6">
        <v>100007</v>
      </c>
      <c r="C43" s="6" t="s">
        <v>155</v>
      </c>
      <c r="D43" s="15" t="s">
        <v>190</v>
      </c>
      <c r="F43" s="13">
        <v>5</v>
      </c>
      <c r="G43" s="13">
        <v>41</v>
      </c>
      <c r="H43" s="14">
        <v>100003</v>
      </c>
      <c r="I43" s="14">
        <v>40200</v>
      </c>
      <c r="J43" s="14">
        <v>30000</v>
      </c>
      <c r="K43" s="14">
        <v>20000</v>
      </c>
      <c r="L43" s="14">
        <v>20001</v>
      </c>
      <c r="M43" s="14">
        <v>20000</v>
      </c>
      <c r="P43" s="2" t="str">
        <f t="shared" ref="P43:P106" si="1">P18</f>
        <v>家园惊变</v>
      </c>
      <c r="Q43" s="1">
        <v>1027</v>
      </c>
      <c r="R43" s="1">
        <v>1</v>
      </c>
      <c r="S43" s="1">
        <v>27</v>
      </c>
      <c r="T43" s="1" t="str">
        <f t="shared" si="0"/>
        <v>【普通 3-7】  &lt;color=#c4b8aa&gt;家园惊变&lt;/color&gt;</v>
      </c>
    </row>
    <row r="44" spans="2:20" x14ac:dyDescent="0.15">
      <c r="B44" s="6">
        <v>100008</v>
      </c>
      <c r="C44" s="6" t="s">
        <v>156</v>
      </c>
      <c r="D44" s="15" t="s">
        <v>101</v>
      </c>
      <c r="F44" s="13">
        <v>5</v>
      </c>
      <c r="G44" s="13">
        <v>42</v>
      </c>
      <c r="H44" s="14">
        <v>100003</v>
      </c>
      <c r="I44" s="14">
        <v>40200</v>
      </c>
      <c r="J44" s="14">
        <v>30000</v>
      </c>
      <c r="K44" s="14">
        <v>20000</v>
      </c>
      <c r="L44" s="14">
        <v>20001</v>
      </c>
      <c r="M44" s="14">
        <v>20000</v>
      </c>
      <c r="P44" s="2" t="str">
        <f t="shared" si="1"/>
        <v>疯狂的战神</v>
      </c>
      <c r="Q44" s="1">
        <v>1028</v>
      </c>
      <c r="R44" s="1">
        <v>1</v>
      </c>
      <c r="S44" s="1">
        <v>28</v>
      </c>
      <c r="T44" s="1" t="str">
        <f t="shared" si="0"/>
        <v>【普通 3-8】  &lt;color=#c4b8aa&gt;疯狂的战神&lt;/color&gt;</v>
      </c>
    </row>
    <row r="45" spans="2:20" x14ac:dyDescent="0.15">
      <c r="B45" s="6">
        <v>100009</v>
      </c>
      <c r="C45" s="6" t="s">
        <v>157</v>
      </c>
      <c r="D45" s="15" t="s">
        <v>102</v>
      </c>
      <c r="F45" s="13">
        <v>5</v>
      </c>
      <c r="G45" s="13">
        <v>43</v>
      </c>
      <c r="H45" s="14">
        <v>100003</v>
      </c>
      <c r="I45" s="14">
        <v>40200</v>
      </c>
      <c r="J45" s="14">
        <v>30000</v>
      </c>
      <c r="K45" s="14">
        <v>20000</v>
      </c>
      <c r="L45" s="14">
        <v>20001</v>
      </c>
      <c r="M45" s="14">
        <v>20000</v>
      </c>
      <c r="P45" s="2" t="str">
        <f t="shared" si="1"/>
        <v>利比亚蝎王</v>
      </c>
      <c r="Q45" s="1">
        <v>1029</v>
      </c>
      <c r="R45" s="1">
        <v>1</v>
      </c>
      <c r="S45" s="1">
        <v>29</v>
      </c>
      <c r="T45" s="1" t="str">
        <f t="shared" si="0"/>
        <v>【普通 3-9】  &lt;color=#c4b8aa&gt;利比亚蝎王&lt;/color&gt;</v>
      </c>
    </row>
    <row r="46" spans="2:20" x14ac:dyDescent="0.15">
      <c r="B46" s="6">
        <v>100010</v>
      </c>
      <c r="C46" s="6" t="s">
        <v>158</v>
      </c>
      <c r="D46" s="15" t="s">
        <v>103</v>
      </c>
      <c r="F46" s="13">
        <v>5</v>
      </c>
      <c r="G46" s="13">
        <v>44</v>
      </c>
      <c r="H46" s="14">
        <v>100003</v>
      </c>
      <c r="I46" s="14">
        <v>40200</v>
      </c>
      <c r="J46" s="14">
        <v>30000</v>
      </c>
      <c r="K46" s="14">
        <v>20000</v>
      </c>
      <c r="L46" s="14">
        <v>20001</v>
      </c>
      <c r="M46" s="14">
        <v>20000</v>
      </c>
      <c r="P46" s="2" t="str">
        <f t="shared" si="1"/>
        <v>斩蝎行动</v>
      </c>
      <c r="Q46" s="1">
        <v>1030</v>
      </c>
      <c r="R46" s="1">
        <v>1</v>
      </c>
      <c r="S46" s="1">
        <v>30</v>
      </c>
      <c r="T46" s="1" t="str">
        <f t="shared" si="0"/>
        <v>【普通 3-10】  &lt;color=#c4b8aa&gt;斩蝎行动&lt;/color&gt;</v>
      </c>
    </row>
    <row r="47" spans="2:20" x14ac:dyDescent="0.15">
      <c r="B47" s="6">
        <v>100101</v>
      </c>
      <c r="C47" s="6" t="s">
        <v>56</v>
      </c>
      <c r="D47" s="15" t="s">
        <v>194</v>
      </c>
      <c r="F47" s="13">
        <v>5</v>
      </c>
      <c r="G47" s="13">
        <v>45</v>
      </c>
      <c r="H47" s="14">
        <v>100103</v>
      </c>
      <c r="I47" s="14">
        <v>40200</v>
      </c>
      <c r="J47" s="14">
        <v>30000</v>
      </c>
      <c r="K47" s="14">
        <v>20000</v>
      </c>
      <c r="L47" s="14">
        <v>20001</v>
      </c>
      <c r="M47" s="14">
        <v>20000</v>
      </c>
      <c r="P47" s="2" t="str">
        <f t="shared" si="1"/>
        <v>烽火余生</v>
      </c>
      <c r="Q47" s="1">
        <v>1031</v>
      </c>
      <c r="R47" s="1">
        <v>1</v>
      </c>
      <c r="S47" s="1">
        <v>31</v>
      </c>
      <c r="T47" s="1" t="str">
        <f t="shared" si="0"/>
        <v>【普通 4-1】  &lt;color=#c4b8aa&gt;烽火余生&lt;/color&gt;</v>
      </c>
    </row>
    <row r="48" spans="2:20" x14ac:dyDescent="0.15">
      <c r="B48" s="6">
        <v>100102</v>
      </c>
      <c r="C48" s="6" t="s">
        <v>57</v>
      </c>
      <c r="D48" s="15" t="s">
        <v>192</v>
      </c>
      <c r="F48" s="13">
        <v>5</v>
      </c>
      <c r="G48" s="13">
        <v>46</v>
      </c>
      <c r="H48" s="14">
        <v>100103</v>
      </c>
      <c r="I48" s="14">
        <v>40200</v>
      </c>
      <c r="J48" s="14">
        <v>30000</v>
      </c>
      <c r="K48" s="14">
        <v>20000</v>
      </c>
      <c r="L48" s="14">
        <v>20001</v>
      </c>
      <c r="M48" s="14">
        <v>20000</v>
      </c>
      <c r="P48" s="2" t="str">
        <f t="shared" si="1"/>
        <v>城郊寻女</v>
      </c>
      <c r="Q48" s="1">
        <v>1032</v>
      </c>
      <c r="R48" s="1">
        <v>1</v>
      </c>
      <c r="S48" s="1">
        <v>32</v>
      </c>
      <c r="T48" s="1" t="str">
        <f t="shared" si="0"/>
        <v>【普通 4-2】  &lt;color=#c4b8aa&gt;城郊寻女&lt;/color&gt;</v>
      </c>
    </row>
    <row r="49" spans="2:20" x14ac:dyDescent="0.15">
      <c r="B49" s="6">
        <v>100103</v>
      </c>
      <c r="C49" s="6" t="s">
        <v>159</v>
      </c>
      <c r="D49" s="15" t="s">
        <v>104</v>
      </c>
      <c r="F49" s="13">
        <v>5</v>
      </c>
      <c r="G49" s="13">
        <v>47</v>
      </c>
      <c r="H49" s="14">
        <v>100103</v>
      </c>
      <c r="I49" s="14">
        <v>40200</v>
      </c>
      <c r="J49" s="14">
        <v>30000</v>
      </c>
      <c r="K49" s="14">
        <v>20000</v>
      </c>
      <c r="L49" s="14">
        <v>20001</v>
      </c>
      <c r="M49" s="14">
        <v>20000</v>
      </c>
      <c r="P49" s="2" t="str">
        <f t="shared" si="1"/>
        <v>战神的指引</v>
      </c>
      <c r="Q49" s="1">
        <v>1033</v>
      </c>
      <c r="R49" s="1">
        <v>1</v>
      </c>
      <c r="S49" s="1">
        <v>33</v>
      </c>
      <c r="T49" s="1" t="str">
        <f t="shared" si="0"/>
        <v>【普通 4-3】  &lt;color=#c4b8aa&gt;战神的指引&lt;/color&gt;</v>
      </c>
    </row>
    <row r="50" spans="2:20" x14ac:dyDescent="0.15">
      <c r="B50" s="6">
        <v>100104</v>
      </c>
      <c r="C50" s="6" t="s">
        <v>58</v>
      </c>
      <c r="D50" s="15" t="s">
        <v>105</v>
      </c>
      <c r="F50" s="13">
        <v>5</v>
      </c>
      <c r="G50" s="13">
        <v>48</v>
      </c>
      <c r="H50" s="14">
        <v>100203</v>
      </c>
      <c r="I50" s="14">
        <v>40200</v>
      </c>
      <c r="J50" s="14">
        <v>30000</v>
      </c>
      <c r="K50" s="14">
        <v>20000</v>
      </c>
      <c r="L50" s="14">
        <v>20001</v>
      </c>
      <c r="M50" s="14">
        <v>20000</v>
      </c>
      <c r="P50" s="2" t="str">
        <f t="shared" si="1"/>
        <v>温泉关之战</v>
      </c>
      <c r="Q50" s="1">
        <v>1034</v>
      </c>
      <c r="R50" s="1">
        <v>1</v>
      </c>
      <c r="S50" s="1">
        <v>34</v>
      </c>
      <c r="T50" s="1" t="str">
        <f t="shared" si="0"/>
        <v>【普通 4-4】  &lt;color=#c4b8aa&gt;温泉关之战&lt;/color&gt;</v>
      </c>
    </row>
    <row r="51" spans="2:20" x14ac:dyDescent="0.15">
      <c r="B51" s="6">
        <v>100105</v>
      </c>
      <c r="C51" s="6" t="s">
        <v>59</v>
      </c>
      <c r="D51" s="15" t="s">
        <v>106</v>
      </c>
      <c r="F51" s="13">
        <v>5</v>
      </c>
      <c r="G51" s="13">
        <v>49</v>
      </c>
      <c r="H51" s="14">
        <v>100203</v>
      </c>
      <c r="I51" s="14">
        <v>40200</v>
      </c>
      <c r="J51" s="14">
        <v>30000</v>
      </c>
      <c r="K51" s="14">
        <v>20000</v>
      </c>
      <c r="L51" s="14">
        <v>20001</v>
      </c>
      <c r="M51" s="14">
        <v>20000</v>
      </c>
      <c r="P51" s="2" t="str">
        <f t="shared" si="1"/>
        <v>巨人的毁灭</v>
      </c>
      <c r="Q51" s="1">
        <v>1035</v>
      </c>
      <c r="R51" s="1">
        <v>1</v>
      </c>
      <c r="S51" s="1">
        <v>35</v>
      </c>
      <c r="T51" s="1" t="str">
        <f t="shared" si="0"/>
        <v>【普通 4-5】  &lt;color=#c4b8aa&gt;巨人的毁灭&lt;/color&gt;</v>
      </c>
    </row>
    <row r="52" spans="2:20" x14ac:dyDescent="0.15">
      <c r="B52" s="6">
        <v>100106</v>
      </c>
      <c r="C52" s="6" t="s">
        <v>60</v>
      </c>
      <c r="D52" s="15" t="s">
        <v>107</v>
      </c>
      <c r="F52" s="13">
        <v>5</v>
      </c>
      <c r="G52" s="13">
        <v>50</v>
      </c>
      <c r="H52" s="14">
        <v>100203</v>
      </c>
      <c r="I52" s="14">
        <v>40200</v>
      </c>
      <c r="J52" s="14">
        <v>30000</v>
      </c>
      <c r="K52" s="14">
        <v>20000</v>
      </c>
      <c r="L52" s="14">
        <v>20001</v>
      </c>
      <c r="M52" s="14">
        <v>20000</v>
      </c>
      <c r="P52" s="2" t="str">
        <f t="shared" si="1"/>
        <v>战争余烬</v>
      </c>
      <c r="Q52" s="1">
        <v>1036</v>
      </c>
      <c r="R52" s="1">
        <v>1</v>
      </c>
      <c r="S52" s="1">
        <v>36</v>
      </c>
      <c r="T52" s="1" t="str">
        <f t="shared" si="0"/>
        <v>【普通 4-6】  &lt;color=#c4b8aa&gt;战争余烬&lt;/color&gt;</v>
      </c>
    </row>
    <row r="53" spans="2:20" x14ac:dyDescent="0.15">
      <c r="B53" s="6">
        <v>100107</v>
      </c>
      <c r="C53" s="6" t="s">
        <v>61</v>
      </c>
      <c r="D53" s="15" t="s">
        <v>108</v>
      </c>
      <c r="F53" s="8">
        <v>6</v>
      </c>
      <c r="G53" s="8">
        <v>51</v>
      </c>
      <c r="H53" s="14">
        <v>100003</v>
      </c>
      <c r="I53" s="14">
        <v>40200</v>
      </c>
      <c r="J53" s="14">
        <v>30000</v>
      </c>
      <c r="K53" s="14">
        <v>20000</v>
      </c>
      <c r="L53" s="14">
        <v>20001</v>
      </c>
      <c r="M53" s="14">
        <v>20000</v>
      </c>
      <c r="P53" s="2" t="str">
        <f t="shared" si="1"/>
        <v>名王东逃</v>
      </c>
      <c r="Q53" s="1">
        <v>1037</v>
      </c>
      <c r="R53" s="1">
        <v>1</v>
      </c>
      <c r="S53" s="1">
        <v>37</v>
      </c>
      <c r="T53" s="1" t="str">
        <f t="shared" si="0"/>
        <v>【普通 4-7】  &lt;color=#c4b8aa&gt;名王东逃&lt;/color&gt;</v>
      </c>
    </row>
    <row r="54" spans="2:20" x14ac:dyDescent="0.15">
      <c r="B54" s="6">
        <v>100108</v>
      </c>
      <c r="C54" s="6" t="s">
        <v>62</v>
      </c>
      <c r="D54" s="15" t="s">
        <v>109</v>
      </c>
      <c r="F54" s="8">
        <v>6</v>
      </c>
      <c r="G54" s="8">
        <v>52</v>
      </c>
      <c r="H54" s="14">
        <v>100003</v>
      </c>
      <c r="I54" s="14">
        <v>40200</v>
      </c>
      <c r="J54" s="14">
        <v>30000</v>
      </c>
      <c r="K54" s="14">
        <v>20000</v>
      </c>
      <c r="L54" s="14">
        <v>20001</v>
      </c>
      <c r="M54" s="14">
        <v>20000</v>
      </c>
      <c r="P54" s="2" t="str">
        <f t="shared" si="1"/>
        <v>重赏之下</v>
      </c>
      <c r="Q54" s="1">
        <v>1038</v>
      </c>
      <c r="R54" s="1">
        <v>1</v>
      </c>
      <c r="S54" s="1">
        <v>38</v>
      </c>
      <c r="T54" s="1" t="str">
        <f t="shared" si="0"/>
        <v>【普通 4-8】  &lt;color=#c4b8aa&gt;重赏之下&lt;/color&gt;</v>
      </c>
    </row>
    <row r="55" spans="2:20" x14ac:dyDescent="0.15">
      <c r="B55" s="6">
        <v>100109</v>
      </c>
      <c r="C55" s="6" t="s">
        <v>63</v>
      </c>
      <c r="D55" s="15" t="s">
        <v>110</v>
      </c>
      <c r="F55" s="8">
        <v>6</v>
      </c>
      <c r="G55" s="8">
        <v>53</v>
      </c>
      <c r="H55" s="14">
        <v>100003</v>
      </c>
      <c r="I55" s="14">
        <v>40200</v>
      </c>
      <c r="J55" s="14">
        <v>30000</v>
      </c>
      <c r="K55" s="14">
        <v>20000</v>
      </c>
      <c r="L55" s="14">
        <v>20001</v>
      </c>
      <c r="M55" s="14">
        <v>20000</v>
      </c>
      <c r="P55" s="2" t="str">
        <f t="shared" si="1"/>
        <v>千里穷追</v>
      </c>
      <c r="Q55" s="1">
        <v>1039</v>
      </c>
      <c r="R55" s="1">
        <v>1</v>
      </c>
      <c r="S55" s="1">
        <v>39</v>
      </c>
      <c r="T55" s="1" t="str">
        <f t="shared" si="0"/>
        <v>【普通 4-9】  &lt;color=#c4b8aa&gt;千里穷追&lt;/color&gt;</v>
      </c>
    </row>
    <row r="56" spans="2:20" x14ac:dyDescent="0.15">
      <c r="B56" s="6">
        <v>100110</v>
      </c>
      <c r="C56" s="6" t="s">
        <v>64</v>
      </c>
      <c r="D56" s="15" t="s">
        <v>111</v>
      </c>
      <c r="F56" s="8">
        <v>6</v>
      </c>
      <c r="G56" s="8">
        <v>54</v>
      </c>
      <c r="H56" s="14">
        <v>100003</v>
      </c>
      <c r="I56" s="14">
        <v>40200</v>
      </c>
      <c r="J56" s="14">
        <v>30000</v>
      </c>
      <c r="K56" s="14">
        <v>20000</v>
      </c>
      <c r="L56" s="14">
        <v>20001</v>
      </c>
      <c r="M56" s="14">
        <v>20000</v>
      </c>
      <c r="P56" s="2" t="str">
        <f t="shared" si="1"/>
        <v>波斯王之殒</v>
      </c>
      <c r="Q56" s="1">
        <v>1040</v>
      </c>
      <c r="R56" s="1">
        <v>1</v>
      </c>
      <c r="S56" s="1">
        <v>40</v>
      </c>
      <c r="T56" s="1" t="str">
        <f t="shared" si="0"/>
        <v>【普通 4-10】  &lt;color=#c4b8aa&gt;波斯王之殒&lt;/color&gt;</v>
      </c>
    </row>
    <row r="57" spans="2:20" x14ac:dyDescent="0.15">
      <c r="B57" s="6">
        <v>100201</v>
      </c>
      <c r="C57" s="6" t="s">
        <v>65</v>
      </c>
      <c r="D57" s="15" t="s">
        <v>195</v>
      </c>
      <c r="F57" s="8">
        <v>6</v>
      </c>
      <c r="G57" s="8">
        <v>55</v>
      </c>
      <c r="H57" s="14">
        <v>100103</v>
      </c>
      <c r="I57" s="14">
        <v>40200</v>
      </c>
      <c r="J57" s="14">
        <v>30000</v>
      </c>
      <c r="K57" s="14">
        <v>20000</v>
      </c>
      <c r="L57" s="14">
        <v>20001</v>
      </c>
      <c r="M57" s="14">
        <v>20000</v>
      </c>
      <c r="P57" s="2" t="str">
        <f t="shared" si="1"/>
        <v>异端之国</v>
      </c>
      <c r="Q57" s="1">
        <v>1041</v>
      </c>
      <c r="R57" s="1">
        <v>1</v>
      </c>
      <c r="S57" s="1">
        <v>41</v>
      </c>
      <c r="T57" s="1" t="str">
        <f t="shared" si="0"/>
        <v>【普通 5-1】  &lt;color=#c4b8aa&gt;异端之国&lt;/color&gt;</v>
      </c>
    </row>
    <row r="58" spans="2:20" x14ac:dyDescent="0.15">
      <c r="B58" s="6">
        <v>100202</v>
      </c>
      <c r="C58" s="6" t="s">
        <v>66</v>
      </c>
      <c r="D58" s="15" t="s">
        <v>191</v>
      </c>
      <c r="F58" s="8">
        <v>6</v>
      </c>
      <c r="G58" s="8">
        <v>56</v>
      </c>
      <c r="H58" s="14">
        <v>100103</v>
      </c>
      <c r="I58" s="14">
        <v>40200</v>
      </c>
      <c r="J58" s="14">
        <v>30000</v>
      </c>
      <c r="K58" s="14">
        <v>20000</v>
      </c>
      <c r="L58" s="14">
        <v>20001</v>
      </c>
      <c r="M58" s="14">
        <v>20000</v>
      </c>
      <c r="P58" s="2" t="str">
        <f t="shared" si="1"/>
        <v>色雷斯之灾</v>
      </c>
      <c r="Q58" s="1">
        <v>1042</v>
      </c>
      <c r="R58" s="1">
        <v>1</v>
      </c>
      <c r="S58" s="1">
        <v>42</v>
      </c>
      <c r="T58" s="1" t="str">
        <f t="shared" si="0"/>
        <v>【普通 5-2】  &lt;color=#c4b8aa&gt;色雷斯之灾&lt;/color&gt;</v>
      </c>
    </row>
    <row r="59" spans="2:20" x14ac:dyDescent="0.15">
      <c r="B59" s="6">
        <v>100203</v>
      </c>
      <c r="C59" s="6" t="s">
        <v>67</v>
      </c>
      <c r="D59" s="15" t="s">
        <v>112</v>
      </c>
      <c r="F59" s="8">
        <v>6</v>
      </c>
      <c r="G59" s="8">
        <v>57</v>
      </c>
      <c r="H59" s="14">
        <v>100103</v>
      </c>
      <c r="I59" s="14">
        <v>40200</v>
      </c>
      <c r="J59" s="14">
        <v>30000</v>
      </c>
      <c r="K59" s="14">
        <v>20000</v>
      </c>
      <c r="L59" s="14">
        <v>20001</v>
      </c>
      <c r="M59" s="14">
        <v>20000</v>
      </c>
      <c r="P59" s="2" t="str">
        <f t="shared" si="1"/>
        <v>铸成大错</v>
      </c>
      <c r="Q59" s="1">
        <v>1043</v>
      </c>
      <c r="R59" s="1">
        <v>1</v>
      </c>
      <c r="S59" s="1">
        <v>43</v>
      </c>
      <c r="T59" s="1" t="str">
        <f t="shared" si="0"/>
        <v>【普通 5-3】  &lt;color=#c4b8aa&gt;铸成大错&lt;/color&gt;</v>
      </c>
    </row>
    <row r="60" spans="2:20" x14ac:dyDescent="0.15">
      <c r="B60" s="6">
        <v>100204</v>
      </c>
      <c r="C60" s="6" t="s">
        <v>68</v>
      </c>
      <c r="D60" s="15" t="s">
        <v>113</v>
      </c>
      <c r="F60" s="8">
        <v>6</v>
      </c>
      <c r="G60" s="8">
        <v>58</v>
      </c>
      <c r="H60" s="14">
        <v>100203</v>
      </c>
      <c r="I60" s="14">
        <v>40200</v>
      </c>
      <c r="J60" s="14">
        <v>30000</v>
      </c>
      <c r="K60" s="14">
        <v>20000</v>
      </c>
      <c r="L60" s="14">
        <v>20001</v>
      </c>
      <c r="M60" s="14">
        <v>20000</v>
      </c>
      <c r="P60" s="2" t="str">
        <f t="shared" si="1"/>
        <v>破誓者之志</v>
      </c>
      <c r="Q60" s="1">
        <v>1044</v>
      </c>
      <c r="R60" s="1">
        <v>1</v>
      </c>
      <c r="S60" s="1">
        <v>44</v>
      </c>
      <c r="T60" s="1" t="str">
        <f t="shared" si="0"/>
        <v>【普通 5-4】  &lt;color=#c4b8aa&gt;破誓者之志&lt;/color&gt;</v>
      </c>
    </row>
    <row r="61" spans="2:20" x14ac:dyDescent="0.15">
      <c r="B61" s="6">
        <v>100205</v>
      </c>
      <c r="C61" s="6" t="s">
        <v>69</v>
      </c>
      <c r="D61" s="15" t="s">
        <v>114</v>
      </c>
      <c r="F61" s="8">
        <v>6</v>
      </c>
      <c r="G61" s="8">
        <v>59</v>
      </c>
      <c r="H61" s="14">
        <v>100203</v>
      </c>
      <c r="I61" s="14">
        <v>40200</v>
      </c>
      <c r="J61" s="14">
        <v>30000</v>
      </c>
      <c r="K61" s="14">
        <v>20000</v>
      </c>
      <c r="L61" s="14">
        <v>20001</v>
      </c>
      <c r="M61" s="14">
        <v>20000</v>
      </c>
      <c r="P61" s="2" t="str">
        <f t="shared" si="1"/>
        <v>复仇女神</v>
      </c>
      <c r="Q61" s="1">
        <v>1045</v>
      </c>
      <c r="R61" s="1">
        <v>1</v>
      </c>
      <c r="S61" s="1">
        <v>45</v>
      </c>
      <c r="T61" s="1" t="str">
        <f t="shared" si="0"/>
        <v>【普通 5-5】  &lt;color=#c4b8aa&gt;复仇女神&lt;/color&gt;</v>
      </c>
    </row>
    <row r="62" spans="2:20" x14ac:dyDescent="0.15">
      <c r="B62" s="6">
        <v>100206</v>
      </c>
      <c r="C62" s="6" t="s">
        <v>70</v>
      </c>
      <c r="D62" s="15" t="s">
        <v>115</v>
      </c>
      <c r="F62" s="8">
        <v>6</v>
      </c>
      <c r="G62" s="8">
        <v>60</v>
      </c>
      <c r="H62" s="14">
        <v>100203</v>
      </c>
      <c r="I62" s="14">
        <v>40200</v>
      </c>
      <c r="J62" s="14">
        <v>30000</v>
      </c>
      <c r="K62" s="14">
        <v>20000</v>
      </c>
      <c r="L62" s="14">
        <v>20001</v>
      </c>
      <c r="M62" s="14">
        <v>20000</v>
      </c>
      <c r="P62" s="2" t="str">
        <f t="shared" si="1"/>
        <v>异变突生</v>
      </c>
      <c r="Q62" s="1">
        <v>1046</v>
      </c>
      <c r="R62" s="1">
        <v>1</v>
      </c>
      <c r="S62" s="1">
        <v>46</v>
      </c>
      <c r="T62" s="1" t="str">
        <f t="shared" si="0"/>
        <v>【普通 5-6】  &lt;color=#c4b8aa&gt;异变突生&lt;/color&gt;</v>
      </c>
    </row>
    <row r="63" spans="2:20" x14ac:dyDescent="0.15">
      <c r="B63" s="6">
        <v>100207</v>
      </c>
      <c r="C63" s="6" t="s">
        <v>71</v>
      </c>
      <c r="D63" s="15" t="s">
        <v>116</v>
      </c>
      <c r="F63" s="9">
        <v>7</v>
      </c>
      <c r="G63" s="9">
        <v>61</v>
      </c>
      <c r="H63" s="14">
        <v>100004</v>
      </c>
      <c r="I63" s="14">
        <v>40200</v>
      </c>
      <c r="J63" s="14">
        <v>30000</v>
      </c>
      <c r="K63" s="14">
        <v>20000</v>
      </c>
      <c r="L63" s="14">
        <v>20001</v>
      </c>
      <c r="M63" s="14">
        <v>20001</v>
      </c>
      <c r="P63" s="2" t="str">
        <f t="shared" si="1"/>
        <v>莱山德归国</v>
      </c>
      <c r="Q63" s="1">
        <v>1047</v>
      </c>
      <c r="R63" s="1">
        <v>1</v>
      </c>
      <c r="S63" s="1">
        <v>47</v>
      </c>
      <c r="T63" s="1" t="str">
        <f t="shared" si="0"/>
        <v>【普通 5-7】  &lt;color=#c4b8aa&gt;莱山德归国&lt;/color&gt;</v>
      </c>
    </row>
    <row r="64" spans="2:20" x14ac:dyDescent="0.15">
      <c r="B64" s="6">
        <v>100208</v>
      </c>
      <c r="C64" s="6" t="s">
        <v>72</v>
      </c>
      <c r="D64" s="15" t="s">
        <v>117</v>
      </c>
      <c r="F64" s="10">
        <v>7</v>
      </c>
      <c r="G64" s="10">
        <v>62</v>
      </c>
      <c r="H64" s="14">
        <v>100004</v>
      </c>
      <c r="I64" s="14">
        <v>40200</v>
      </c>
      <c r="J64" s="14">
        <v>30000</v>
      </c>
      <c r="K64" s="14">
        <v>20000</v>
      </c>
      <c r="L64" s="14">
        <v>20001</v>
      </c>
      <c r="M64" s="14">
        <v>20001</v>
      </c>
      <c r="P64" s="2" t="str">
        <f t="shared" si="1"/>
        <v>英雄之路</v>
      </c>
      <c r="Q64" s="1">
        <v>1048</v>
      </c>
      <c r="R64" s="1">
        <v>1</v>
      </c>
      <c r="S64" s="1">
        <v>48</v>
      </c>
      <c r="T64" s="1" t="str">
        <f t="shared" si="0"/>
        <v>【普通 5-8】  &lt;color=#c4b8aa&gt;英雄之路&lt;/color&gt;</v>
      </c>
    </row>
    <row r="65" spans="2:20" x14ac:dyDescent="0.15">
      <c r="B65" s="6">
        <v>100209</v>
      </c>
      <c r="C65" s="6" t="s">
        <v>73</v>
      </c>
      <c r="D65" s="15" t="s">
        <v>118</v>
      </c>
      <c r="F65" s="10">
        <v>7</v>
      </c>
      <c r="G65" s="10">
        <v>63</v>
      </c>
      <c r="H65" s="14">
        <v>100004</v>
      </c>
      <c r="I65" s="14">
        <v>40200</v>
      </c>
      <c r="J65" s="14">
        <v>30000</v>
      </c>
      <c r="K65" s="14">
        <v>20000</v>
      </c>
      <c r="L65" s="14">
        <v>20001</v>
      </c>
      <c r="M65" s="14">
        <v>20001</v>
      </c>
      <c r="P65" s="2" t="str">
        <f t="shared" si="1"/>
        <v>潜行避战</v>
      </c>
      <c r="Q65" s="1">
        <v>1049</v>
      </c>
      <c r="R65" s="1">
        <v>1</v>
      </c>
      <c r="S65" s="1">
        <v>49</v>
      </c>
      <c r="T65" s="1" t="str">
        <f t="shared" si="0"/>
        <v>【普通 5-9】  &lt;color=#c4b8aa&gt;潜行避战&lt;/color&gt;</v>
      </c>
    </row>
    <row r="66" spans="2:20" x14ac:dyDescent="0.15">
      <c r="B66" s="6">
        <v>100210</v>
      </c>
      <c r="C66" s="6" t="s">
        <v>74</v>
      </c>
      <c r="D66" s="15" t="s">
        <v>119</v>
      </c>
      <c r="F66" s="10">
        <v>7</v>
      </c>
      <c r="G66" s="10">
        <v>64</v>
      </c>
      <c r="H66" s="14">
        <v>100004</v>
      </c>
      <c r="I66" s="14">
        <v>40200</v>
      </c>
      <c r="J66" s="14">
        <v>30000</v>
      </c>
      <c r="K66" s="14">
        <v>20000</v>
      </c>
      <c r="L66" s="14">
        <v>20001</v>
      </c>
      <c r="M66" s="14">
        <v>20001</v>
      </c>
      <c r="P66" s="2" t="str">
        <f t="shared" si="1"/>
        <v>三头犬之死</v>
      </c>
      <c r="Q66" s="1">
        <v>1050</v>
      </c>
      <c r="R66" s="1">
        <v>1</v>
      </c>
      <c r="S66" s="1">
        <v>50</v>
      </c>
      <c r="T66" s="1" t="str">
        <f t="shared" si="0"/>
        <v>【普通 5-10】  &lt;color=#c4b8aa&gt;三头犬之死&lt;/color&gt;</v>
      </c>
    </row>
    <row r="67" spans="2:20" x14ac:dyDescent="0.15">
      <c r="B67" s="6">
        <v>100301</v>
      </c>
      <c r="C67" s="6" t="s">
        <v>160</v>
      </c>
      <c r="D67" s="15" t="s">
        <v>100</v>
      </c>
      <c r="F67" s="10">
        <v>7</v>
      </c>
      <c r="G67" s="10">
        <v>65</v>
      </c>
      <c r="H67" s="14">
        <v>100104</v>
      </c>
      <c r="I67" s="14">
        <v>40200</v>
      </c>
      <c r="J67" s="14">
        <v>30000</v>
      </c>
      <c r="K67" s="14">
        <v>20000</v>
      </c>
      <c r="L67" s="14">
        <v>20001</v>
      </c>
      <c r="M67" s="14">
        <v>20001</v>
      </c>
      <c r="P67" s="2" t="str">
        <f t="shared" si="1"/>
        <v>大战伊始</v>
      </c>
      <c r="Q67" s="1">
        <v>1051</v>
      </c>
      <c r="R67" s="1">
        <v>1</v>
      </c>
      <c r="S67" s="1">
        <v>51</v>
      </c>
      <c r="T67" s="1" t="str">
        <f t="shared" si="0"/>
        <v>【普通 6-1】  &lt;color=#c4b8aa&gt;大战伊始&lt;/color&gt;</v>
      </c>
    </row>
    <row r="68" spans="2:20" x14ac:dyDescent="0.15">
      <c r="B68" s="6">
        <v>100302</v>
      </c>
      <c r="C68" s="6" t="s">
        <v>75</v>
      </c>
      <c r="D68" s="15" t="s">
        <v>100</v>
      </c>
      <c r="F68" s="10">
        <v>7</v>
      </c>
      <c r="G68" s="10">
        <v>66</v>
      </c>
      <c r="H68" s="14">
        <v>100104</v>
      </c>
      <c r="I68" s="14">
        <v>40200</v>
      </c>
      <c r="J68" s="14">
        <v>30000</v>
      </c>
      <c r="K68" s="14">
        <v>20000</v>
      </c>
      <c r="L68" s="14">
        <v>20001</v>
      </c>
      <c r="M68" s="14">
        <v>20001</v>
      </c>
      <c r="P68" s="2" t="str">
        <f t="shared" si="1"/>
        <v>家园惊变</v>
      </c>
      <c r="Q68" s="1">
        <v>1052</v>
      </c>
      <c r="R68" s="1">
        <v>1</v>
      </c>
      <c r="S68" s="1">
        <v>52</v>
      </c>
      <c r="T68" s="1" t="str">
        <f t="shared" si="0"/>
        <v>【普通 6-2】  &lt;color=#c4b8aa&gt;家园惊变&lt;/color&gt;</v>
      </c>
    </row>
    <row r="69" spans="2:20" x14ac:dyDescent="0.15">
      <c r="B69" s="6">
        <v>100303</v>
      </c>
      <c r="C69" s="6" t="s">
        <v>76</v>
      </c>
      <c r="D69" s="15" t="s">
        <v>100</v>
      </c>
      <c r="F69" s="10">
        <v>7</v>
      </c>
      <c r="G69" s="10">
        <v>67</v>
      </c>
      <c r="H69" s="14">
        <v>100104</v>
      </c>
      <c r="I69" s="14">
        <v>40200</v>
      </c>
      <c r="J69" s="14">
        <v>30000</v>
      </c>
      <c r="K69" s="14">
        <v>20000</v>
      </c>
      <c r="L69" s="14">
        <v>20001</v>
      </c>
      <c r="M69" s="14">
        <v>20001</v>
      </c>
      <c r="P69" s="2" t="str">
        <f t="shared" si="1"/>
        <v>疯狂的战神</v>
      </c>
      <c r="Q69" s="1">
        <v>1053</v>
      </c>
      <c r="R69" s="1">
        <v>1</v>
      </c>
      <c r="S69" s="1">
        <v>53</v>
      </c>
      <c r="T69" s="1" t="str">
        <f t="shared" si="0"/>
        <v>【普通 6-3】  &lt;color=#c4b8aa&gt;疯狂的战神&lt;/color&gt;</v>
      </c>
    </row>
    <row r="70" spans="2:20" x14ac:dyDescent="0.15">
      <c r="B70" s="6">
        <v>100304</v>
      </c>
      <c r="C70" s="6" t="s">
        <v>77</v>
      </c>
      <c r="D70" s="15" t="s">
        <v>100</v>
      </c>
      <c r="F70" s="10">
        <v>7</v>
      </c>
      <c r="G70" s="10">
        <v>68</v>
      </c>
      <c r="H70" s="14">
        <v>100204</v>
      </c>
      <c r="I70" s="14">
        <v>40200</v>
      </c>
      <c r="J70" s="14">
        <v>30000</v>
      </c>
      <c r="K70" s="14">
        <v>20000</v>
      </c>
      <c r="L70" s="14">
        <v>20001</v>
      </c>
      <c r="M70" s="14">
        <v>20001</v>
      </c>
      <c r="P70" s="2" t="str">
        <f t="shared" si="1"/>
        <v>利比亚蝎王</v>
      </c>
      <c r="Q70" s="1">
        <v>1054</v>
      </c>
      <c r="R70" s="1">
        <v>1</v>
      </c>
      <c r="S70" s="1">
        <v>54</v>
      </c>
      <c r="T70" s="1" t="str">
        <f t="shared" si="0"/>
        <v>【普通 6-4】  &lt;color=#c4b8aa&gt;利比亚蝎王&lt;/color&gt;</v>
      </c>
    </row>
    <row r="71" spans="2:20" x14ac:dyDescent="0.15">
      <c r="B71" s="6">
        <v>100305</v>
      </c>
      <c r="C71" s="6" t="s">
        <v>78</v>
      </c>
      <c r="D71" s="15" t="s">
        <v>100</v>
      </c>
      <c r="F71" s="10">
        <v>7</v>
      </c>
      <c r="G71" s="10">
        <v>69</v>
      </c>
      <c r="H71" s="14">
        <v>100204</v>
      </c>
      <c r="I71" s="14">
        <v>40200</v>
      </c>
      <c r="J71" s="14">
        <v>30000</v>
      </c>
      <c r="K71" s="14">
        <v>20000</v>
      </c>
      <c r="L71" s="14">
        <v>20001</v>
      </c>
      <c r="M71" s="14">
        <v>20001</v>
      </c>
      <c r="P71" s="2" t="str">
        <f t="shared" si="1"/>
        <v>斩蝎行动</v>
      </c>
      <c r="Q71" s="1">
        <v>1055</v>
      </c>
      <c r="R71" s="1">
        <v>1</v>
      </c>
      <c r="S71" s="1">
        <v>55</v>
      </c>
      <c r="T71" s="1" t="str">
        <f t="shared" si="0"/>
        <v>【普通 6-5】  &lt;color=#c4b8aa&gt;斩蝎行动&lt;/color&gt;</v>
      </c>
    </row>
    <row r="72" spans="2:20" x14ac:dyDescent="0.15">
      <c r="B72" s="6">
        <v>100306</v>
      </c>
      <c r="C72" s="6" t="s">
        <v>161</v>
      </c>
      <c r="D72" s="15" t="s">
        <v>100</v>
      </c>
      <c r="F72" s="10">
        <v>7</v>
      </c>
      <c r="G72" s="10">
        <v>70</v>
      </c>
      <c r="H72" s="14">
        <v>100204</v>
      </c>
      <c r="I72" s="14">
        <v>40200</v>
      </c>
      <c r="J72" s="14">
        <v>30000</v>
      </c>
      <c r="K72" s="14">
        <v>20000</v>
      </c>
      <c r="L72" s="14">
        <v>20001</v>
      </c>
      <c r="M72" s="14">
        <v>20001</v>
      </c>
      <c r="P72" s="2" t="str">
        <f t="shared" si="1"/>
        <v>烽火余生</v>
      </c>
      <c r="Q72" s="1">
        <v>1056</v>
      </c>
      <c r="R72" s="1">
        <v>1</v>
      </c>
      <c r="S72" s="1">
        <v>56</v>
      </c>
      <c r="T72" s="1" t="str">
        <f t="shared" si="0"/>
        <v>【普通 6-6】  &lt;color=#c4b8aa&gt;烽火余生&lt;/color&gt;</v>
      </c>
    </row>
    <row r="73" spans="2:20" x14ac:dyDescent="0.15">
      <c r="B73" s="6">
        <v>100307</v>
      </c>
      <c r="C73" s="6" t="s">
        <v>162</v>
      </c>
      <c r="D73" s="15" t="s">
        <v>100</v>
      </c>
      <c r="F73" s="11">
        <v>8</v>
      </c>
      <c r="G73" s="11">
        <v>71</v>
      </c>
      <c r="H73" s="14">
        <v>100004</v>
      </c>
      <c r="I73" s="14">
        <v>40200</v>
      </c>
      <c r="J73" s="14">
        <v>30000</v>
      </c>
      <c r="K73" s="14">
        <v>20000</v>
      </c>
      <c r="L73" s="14">
        <v>20001</v>
      </c>
      <c r="M73" s="14">
        <v>20001</v>
      </c>
      <c r="P73" s="2" t="str">
        <f t="shared" si="1"/>
        <v>城郊寻女</v>
      </c>
      <c r="Q73" s="1">
        <v>1057</v>
      </c>
      <c r="R73" s="1">
        <v>1</v>
      </c>
      <c r="S73" s="1">
        <v>57</v>
      </c>
      <c r="T73" s="1" t="str">
        <f t="shared" si="0"/>
        <v>【普通 6-7】  &lt;color=#c4b8aa&gt;城郊寻女&lt;/color&gt;</v>
      </c>
    </row>
    <row r="74" spans="2:20" x14ac:dyDescent="0.15">
      <c r="B74" s="6">
        <v>100308</v>
      </c>
      <c r="C74" s="6" t="s">
        <v>163</v>
      </c>
      <c r="D74" s="15" t="s">
        <v>100</v>
      </c>
      <c r="F74" s="11">
        <v>8</v>
      </c>
      <c r="G74" s="11">
        <v>72</v>
      </c>
      <c r="H74" s="14">
        <v>100004</v>
      </c>
      <c r="I74" s="14">
        <v>40200</v>
      </c>
      <c r="J74" s="14">
        <v>30000</v>
      </c>
      <c r="K74" s="14">
        <v>20000</v>
      </c>
      <c r="L74" s="14">
        <v>20001</v>
      </c>
      <c r="M74" s="14">
        <v>20001</v>
      </c>
      <c r="P74" s="2" t="str">
        <f t="shared" si="1"/>
        <v>战神的指引</v>
      </c>
      <c r="Q74" s="1">
        <v>1058</v>
      </c>
      <c r="R74" s="1">
        <v>1</v>
      </c>
      <c r="S74" s="1">
        <v>58</v>
      </c>
      <c r="T74" s="1" t="str">
        <f t="shared" si="0"/>
        <v>【普通 6-8】  &lt;color=#c4b8aa&gt;战神的指引&lt;/color&gt;</v>
      </c>
    </row>
    <row r="75" spans="2:20" x14ac:dyDescent="0.15">
      <c r="B75" s="6">
        <v>100309</v>
      </c>
      <c r="C75" s="6" t="s">
        <v>164</v>
      </c>
      <c r="D75" s="15" t="s">
        <v>100</v>
      </c>
      <c r="F75" s="11">
        <v>8</v>
      </c>
      <c r="G75" s="11">
        <v>73</v>
      </c>
      <c r="H75" s="14">
        <v>100004</v>
      </c>
      <c r="I75" s="14">
        <v>40200</v>
      </c>
      <c r="J75" s="14">
        <v>30000</v>
      </c>
      <c r="K75" s="14">
        <v>20000</v>
      </c>
      <c r="L75" s="14">
        <v>20001</v>
      </c>
      <c r="M75" s="14">
        <v>20001</v>
      </c>
      <c r="P75" s="2" t="str">
        <f t="shared" si="1"/>
        <v>温泉关之战</v>
      </c>
      <c r="Q75" s="1">
        <v>1059</v>
      </c>
      <c r="R75" s="1">
        <v>1</v>
      </c>
      <c r="S75" s="1">
        <v>59</v>
      </c>
      <c r="T75" s="1" t="str">
        <f t="shared" si="0"/>
        <v>【普通 6-9】  &lt;color=#c4b8aa&gt;温泉关之战&lt;/color&gt;</v>
      </c>
    </row>
    <row r="76" spans="2:20" x14ac:dyDescent="0.15">
      <c r="B76" s="6">
        <v>100310</v>
      </c>
      <c r="C76" s="6" t="s">
        <v>79</v>
      </c>
      <c r="D76" s="15" t="s">
        <v>100</v>
      </c>
      <c r="F76" s="11">
        <v>8</v>
      </c>
      <c r="G76" s="11">
        <v>74</v>
      </c>
      <c r="H76" s="14">
        <v>100004</v>
      </c>
      <c r="I76" s="14">
        <v>40200</v>
      </c>
      <c r="J76" s="14">
        <v>30000</v>
      </c>
      <c r="K76" s="14">
        <v>20000</v>
      </c>
      <c r="L76" s="14">
        <v>20001</v>
      </c>
      <c r="M76" s="14">
        <v>20001</v>
      </c>
      <c r="P76" s="2" t="str">
        <f t="shared" si="1"/>
        <v>巨人的毁灭</v>
      </c>
      <c r="Q76" s="1">
        <v>1060</v>
      </c>
      <c r="R76" s="1">
        <v>1</v>
      </c>
      <c r="S76" s="1">
        <v>60</v>
      </c>
      <c r="T76" s="1" t="str">
        <f t="shared" si="0"/>
        <v>【普通 6-10】  &lt;color=#c4b8aa&gt;巨人的毁灭&lt;/color&gt;</v>
      </c>
    </row>
    <row r="77" spans="2:20" x14ac:dyDescent="0.15">
      <c r="B77" s="6">
        <v>100311</v>
      </c>
      <c r="C77" s="6" t="s">
        <v>80</v>
      </c>
      <c r="D77" s="15" t="s">
        <v>100</v>
      </c>
      <c r="F77" s="11">
        <v>8</v>
      </c>
      <c r="G77" s="11">
        <v>75</v>
      </c>
      <c r="H77" s="14">
        <v>100104</v>
      </c>
      <c r="I77" s="14">
        <v>40200</v>
      </c>
      <c r="J77" s="14">
        <v>30000</v>
      </c>
      <c r="K77" s="14">
        <v>20000</v>
      </c>
      <c r="L77" s="14">
        <v>20001</v>
      </c>
      <c r="M77" s="14">
        <v>20001</v>
      </c>
      <c r="P77" s="2" t="str">
        <f t="shared" si="1"/>
        <v>战争余烬</v>
      </c>
      <c r="Q77" s="1">
        <v>1061</v>
      </c>
      <c r="R77" s="1">
        <v>1</v>
      </c>
      <c r="S77" s="1">
        <v>61</v>
      </c>
      <c r="T77" s="1" t="str">
        <f t="shared" si="0"/>
        <v>【普通 7-1】  &lt;color=#c4b8aa&gt;战争余烬&lt;/color&gt;</v>
      </c>
    </row>
    <row r="78" spans="2:20" x14ac:dyDescent="0.15">
      <c r="B78" s="6">
        <v>100312</v>
      </c>
      <c r="C78" s="6" t="s">
        <v>81</v>
      </c>
      <c r="D78" s="15" t="s">
        <v>100</v>
      </c>
      <c r="F78" s="11">
        <v>8</v>
      </c>
      <c r="G78" s="11">
        <v>76</v>
      </c>
      <c r="H78" s="14">
        <v>100104</v>
      </c>
      <c r="I78" s="14">
        <v>40200</v>
      </c>
      <c r="J78" s="14">
        <v>30000</v>
      </c>
      <c r="K78" s="14">
        <v>20000</v>
      </c>
      <c r="L78" s="14">
        <v>20001</v>
      </c>
      <c r="M78" s="14">
        <v>20001</v>
      </c>
      <c r="P78" s="2" t="str">
        <f t="shared" si="1"/>
        <v>名王东逃</v>
      </c>
      <c r="Q78" s="1">
        <v>1062</v>
      </c>
      <c r="R78" s="1">
        <v>1</v>
      </c>
      <c r="S78" s="1">
        <v>62</v>
      </c>
      <c r="T78" s="1" t="str">
        <f t="shared" si="0"/>
        <v>【普通 7-2】  &lt;color=#c4b8aa&gt;名王东逃&lt;/color&gt;</v>
      </c>
    </row>
    <row r="79" spans="2:20" x14ac:dyDescent="0.15">
      <c r="B79" s="6">
        <v>100313</v>
      </c>
      <c r="C79" s="6" t="s">
        <v>82</v>
      </c>
      <c r="D79" s="15" t="s">
        <v>100</v>
      </c>
      <c r="F79" s="11">
        <v>8</v>
      </c>
      <c r="G79" s="11">
        <v>77</v>
      </c>
      <c r="H79" s="14">
        <v>100104</v>
      </c>
      <c r="I79" s="14">
        <v>40200</v>
      </c>
      <c r="J79" s="14">
        <v>30000</v>
      </c>
      <c r="K79" s="14">
        <v>20000</v>
      </c>
      <c r="L79" s="14">
        <v>20001</v>
      </c>
      <c r="M79" s="14">
        <v>20001</v>
      </c>
      <c r="P79" s="2" t="str">
        <f t="shared" si="1"/>
        <v>重赏之下</v>
      </c>
      <c r="Q79" s="1">
        <v>1063</v>
      </c>
      <c r="R79" s="1">
        <v>1</v>
      </c>
      <c r="S79" s="1">
        <v>63</v>
      </c>
      <c r="T79" s="1" t="str">
        <f t="shared" si="0"/>
        <v>【普通 7-3】  &lt;color=#c4b8aa&gt;重赏之下&lt;/color&gt;</v>
      </c>
    </row>
    <row r="80" spans="2:20" x14ac:dyDescent="0.15">
      <c r="B80" s="6">
        <v>100314</v>
      </c>
      <c r="C80" s="6" t="s">
        <v>83</v>
      </c>
      <c r="D80" s="15" t="s">
        <v>100</v>
      </c>
      <c r="F80" s="11">
        <v>8</v>
      </c>
      <c r="G80" s="11">
        <v>78</v>
      </c>
      <c r="H80" s="14">
        <v>100204</v>
      </c>
      <c r="I80" s="14">
        <v>40200</v>
      </c>
      <c r="J80" s="14">
        <v>30000</v>
      </c>
      <c r="K80" s="14">
        <v>20000</v>
      </c>
      <c r="L80" s="14">
        <v>20001</v>
      </c>
      <c r="M80" s="14">
        <v>20001</v>
      </c>
      <c r="P80" s="2" t="str">
        <f t="shared" si="1"/>
        <v>千里穷追</v>
      </c>
      <c r="Q80" s="1">
        <v>1064</v>
      </c>
      <c r="R80" s="1">
        <v>1</v>
      </c>
      <c r="S80" s="1">
        <v>64</v>
      </c>
      <c r="T80" s="1" t="str">
        <f t="shared" si="0"/>
        <v>【普通 7-4】  &lt;color=#c4b8aa&gt;千里穷追&lt;/color&gt;</v>
      </c>
    </row>
    <row r="81" spans="2:20" x14ac:dyDescent="0.15">
      <c r="B81" s="6">
        <v>100315</v>
      </c>
      <c r="C81" s="6" t="s">
        <v>84</v>
      </c>
      <c r="D81" s="15" t="s">
        <v>100</v>
      </c>
      <c r="F81" s="11">
        <v>8</v>
      </c>
      <c r="G81" s="11">
        <v>79</v>
      </c>
      <c r="H81" s="14">
        <v>100204</v>
      </c>
      <c r="I81" s="14">
        <v>40200</v>
      </c>
      <c r="J81" s="14">
        <v>30000</v>
      </c>
      <c r="K81" s="14">
        <v>20000</v>
      </c>
      <c r="L81" s="14">
        <v>20001</v>
      </c>
      <c r="M81" s="14">
        <v>20001</v>
      </c>
      <c r="P81" s="2" t="str">
        <f t="shared" si="1"/>
        <v>波斯王之殒</v>
      </c>
      <c r="Q81" s="1">
        <v>1065</v>
      </c>
      <c r="R81" s="1">
        <v>1</v>
      </c>
      <c r="S81" s="1">
        <v>65</v>
      </c>
      <c r="T81" s="1" t="str">
        <f t="shared" si="0"/>
        <v>【普通 7-5】  &lt;color=#c4b8aa&gt;波斯王之殒&lt;/color&gt;</v>
      </c>
    </row>
    <row r="82" spans="2:20" x14ac:dyDescent="0.15">
      <c r="B82" s="6">
        <v>100316</v>
      </c>
      <c r="C82" s="6" t="s">
        <v>85</v>
      </c>
      <c r="D82" s="15" t="s">
        <v>100</v>
      </c>
      <c r="F82" s="11">
        <v>8</v>
      </c>
      <c r="G82" s="11">
        <v>80</v>
      </c>
      <c r="H82" s="14">
        <v>100204</v>
      </c>
      <c r="I82" s="14">
        <v>40200</v>
      </c>
      <c r="J82" s="14">
        <v>30000</v>
      </c>
      <c r="K82" s="14">
        <v>20000</v>
      </c>
      <c r="L82" s="14">
        <v>20001</v>
      </c>
      <c r="M82" s="14">
        <v>20001</v>
      </c>
      <c r="P82" s="2" t="str">
        <f t="shared" si="1"/>
        <v>异端之国</v>
      </c>
      <c r="Q82" s="1">
        <v>1066</v>
      </c>
      <c r="R82" s="1">
        <v>1</v>
      </c>
      <c r="S82" s="1">
        <v>66</v>
      </c>
      <c r="T82" s="1" t="str">
        <f t="shared" ref="T82:T145" si="2">"【普通 "&amp;F68&amp;"-"&amp;IF(INT(RIGHT(Q82,1))=0,10,RIGHT(Q82,1))&amp;"】  "&amp;"&lt;color=#c4b8aa&gt;"&amp;P82&amp;"&lt;/color&gt;"</f>
        <v>【普通 7-6】  &lt;color=#c4b8aa&gt;异端之国&lt;/color&gt;</v>
      </c>
    </row>
    <row r="83" spans="2:20" x14ac:dyDescent="0.15">
      <c r="B83" s="6">
        <v>100317</v>
      </c>
      <c r="C83" s="6" t="s">
        <v>86</v>
      </c>
      <c r="F83" s="12">
        <v>9</v>
      </c>
      <c r="G83" s="12">
        <v>81</v>
      </c>
      <c r="H83" s="14">
        <v>100005</v>
      </c>
      <c r="I83" s="14">
        <v>40200</v>
      </c>
      <c r="J83" s="14">
        <v>30000</v>
      </c>
      <c r="K83" s="14">
        <v>20001</v>
      </c>
      <c r="L83" s="14">
        <v>20001</v>
      </c>
      <c r="M83" s="14">
        <v>20002</v>
      </c>
      <c r="P83" s="2" t="str">
        <f t="shared" si="1"/>
        <v>色雷斯之灾</v>
      </c>
      <c r="Q83" s="1">
        <v>1067</v>
      </c>
      <c r="R83" s="1">
        <v>1</v>
      </c>
      <c r="S83" s="1">
        <v>67</v>
      </c>
      <c r="T83" s="1" t="str">
        <f t="shared" si="2"/>
        <v>【普通 7-7】  &lt;color=#c4b8aa&gt;色雷斯之灾&lt;/color&gt;</v>
      </c>
    </row>
    <row r="84" spans="2:20" x14ac:dyDescent="0.15">
      <c r="B84" s="6">
        <v>100318</v>
      </c>
      <c r="C84" s="6" t="s">
        <v>87</v>
      </c>
      <c r="F84" s="12">
        <v>9</v>
      </c>
      <c r="G84" s="12">
        <v>82</v>
      </c>
      <c r="H84" s="14">
        <v>100005</v>
      </c>
      <c r="I84" s="14">
        <v>40200</v>
      </c>
      <c r="J84" s="14">
        <v>30000</v>
      </c>
      <c r="K84" s="14">
        <v>20001</v>
      </c>
      <c r="L84" s="14">
        <v>20001</v>
      </c>
      <c r="M84" s="14">
        <v>20002</v>
      </c>
      <c r="P84" s="2" t="str">
        <f t="shared" si="1"/>
        <v>铸成大错</v>
      </c>
      <c r="Q84" s="1">
        <v>1068</v>
      </c>
      <c r="R84" s="1">
        <v>1</v>
      </c>
      <c r="S84" s="1">
        <v>68</v>
      </c>
      <c r="T84" s="1" t="str">
        <f t="shared" si="2"/>
        <v>【普通 7-8】  &lt;color=#c4b8aa&gt;铸成大错&lt;/color&gt;</v>
      </c>
    </row>
    <row r="85" spans="2:20" x14ac:dyDescent="0.15">
      <c r="B85" s="6">
        <v>110001</v>
      </c>
      <c r="C85" s="6" t="s">
        <v>88</v>
      </c>
      <c r="F85" s="12">
        <v>9</v>
      </c>
      <c r="G85" s="12">
        <v>83</v>
      </c>
      <c r="H85" s="14">
        <v>100005</v>
      </c>
      <c r="I85" s="14">
        <v>40200</v>
      </c>
      <c r="J85" s="14">
        <v>30000</v>
      </c>
      <c r="K85" s="14">
        <v>20001</v>
      </c>
      <c r="L85" s="14">
        <v>20001</v>
      </c>
      <c r="M85" s="14">
        <v>20002</v>
      </c>
      <c r="P85" s="2" t="str">
        <f t="shared" si="1"/>
        <v>破誓者之志</v>
      </c>
      <c r="Q85" s="1">
        <v>1069</v>
      </c>
      <c r="R85" s="1">
        <v>1</v>
      </c>
      <c r="S85" s="1">
        <v>69</v>
      </c>
      <c r="T85" s="1" t="str">
        <f t="shared" si="2"/>
        <v>【普通 7-9】  &lt;color=#c4b8aa&gt;破誓者之志&lt;/color&gt;</v>
      </c>
    </row>
    <row r="86" spans="2:20" x14ac:dyDescent="0.15">
      <c r="B86" s="6">
        <v>110002</v>
      </c>
      <c r="C86" s="6" t="s">
        <v>165</v>
      </c>
      <c r="F86" s="12">
        <v>9</v>
      </c>
      <c r="G86" s="12">
        <v>84</v>
      </c>
      <c r="H86" s="14">
        <v>100005</v>
      </c>
      <c r="I86" s="14">
        <v>40200</v>
      </c>
      <c r="J86" s="14">
        <v>30000</v>
      </c>
      <c r="K86" s="14">
        <v>20001</v>
      </c>
      <c r="L86" s="14">
        <v>20001</v>
      </c>
      <c r="M86" s="14">
        <v>20002</v>
      </c>
      <c r="P86" s="2" t="str">
        <f t="shared" si="1"/>
        <v>复仇女神</v>
      </c>
      <c r="Q86" s="1">
        <v>1070</v>
      </c>
      <c r="R86" s="1">
        <v>1</v>
      </c>
      <c r="S86" s="1">
        <v>70</v>
      </c>
      <c r="T86" s="1" t="str">
        <f t="shared" si="2"/>
        <v>【普通 7-10】  &lt;color=#c4b8aa&gt;复仇女神&lt;/color&gt;</v>
      </c>
    </row>
    <row r="87" spans="2:20" x14ac:dyDescent="0.15">
      <c r="B87" s="6">
        <v>110003</v>
      </c>
      <c r="C87" s="6" t="s">
        <v>166</v>
      </c>
      <c r="F87" s="12">
        <v>9</v>
      </c>
      <c r="G87" s="12">
        <v>85</v>
      </c>
      <c r="H87" s="14">
        <v>100105</v>
      </c>
      <c r="I87" s="14">
        <v>40200</v>
      </c>
      <c r="J87" s="14">
        <v>30000</v>
      </c>
      <c r="K87" s="14">
        <v>20001</v>
      </c>
      <c r="L87" s="14">
        <v>20001</v>
      </c>
      <c r="M87" s="14">
        <v>20002</v>
      </c>
      <c r="P87" s="2" t="str">
        <f t="shared" si="1"/>
        <v>异变突生</v>
      </c>
      <c r="Q87" s="1">
        <v>1071</v>
      </c>
      <c r="R87" s="1">
        <v>1</v>
      </c>
      <c r="S87" s="1">
        <v>71</v>
      </c>
      <c r="T87" s="1" t="str">
        <f t="shared" si="2"/>
        <v>【普通 8-1】  &lt;color=#c4b8aa&gt;异变突生&lt;/color&gt;</v>
      </c>
    </row>
    <row r="88" spans="2:20" x14ac:dyDescent="0.15">
      <c r="B88" s="6">
        <v>110004</v>
      </c>
      <c r="C88" s="6" t="s">
        <v>167</v>
      </c>
      <c r="F88" s="12">
        <v>9</v>
      </c>
      <c r="G88" s="12">
        <v>86</v>
      </c>
      <c r="H88" s="14">
        <v>100105</v>
      </c>
      <c r="I88" s="14">
        <v>40200</v>
      </c>
      <c r="J88" s="14">
        <v>30000</v>
      </c>
      <c r="K88" s="14">
        <v>20001</v>
      </c>
      <c r="L88" s="14">
        <v>20001</v>
      </c>
      <c r="M88" s="14">
        <v>20002</v>
      </c>
      <c r="P88" s="2" t="str">
        <f t="shared" si="1"/>
        <v>莱山德归国</v>
      </c>
      <c r="Q88" s="1">
        <v>1072</v>
      </c>
      <c r="R88" s="1">
        <v>1</v>
      </c>
      <c r="S88" s="1">
        <v>72</v>
      </c>
      <c r="T88" s="1" t="str">
        <f t="shared" si="2"/>
        <v>【普通 8-2】  &lt;color=#c4b8aa&gt;莱山德归国&lt;/color&gt;</v>
      </c>
    </row>
    <row r="89" spans="2:20" x14ac:dyDescent="0.15">
      <c r="B89" s="6">
        <v>110005</v>
      </c>
      <c r="C89" s="6" t="s">
        <v>168</v>
      </c>
      <c r="F89" s="12">
        <v>9</v>
      </c>
      <c r="G89" s="12">
        <v>87</v>
      </c>
      <c r="H89" s="14">
        <v>100105</v>
      </c>
      <c r="I89" s="14">
        <v>40200</v>
      </c>
      <c r="J89" s="14">
        <v>30000</v>
      </c>
      <c r="K89" s="14">
        <v>20001</v>
      </c>
      <c r="L89" s="14">
        <v>20001</v>
      </c>
      <c r="M89" s="14">
        <v>20002</v>
      </c>
      <c r="P89" s="2" t="str">
        <f t="shared" si="1"/>
        <v>英雄之路</v>
      </c>
      <c r="Q89" s="1">
        <v>1073</v>
      </c>
      <c r="R89" s="1">
        <v>1</v>
      </c>
      <c r="S89" s="1">
        <v>73</v>
      </c>
      <c r="T89" s="1" t="str">
        <f t="shared" si="2"/>
        <v>【普通 8-3】  &lt;color=#c4b8aa&gt;英雄之路&lt;/color&gt;</v>
      </c>
    </row>
    <row r="90" spans="2:20" x14ac:dyDescent="0.15">
      <c r="B90" s="6">
        <v>110006</v>
      </c>
      <c r="C90" s="6" t="s">
        <v>169</v>
      </c>
      <c r="F90" s="12">
        <v>9</v>
      </c>
      <c r="G90" s="12">
        <v>88</v>
      </c>
      <c r="H90" s="14">
        <v>100205</v>
      </c>
      <c r="I90" s="14">
        <v>40200</v>
      </c>
      <c r="J90" s="14">
        <v>30000</v>
      </c>
      <c r="K90" s="14">
        <v>20001</v>
      </c>
      <c r="L90" s="14">
        <v>20001</v>
      </c>
      <c r="M90" s="14">
        <v>20002</v>
      </c>
      <c r="P90" s="2" t="str">
        <f t="shared" si="1"/>
        <v>潜行避战</v>
      </c>
      <c r="Q90" s="1">
        <v>1074</v>
      </c>
      <c r="R90" s="1">
        <v>1</v>
      </c>
      <c r="S90" s="1">
        <v>74</v>
      </c>
      <c r="T90" s="1" t="str">
        <f t="shared" si="2"/>
        <v>【普通 8-4】  &lt;color=#c4b8aa&gt;潜行避战&lt;/color&gt;</v>
      </c>
    </row>
    <row r="91" spans="2:20" x14ac:dyDescent="0.15">
      <c r="B91" s="6">
        <v>110007</v>
      </c>
      <c r="C91" s="6" t="s">
        <v>170</v>
      </c>
      <c r="F91" s="12">
        <v>9</v>
      </c>
      <c r="G91" s="12">
        <v>89</v>
      </c>
      <c r="H91" s="14">
        <v>100205</v>
      </c>
      <c r="I91" s="14">
        <v>40200</v>
      </c>
      <c r="J91" s="14">
        <v>30000</v>
      </c>
      <c r="K91" s="14">
        <v>20001</v>
      </c>
      <c r="L91" s="14">
        <v>20001</v>
      </c>
      <c r="M91" s="14">
        <v>20002</v>
      </c>
      <c r="P91" s="2" t="str">
        <f t="shared" si="1"/>
        <v>三头犬之死</v>
      </c>
      <c r="Q91" s="1">
        <v>1075</v>
      </c>
      <c r="R91" s="1">
        <v>1</v>
      </c>
      <c r="S91" s="1">
        <v>75</v>
      </c>
      <c r="T91" s="1" t="str">
        <f t="shared" si="2"/>
        <v>【普通 8-5】  &lt;color=#c4b8aa&gt;三头犬之死&lt;/color&gt;</v>
      </c>
    </row>
    <row r="92" spans="2:20" x14ac:dyDescent="0.15">
      <c r="B92" s="6">
        <v>110008</v>
      </c>
      <c r="C92" s="6" t="s">
        <v>171</v>
      </c>
      <c r="F92" s="12">
        <v>9</v>
      </c>
      <c r="G92" s="12">
        <v>90</v>
      </c>
      <c r="H92" s="14">
        <v>100205</v>
      </c>
      <c r="I92" s="14">
        <v>40200</v>
      </c>
      <c r="J92" s="14">
        <v>30000</v>
      </c>
      <c r="K92" s="14">
        <v>20001</v>
      </c>
      <c r="L92" s="14">
        <v>20001</v>
      </c>
      <c r="M92" s="14">
        <v>20002</v>
      </c>
      <c r="P92" s="2" t="str">
        <f t="shared" si="1"/>
        <v>大战伊始</v>
      </c>
      <c r="Q92" s="1">
        <v>1076</v>
      </c>
      <c r="R92" s="1">
        <v>1</v>
      </c>
      <c r="S92" s="1">
        <v>76</v>
      </c>
      <c r="T92" s="1" t="str">
        <f t="shared" si="2"/>
        <v>【普通 8-6】  &lt;color=#c4b8aa&gt;大战伊始&lt;/color&gt;</v>
      </c>
    </row>
    <row r="93" spans="2:20" x14ac:dyDescent="0.15">
      <c r="B93" s="6">
        <v>210001</v>
      </c>
      <c r="C93" s="6" t="s">
        <v>172</v>
      </c>
      <c r="F93" s="13">
        <v>10</v>
      </c>
      <c r="G93" s="13">
        <v>91</v>
      </c>
      <c r="H93" s="14">
        <v>100005</v>
      </c>
      <c r="I93" s="14">
        <v>40200</v>
      </c>
      <c r="J93" s="14">
        <v>30000</v>
      </c>
      <c r="K93" s="14">
        <v>20001</v>
      </c>
      <c r="L93" s="14">
        <v>20001</v>
      </c>
      <c r="M93" s="14">
        <v>20002</v>
      </c>
      <c r="P93" s="2" t="str">
        <f t="shared" si="1"/>
        <v>家园惊变</v>
      </c>
      <c r="Q93" s="1">
        <v>1077</v>
      </c>
      <c r="R93" s="1">
        <v>1</v>
      </c>
      <c r="S93" s="1">
        <v>77</v>
      </c>
      <c r="T93" s="1" t="str">
        <f t="shared" si="2"/>
        <v>【普通 8-7】  &lt;color=#c4b8aa&gt;家园惊变&lt;/color&gt;</v>
      </c>
    </row>
    <row r="94" spans="2:20" x14ac:dyDescent="0.15">
      <c r="B94" s="6">
        <v>210002</v>
      </c>
      <c r="C94" s="6" t="s">
        <v>173</v>
      </c>
      <c r="F94" s="13">
        <v>10</v>
      </c>
      <c r="G94" s="13">
        <v>92</v>
      </c>
      <c r="H94" s="14">
        <v>100005</v>
      </c>
      <c r="I94" s="14">
        <v>40200</v>
      </c>
      <c r="J94" s="14">
        <v>30000</v>
      </c>
      <c r="K94" s="14">
        <v>20001</v>
      </c>
      <c r="L94" s="14">
        <v>20001</v>
      </c>
      <c r="M94" s="14">
        <v>20002</v>
      </c>
      <c r="P94" s="2" t="str">
        <f t="shared" si="1"/>
        <v>疯狂的战神</v>
      </c>
      <c r="Q94" s="1">
        <v>1078</v>
      </c>
      <c r="R94" s="1">
        <v>1</v>
      </c>
      <c r="S94" s="1">
        <v>78</v>
      </c>
      <c r="T94" s="1" t="str">
        <f t="shared" si="2"/>
        <v>【普通 8-8】  &lt;color=#c4b8aa&gt;疯狂的战神&lt;/color&gt;</v>
      </c>
    </row>
    <row r="95" spans="2:20" x14ac:dyDescent="0.15">
      <c r="B95" s="6">
        <v>210003</v>
      </c>
      <c r="C95" s="6" t="s">
        <v>89</v>
      </c>
      <c r="F95" s="13">
        <v>10</v>
      </c>
      <c r="G95" s="13">
        <v>93</v>
      </c>
      <c r="H95" s="14">
        <v>100005</v>
      </c>
      <c r="I95" s="14">
        <v>40200</v>
      </c>
      <c r="J95" s="14">
        <v>30000</v>
      </c>
      <c r="K95" s="14">
        <v>20001</v>
      </c>
      <c r="L95" s="14">
        <v>20001</v>
      </c>
      <c r="M95" s="14">
        <v>20002</v>
      </c>
      <c r="P95" s="2" t="str">
        <f t="shared" si="1"/>
        <v>利比亚蝎王</v>
      </c>
      <c r="Q95" s="1">
        <v>1079</v>
      </c>
      <c r="R95" s="1">
        <v>1</v>
      </c>
      <c r="S95" s="1">
        <v>79</v>
      </c>
      <c r="T95" s="1" t="str">
        <f t="shared" si="2"/>
        <v>【普通 8-9】  &lt;color=#c4b8aa&gt;利比亚蝎王&lt;/color&gt;</v>
      </c>
    </row>
    <row r="96" spans="2:20" x14ac:dyDescent="0.15">
      <c r="B96" s="6">
        <v>210004</v>
      </c>
      <c r="C96" s="6" t="s">
        <v>174</v>
      </c>
      <c r="F96" s="13">
        <v>10</v>
      </c>
      <c r="G96" s="13">
        <v>94</v>
      </c>
      <c r="H96" s="14">
        <v>100005</v>
      </c>
      <c r="I96" s="14">
        <v>40200</v>
      </c>
      <c r="J96" s="14">
        <v>30000</v>
      </c>
      <c r="K96" s="14">
        <v>20001</v>
      </c>
      <c r="L96" s="14">
        <v>20001</v>
      </c>
      <c r="M96" s="14">
        <v>20002</v>
      </c>
      <c r="P96" s="2" t="str">
        <f t="shared" si="1"/>
        <v>斩蝎行动</v>
      </c>
      <c r="Q96" s="1">
        <v>1080</v>
      </c>
      <c r="R96" s="1">
        <v>1</v>
      </c>
      <c r="S96" s="1">
        <v>80</v>
      </c>
      <c r="T96" s="1" t="str">
        <f t="shared" si="2"/>
        <v>【普通 8-10】  &lt;color=#c4b8aa&gt;斩蝎行动&lt;/color&gt;</v>
      </c>
    </row>
    <row r="97" spans="2:20" x14ac:dyDescent="0.15">
      <c r="B97" s="6">
        <v>210005</v>
      </c>
      <c r="C97" s="6" t="s">
        <v>175</v>
      </c>
      <c r="F97" s="13">
        <v>10</v>
      </c>
      <c r="G97" s="13">
        <v>95</v>
      </c>
      <c r="H97" s="14">
        <v>100105</v>
      </c>
      <c r="I97" s="14">
        <v>40200</v>
      </c>
      <c r="J97" s="14">
        <v>30000</v>
      </c>
      <c r="K97" s="14">
        <v>20001</v>
      </c>
      <c r="L97" s="14">
        <v>20001</v>
      </c>
      <c r="M97" s="14">
        <v>20002</v>
      </c>
      <c r="P97" s="2" t="str">
        <f t="shared" si="1"/>
        <v>烽火余生</v>
      </c>
      <c r="Q97" s="1">
        <v>1081</v>
      </c>
      <c r="R97" s="1">
        <v>1</v>
      </c>
      <c r="S97" s="1">
        <v>81</v>
      </c>
      <c r="T97" s="1" t="str">
        <f t="shared" si="2"/>
        <v>【普通 9-1】  &lt;color=#c4b8aa&gt;烽火余生&lt;/color&gt;</v>
      </c>
    </row>
    <row r="98" spans="2:20" x14ac:dyDescent="0.15">
      <c r="B98" s="6">
        <v>210006</v>
      </c>
      <c r="C98" s="6" t="s">
        <v>176</v>
      </c>
      <c r="F98" s="13">
        <v>10</v>
      </c>
      <c r="G98" s="13">
        <v>96</v>
      </c>
      <c r="H98" s="14">
        <v>100105</v>
      </c>
      <c r="I98" s="14">
        <v>40200</v>
      </c>
      <c r="J98" s="14">
        <v>30000</v>
      </c>
      <c r="K98" s="14">
        <v>20001</v>
      </c>
      <c r="L98" s="14">
        <v>20001</v>
      </c>
      <c r="M98" s="14">
        <v>20002</v>
      </c>
      <c r="P98" s="2" t="str">
        <f t="shared" si="1"/>
        <v>城郊寻女</v>
      </c>
      <c r="Q98" s="1">
        <v>1082</v>
      </c>
      <c r="R98" s="1">
        <v>1</v>
      </c>
      <c r="S98" s="1">
        <v>82</v>
      </c>
      <c r="T98" s="1" t="str">
        <f t="shared" si="2"/>
        <v>【普通 9-2】  &lt;color=#c4b8aa&gt;城郊寻女&lt;/color&gt;</v>
      </c>
    </row>
    <row r="99" spans="2:20" x14ac:dyDescent="0.15">
      <c r="B99" s="6">
        <v>210007</v>
      </c>
      <c r="C99" s="6" t="s">
        <v>177</v>
      </c>
      <c r="F99" s="13">
        <v>10</v>
      </c>
      <c r="G99" s="13">
        <v>97</v>
      </c>
      <c r="H99" s="14">
        <v>100105</v>
      </c>
      <c r="I99" s="14">
        <v>40200</v>
      </c>
      <c r="J99" s="14">
        <v>30000</v>
      </c>
      <c r="K99" s="14">
        <v>20001</v>
      </c>
      <c r="L99" s="14">
        <v>20001</v>
      </c>
      <c r="M99" s="14">
        <v>20002</v>
      </c>
      <c r="P99" s="2" t="str">
        <f t="shared" si="1"/>
        <v>战神的指引</v>
      </c>
      <c r="Q99" s="1">
        <v>1083</v>
      </c>
      <c r="R99" s="1">
        <v>1</v>
      </c>
      <c r="S99" s="1">
        <v>83</v>
      </c>
      <c r="T99" s="1" t="str">
        <f t="shared" si="2"/>
        <v>【普通 9-3】  &lt;color=#c4b8aa&gt;战神的指引&lt;/color&gt;</v>
      </c>
    </row>
    <row r="100" spans="2:20" x14ac:dyDescent="0.15">
      <c r="B100" s="6">
        <v>210008</v>
      </c>
      <c r="C100" s="6" t="s">
        <v>178</v>
      </c>
      <c r="F100" s="13">
        <v>10</v>
      </c>
      <c r="G100" s="13">
        <v>98</v>
      </c>
      <c r="H100" s="14">
        <v>100205</v>
      </c>
      <c r="I100" s="14">
        <v>40200</v>
      </c>
      <c r="J100" s="14">
        <v>30000</v>
      </c>
      <c r="K100" s="14">
        <v>20001</v>
      </c>
      <c r="L100" s="14">
        <v>20001</v>
      </c>
      <c r="M100" s="14">
        <v>20002</v>
      </c>
      <c r="P100" s="2" t="str">
        <f t="shared" si="1"/>
        <v>温泉关之战</v>
      </c>
      <c r="Q100" s="1">
        <v>1084</v>
      </c>
      <c r="R100" s="1">
        <v>1</v>
      </c>
      <c r="S100" s="1">
        <v>84</v>
      </c>
      <c r="T100" s="1" t="str">
        <f t="shared" si="2"/>
        <v>【普通 9-4】  &lt;color=#c4b8aa&gt;温泉关之战&lt;/color&gt;</v>
      </c>
    </row>
    <row r="101" spans="2:20" x14ac:dyDescent="0.15">
      <c r="B101" s="6">
        <v>210009</v>
      </c>
      <c r="C101" s="6" t="s">
        <v>179</v>
      </c>
      <c r="F101" s="13">
        <v>10</v>
      </c>
      <c r="G101" s="13">
        <v>99</v>
      </c>
      <c r="H101" s="14">
        <v>100205</v>
      </c>
      <c r="I101" s="14">
        <v>40200</v>
      </c>
      <c r="J101" s="14">
        <v>30000</v>
      </c>
      <c r="K101" s="14">
        <v>20001</v>
      </c>
      <c r="L101" s="14">
        <v>20001</v>
      </c>
      <c r="M101" s="14">
        <v>20002</v>
      </c>
      <c r="P101" s="2" t="str">
        <f t="shared" si="1"/>
        <v>巨人的毁灭</v>
      </c>
      <c r="Q101" s="1">
        <v>1085</v>
      </c>
      <c r="R101" s="1">
        <v>1</v>
      </c>
      <c r="S101" s="1">
        <v>85</v>
      </c>
      <c r="T101" s="1" t="str">
        <f t="shared" si="2"/>
        <v>【普通 9-5】  &lt;color=#c4b8aa&gt;巨人的毁灭&lt;/color&gt;</v>
      </c>
    </row>
    <row r="102" spans="2:20" x14ac:dyDescent="0.15">
      <c r="B102" s="6">
        <v>210010</v>
      </c>
      <c r="C102" s="6" t="s">
        <v>180</v>
      </c>
      <c r="F102" s="13">
        <v>10</v>
      </c>
      <c r="G102" s="13">
        <v>100</v>
      </c>
      <c r="H102" s="14">
        <v>100205</v>
      </c>
      <c r="I102" s="14">
        <v>40200</v>
      </c>
      <c r="J102" s="14">
        <v>30000</v>
      </c>
      <c r="K102" s="14">
        <v>20001</v>
      </c>
      <c r="L102" s="14">
        <v>20001</v>
      </c>
      <c r="M102" s="14">
        <v>20002</v>
      </c>
      <c r="P102" s="2" t="str">
        <f t="shared" si="1"/>
        <v>战争余烬</v>
      </c>
      <c r="Q102" s="1">
        <v>1086</v>
      </c>
      <c r="R102" s="1">
        <v>1</v>
      </c>
      <c r="S102" s="1">
        <v>86</v>
      </c>
      <c r="T102" s="1" t="str">
        <f t="shared" si="2"/>
        <v>【普通 9-6】  &lt;color=#c4b8aa&gt;战争余烬&lt;/color&gt;</v>
      </c>
    </row>
    <row r="103" spans="2:20" x14ac:dyDescent="0.15">
      <c r="B103" s="6">
        <v>210011</v>
      </c>
      <c r="C103" s="6" t="s">
        <v>181</v>
      </c>
      <c r="F103" s="8">
        <v>11</v>
      </c>
      <c r="G103" s="8">
        <v>101</v>
      </c>
      <c r="H103" s="14">
        <v>100006</v>
      </c>
      <c r="I103" s="14">
        <v>40200</v>
      </c>
      <c r="J103" s="14">
        <v>30000</v>
      </c>
      <c r="K103" s="14">
        <v>20001</v>
      </c>
      <c r="L103" s="14">
        <v>20001</v>
      </c>
      <c r="M103" s="14">
        <v>20002</v>
      </c>
      <c r="P103" s="2" t="str">
        <f t="shared" si="1"/>
        <v>名王东逃</v>
      </c>
      <c r="Q103" s="1">
        <v>1087</v>
      </c>
      <c r="R103" s="1">
        <v>1</v>
      </c>
      <c r="S103" s="1">
        <v>87</v>
      </c>
      <c r="T103" s="1" t="str">
        <f t="shared" si="2"/>
        <v>【普通 9-7】  &lt;color=#c4b8aa&gt;名王东逃&lt;/color&gt;</v>
      </c>
    </row>
    <row r="104" spans="2:20" x14ac:dyDescent="0.15">
      <c r="B104" s="6">
        <v>210012</v>
      </c>
      <c r="C104" s="6" t="s">
        <v>182</v>
      </c>
      <c r="F104" s="8">
        <v>11</v>
      </c>
      <c r="G104" s="8">
        <v>102</v>
      </c>
      <c r="H104" s="14">
        <v>100006</v>
      </c>
      <c r="I104" s="14">
        <v>40200</v>
      </c>
      <c r="J104" s="14">
        <v>30000</v>
      </c>
      <c r="K104" s="14">
        <v>20001</v>
      </c>
      <c r="L104" s="14">
        <v>20001</v>
      </c>
      <c r="M104" s="14">
        <v>20002</v>
      </c>
      <c r="P104" s="2" t="str">
        <f t="shared" si="1"/>
        <v>重赏之下</v>
      </c>
      <c r="Q104" s="1">
        <v>1088</v>
      </c>
      <c r="R104" s="1">
        <v>1</v>
      </c>
      <c r="S104" s="1">
        <v>88</v>
      </c>
      <c r="T104" s="1" t="str">
        <f t="shared" si="2"/>
        <v>【普通 9-8】  &lt;color=#c4b8aa&gt;重赏之下&lt;/color&gt;</v>
      </c>
    </row>
    <row r="105" spans="2:20" x14ac:dyDescent="0.15">
      <c r="B105" s="6">
        <v>210013</v>
      </c>
      <c r="C105" s="6" t="s">
        <v>183</v>
      </c>
      <c r="F105" s="8">
        <v>11</v>
      </c>
      <c r="G105" s="8">
        <v>103</v>
      </c>
      <c r="H105" s="14">
        <v>100006</v>
      </c>
      <c r="I105" s="14">
        <v>40200</v>
      </c>
      <c r="J105" s="14">
        <v>30000</v>
      </c>
      <c r="K105" s="14">
        <v>20001</v>
      </c>
      <c r="L105" s="14">
        <v>20001</v>
      </c>
      <c r="M105" s="14">
        <v>20002</v>
      </c>
      <c r="P105" s="2" t="str">
        <f t="shared" si="1"/>
        <v>千里穷追</v>
      </c>
      <c r="Q105" s="1">
        <v>1089</v>
      </c>
      <c r="R105" s="1">
        <v>1</v>
      </c>
      <c r="S105" s="1">
        <v>89</v>
      </c>
      <c r="T105" s="1" t="str">
        <f t="shared" si="2"/>
        <v>【普通 9-9】  &lt;color=#c4b8aa&gt;千里穷追&lt;/color&gt;</v>
      </c>
    </row>
    <row r="106" spans="2:20" x14ac:dyDescent="0.15">
      <c r="B106" s="6">
        <v>210014</v>
      </c>
      <c r="C106" s="6" t="s">
        <v>184</v>
      </c>
      <c r="F106" s="8">
        <v>11</v>
      </c>
      <c r="G106" s="8">
        <v>104</v>
      </c>
      <c r="H106" s="14">
        <v>100006</v>
      </c>
      <c r="I106" s="14">
        <v>40200</v>
      </c>
      <c r="J106" s="14">
        <v>30000</v>
      </c>
      <c r="K106" s="14">
        <v>20001</v>
      </c>
      <c r="L106" s="14">
        <v>20001</v>
      </c>
      <c r="M106" s="14">
        <v>20002</v>
      </c>
      <c r="P106" s="2" t="str">
        <f t="shared" si="1"/>
        <v>波斯王之殒</v>
      </c>
      <c r="Q106" s="1">
        <v>1090</v>
      </c>
      <c r="R106" s="1">
        <v>1</v>
      </c>
      <c r="S106" s="1">
        <v>90</v>
      </c>
      <c r="T106" s="1" t="str">
        <f t="shared" si="2"/>
        <v>【普通 9-10】  &lt;color=#c4b8aa&gt;波斯王之殒&lt;/color&gt;</v>
      </c>
    </row>
    <row r="107" spans="2:20" x14ac:dyDescent="0.15">
      <c r="F107" s="8">
        <v>11</v>
      </c>
      <c r="G107" s="8">
        <v>105</v>
      </c>
      <c r="H107" s="14">
        <v>100106</v>
      </c>
      <c r="I107" s="14">
        <v>40200</v>
      </c>
      <c r="J107" s="14">
        <v>30000</v>
      </c>
      <c r="K107" s="14">
        <v>20001</v>
      </c>
      <c r="L107" s="14">
        <v>20001</v>
      </c>
      <c r="M107" s="14">
        <v>20002</v>
      </c>
      <c r="P107" s="2" t="str">
        <f t="shared" ref="P107:P170" si="3">P82</f>
        <v>异端之国</v>
      </c>
      <c r="Q107" s="1">
        <v>1091</v>
      </c>
      <c r="R107" s="1">
        <v>1</v>
      </c>
      <c r="S107" s="1">
        <v>91</v>
      </c>
      <c r="T107" s="1" t="str">
        <f t="shared" si="2"/>
        <v>【普通 10-1】  &lt;color=#c4b8aa&gt;异端之国&lt;/color&gt;</v>
      </c>
    </row>
    <row r="108" spans="2:20" x14ac:dyDescent="0.15">
      <c r="F108" s="8">
        <v>11</v>
      </c>
      <c r="G108" s="8">
        <v>106</v>
      </c>
      <c r="H108" s="14">
        <v>100106</v>
      </c>
      <c r="I108" s="14">
        <v>40200</v>
      </c>
      <c r="J108" s="14">
        <v>30000</v>
      </c>
      <c r="K108" s="14">
        <v>20001</v>
      </c>
      <c r="L108" s="14">
        <v>20001</v>
      </c>
      <c r="M108" s="14">
        <v>20002</v>
      </c>
      <c r="P108" s="2" t="str">
        <f t="shared" si="3"/>
        <v>色雷斯之灾</v>
      </c>
      <c r="Q108" s="1">
        <v>1092</v>
      </c>
      <c r="R108" s="1">
        <v>1</v>
      </c>
      <c r="S108" s="1">
        <v>92</v>
      </c>
      <c r="T108" s="1" t="str">
        <f t="shared" si="2"/>
        <v>【普通 10-2】  &lt;color=#c4b8aa&gt;色雷斯之灾&lt;/color&gt;</v>
      </c>
    </row>
    <row r="109" spans="2:20" x14ac:dyDescent="0.15">
      <c r="F109" s="8">
        <v>11</v>
      </c>
      <c r="G109" s="8">
        <v>107</v>
      </c>
      <c r="H109" s="14">
        <v>100106</v>
      </c>
      <c r="I109" s="14">
        <v>40200</v>
      </c>
      <c r="J109" s="14">
        <v>30000</v>
      </c>
      <c r="K109" s="14">
        <v>20001</v>
      </c>
      <c r="L109" s="14">
        <v>20001</v>
      </c>
      <c r="M109" s="14">
        <v>20002</v>
      </c>
      <c r="P109" s="2" t="str">
        <f t="shared" si="3"/>
        <v>铸成大错</v>
      </c>
      <c r="Q109" s="1">
        <v>1093</v>
      </c>
      <c r="R109" s="1">
        <v>1</v>
      </c>
      <c r="S109" s="1">
        <v>93</v>
      </c>
      <c r="T109" s="1" t="str">
        <f t="shared" si="2"/>
        <v>【普通 10-3】  &lt;color=#c4b8aa&gt;铸成大错&lt;/color&gt;</v>
      </c>
    </row>
    <row r="110" spans="2:20" x14ac:dyDescent="0.15">
      <c r="F110" s="8">
        <v>11</v>
      </c>
      <c r="G110" s="8">
        <v>108</v>
      </c>
      <c r="H110" s="14">
        <v>100206</v>
      </c>
      <c r="I110" s="14">
        <v>40200</v>
      </c>
      <c r="J110" s="14">
        <v>30000</v>
      </c>
      <c r="K110" s="14">
        <v>20001</v>
      </c>
      <c r="L110" s="14">
        <v>20001</v>
      </c>
      <c r="M110" s="14">
        <v>20002</v>
      </c>
      <c r="P110" s="2" t="str">
        <f t="shared" si="3"/>
        <v>破誓者之志</v>
      </c>
      <c r="Q110" s="1">
        <v>1094</v>
      </c>
      <c r="R110" s="1">
        <v>1</v>
      </c>
      <c r="S110" s="1">
        <v>94</v>
      </c>
      <c r="T110" s="1" t="str">
        <f t="shared" si="2"/>
        <v>【普通 10-4】  &lt;color=#c4b8aa&gt;破誓者之志&lt;/color&gt;</v>
      </c>
    </row>
    <row r="111" spans="2:20" x14ac:dyDescent="0.15">
      <c r="F111" s="8">
        <v>11</v>
      </c>
      <c r="G111" s="8">
        <v>109</v>
      </c>
      <c r="H111" s="14">
        <v>100206</v>
      </c>
      <c r="I111" s="14">
        <v>40200</v>
      </c>
      <c r="J111" s="14">
        <v>30000</v>
      </c>
      <c r="K111" s="14">
        <v>20001</v>
      </c>
      <c r="L111" s="14">
        <v>20001</v>
      </c>
      <c r="M111" s="14">
        <v>20002</v>
      </c>
      <c r="P111" s="2" t="str">
        <f t="shared" si="3"/>
        <v>复仇女神</v>
      </c>
      <c r="Q111" s="1">
        <v>1095</v>
      </c>
      <c r="R111" s="1">
        <v>1</v>
      </c>
      <c r="S111" s="1">
        <v>95</v>
      </c>
      <c r="T111" s="1" t="str">
        <f t="shared" si="2"/>
        <v>【普通 10-5】  &lt;color=#c4b8aa&gt;复仇女神&lt;/color&gt;</v>
      </c>
    </row>
    <row r="112" spans="2:20" x14ac:dyDescent="0.15">
      <c r="F112" s="8">
        <v>11</v>
      </c>
      <c r="G112" s="8">
        <v>110</v>
      </c>
      <c r="H112" s="14">
        <v>100206</v>
      </c>
      <c r="I112" s="14">
        <v>40200</v>
      </c>
      <c r="J112" s="14">
        <v>30000</v>
      </c>
      <c r="K112" s="14">
        <v>20001</v>
      </c>
      <c r="L112" s="14">
        <v>20001</v>
      </c>
      <c r="M112" s="14">
        <v>20002</v>
      </c>
      <c r="P112" s="2" t="str">
        <f t="shared" si="3"/>
        <v>异变突生</v>
      </c>
      <c r="Q112" s="1">
        <v>1096</v>
      </c>
      <c r="R112" s="1">
        <v>1</v>
      </c>
      <c r="S112" s="1">
        <v>96</v>
      </c>
      <c r="T112" s="1" t="str">
        <f t="shared" si="2"/>
        <v>【普通 10-6】  &lt;color=#c4b8aa&gt;异变突生&lt;/color&gt;</v>
      </c>
    </row>
    <row r="113" spans="6:20" x14ac:dyDescent="0.15">
      <c r="F113" s="9">
        <v>12</v>
      </c>
      <c r="G113" s="9">
        <v>111</v>
      </c>
      <c r="H113" s="14">
        <v>100006</v>
      </c>
      <c r="I113" s="14">
        <v>40200</v>
      </c>
      <c r="J113" s="14">
        <v>30000</v>
      </c>
      <c r="K113" s="14">
        <v>20001</v>
      </c>
      <c r="L113" s="14">
        <v>20001</v>
      </c>
      <c r="M113" s="14">
        <v>20002</v>
      </c>
      <c r="P113" s="2" t="str">
        <f t="shared" si="3"/>
        <v>莱山德归国</v>
      </c>
      <c r="Q113" s="1">
        <v>1097</v>
      </c>
      <c r="R113" s="1">
        <v>1</v>
      </c>
      <c r="S113" s="1">
        <v>97</v>
      </c>
      <c r="T113" s="1" t="str">
        <f t="shared" si="2"/>
        <v>【普通 10-7】  &lt;color=#c4b8aa&gt;莱山德归国&lt;/color&gt;</v>
      </c>
    </row>
    <row r="114" spans="6:20" x14ac:dyDescent="0.15">
      <c r="F114" s="10">
        <v>12</v>
      </c>
      <c r="G114" s="10">
        <v>112</v>
      </c>
      <c r="H114" s="14">
        <v>100006</v>
      </c>
      <c r="I114" s="14">
        <v>40200</v>
      </c>
      <c r="J114" s="14">
        <v>30000</v>
      </c>
      <c r="K114" s="14">
        <v>20001</v>
      </c>
      <c r="L114" s="14">
        <v>20001</v>
      </c>
      <c r="M114" s="14">
        <v>20002</v>
      </c>
      <c r="P114" s="2" t="str">
        <f t="shared" si="3"/>
        <v>英雄之路</v>
      </c>
      <c r="Q114" s="1">
        <v>1098</v>
      </c>
      <c r="R114" s="1">
        <v>1</v>
      </c>
      <c r="S114" s="1">
        <v>98</v>
      </c>
      <c r="T114" s="1" t="str">
        <f t="shared" si="2"/>
        <v>【普通 10-8】  &lt;color=#c4b8aa&gt;英雄之路&lt;/color&gt;</v>
      </c>
    </row>
    <row r="115" spans="6:20" x14ac:dyDescent="0.15">
      <c r="F115" s="10">
        <v>12</v>
      </c>
      <c r="G115" s="10">
        <v>113</v>
      </c>
      <c r="H115" s="14">
        <v>100006</v>
      </c>
      <c r="I115" s="14">
        <v>40200</v>
      </c>
      <c r="J115" s="14">
        <v>30000</v>
      </c>
      <c r="K115" s="14">
        <v>20001</v>
      </c>
      <c r="L115" s="14">
        <v>20001</v>
      </c>
      <c r="M115" s="14">
        <v>20002</v>
      </c>
      <c r="P115" s="2" t="str">
        <f t="shared" si="3"/>
        <v>潜行避战</v>
      </c>
      <c r="Q115" s="1">
        <v>1099</v>
      </c>
      <c r="R115" s="1">
        <v>1</v>
      </c>
      <c r="S115" s="1">
        <v>99</v>
      </c>
      <c r="T115" s="1" t="str">
        <f t="shared" si="2"/>
        <v>【普通 10-9】  &lt;color=#c4b8aa&gt;潜行避战&lt;/color&gt;</v>
      </c>
    </row>
    <row r="116" spans="6:20" x14ac:dyDescent="0.15">
      <c r="F116" s="10">
        <v>12</v>
      </c>
      <c r="G116" s="10">
        <v>114</v>
      </c>
      <c r="H116" s="14">
        <v>100006</v>
      </c>
      <c r="I116" s="14">
        <v>40200</v>
      </c>
      <c r="J116" s="14">
        <v>30000</v>
      </c>
      <c r="K116" s="14">
        <v>20001</v>
      </c>
      <c r="L116" s="14">
        <v>20001</v>
      </c>
      <c r="M116" s="14">
        <v>20002</v>
      </c>
      <c r="P116" s="2" t="str">
        <f t="shared" si="3"/>
        <v>三头犬之死</v>
      </c>
      <c r="Q116" s="1">
        <v>1100</v>
      </c>
      <c r="R116" s="1">
        <v>1</v>
      </c>
      <c r="S116" s="1">
        <v>100</v>
      </c>
      <c r="T116" s="1" t="str">
        <f t="shared" si="2"/>
        <v>【普通 10-10】  &lt;color=#c4b8aa&gt;三头犬之死&lt;/color&gt;</v>
      </c>
    </row>
    <row r="117" spans="6:20" x14ac:dyDescent="0.15">
      <c r="F117" s="10">
        <v>12</v>
      </c>
      <c r="G117" s="10">
        <v>115</v>
      </c>
      <c r="H117" s="14">
        <v>100106</v>
      </c>
      <c r="I117" s="14">
        <v>40200</v>
      </c>
      <c r="J117" s="14">
        <v>30000</v>
      </c>
      <c r="K117" s="14">
        <v>20001</v>
      </c>
      <c r="L117" s="14">
        <v>20001</v>
      </c>
      <c r="M117" s="14">
        <v>20002</v>
      </c>
      <c r="P117" s="2" t="str">
        <f t="shared" si="3"/>
        <v>大战伊始</v>
      </c>
      <c r="Q117" s="1">
        <v>1101</v>
      </c>
      <c r="R117" s="1">
        <v>1</v>
      </c>
      <c r="S117" s="1">
        <v>101</v>
      </c>
      <c r="T117" s="1" t="str">
        <f t="shared" si="2"/>
        <v>【普通 11-1】  &lt;color=#c4b8aa&gt;大战伊始&lt;/color&gt;</v>
      </c>
    </row>
    <row r="118" spans="6:20" x14ac:dyDescent="0.15">
      <c r="F118" s="10">
        <v>12</v>
      </c>
      <c r="G118" s="10">
        <v>116</v>
      </c>
      <c r="H118" s="14">
        <v>100106</v>
      </c>
      <c r="I118" s="14">
        <v>40200</v>
      </c>
      <c r="J118" s="14">
        <v>30000</v>
      </c>
      <c r="K118" s="14">
        <v>20001</v>
      </c>
      <c r="L118" s="14">
        <v>20001</v>
      </c>
      <c r="M118" s="14">
        <v>20002</v>
      </c>
      <c r="P118" s="2" t="str">
        <f t="shared" si="3"/>
        <v>家园惊变</v>
      </c>
      <c r="Q118" s="1">
        <v>1102</v>
      </c>
      <c r="R118" s="1">
        <v>1</v>
      </c>
      <c r="S118" s="1">
        <v>102</v>
      </c>
      <c r="T118" s="1" t="str">
        <f t="shared" si="2"/>
        <v>【普通 11-2】  &lt;color=#c4b8aa&gt;家园惊变&lt;/color&gt;</v>
      </c>
    </row>
    <row r="119" spans="6:20" x14ac:dyDescent="0.15">
      <c r="F119" s="10">
        <v>12</v>
      </c>
      <c r="G119" s="10">
        <v>117</v>
      </c>
      <c r="H119" s="14">
        <v>100106</v>
      </c>
      <c r="I119" s="14">
        <v>40200</v>
      </c>
      <c r="J119" s="14">
        <v>30000</v>
      </c>
      <c r="K119" s="14">
        <v>20001</v>
      </c>
      <c r="L119" s="14">
        <v>20001</v>
      </c>
      <c r="M119" s="14">
        <v>20002</v>
      </c>
      <c r="P119" s="2" t="str">
        <f t="shared" si="3"/>
        <v>疯狂的战神</v>
      </c>
      <c r="Q119" s="1">
        <v>1103</v>
      </c>
      <c r="R119" s="1">
        <v>1</v>
      </c>
      <c r="S119" s="1">
        <v>103</v>
      </c>
      <c r="T119" s="1" t="str">
        <f t="shared" si="2"/>
        <v>【普通 11-3】  &lt;color=#c4b8aa&gt;疯狂的战神&lt;/color&gt;</v>
      </c>
    </row>
    <row r="120" spans="6:20" x14ac:dyDescent="0.15">
      <c r="F120" s="10">
        <v>12</v>
      </c>
      <c r="G120" s="10">
        <v>118</v>
      </c>
      <c r="H120" s="14">
        <v>100206</v>
      </c>
      <c r="I120" s="14">
        <v>40200</v>
      </c>
      <c r="J120" s="14">
        <v>30000</v>
      </c>
      <c r="K120" s="14">
        <v>20001</v>
      </c>
      <c r="L120" s="14">
        <v>20001</v>
      </c>
      <c r="M120" s="14">
        <v>20002</v>
      </c>
      <c r="P120" s="2" t="str">
        <f t="shared" si="3"/>
        <v>利比亚蝎王</v>
      </c>
      <c r="Q120" s="1">
        <v>1104</v>
      </c>
      <c r="R120" s="1">
        <v>1</v>
      </c>
      <c r="S120" s="1">
        <v>104</v>
      </c>
      <c r="T120" s="1" t="str">
        <f t="shared" si="2"/>
        <v>【普通 11-4】  &lt;color=#c4b8aa&gt;利比亚蝎王&lt;/color&gt;</v>
      </c>
    </row>
    <row r="121" spans="6:20" x14ac:dyDescent="0.15">
      <c r="F121" s="10">
        <v>12</v>
      </c>
      <c r="G121" s="10">
        <v>119</v>
      </c>
      <c r="H121" s="14">
        <v>100206</v>
      </c>
      <c r="I121" s="14">
        <v>40200</v>
      </c>
      <c r="J121" s="14">
        <v>30000</v>
      </c>
      <c r="K121" s="14">
        <v>20001</v>
      </c>
      <c r="L121" s="14">
        <v>20001</v>
      </c>
      <c r="M121" s="14">
        <v>20002</v>
      </c>
      <c r="P121" s="2" t="str">
        <f t="shared" si="3"/>
        <v>斩蝎行动</v>
      </c>
      <c r="Q121" s="1">
        <v>1105</v>
      </c>
      <c r="R121" s="1">
        <v>1</v>
      </c>
      <c r="S121" s="1">
        <v>105</v>
      </c>
      <c r="T121" s="1" t="str">
        <f t="shared" si="2"/>
        <v>【普通 11-5】  &lt;color=#c4b8aa&gt;斩蝎行动&lt;/color&gt;</v>
      </c>
    </row>
    <row r="122" spans="6:20" x14ac:dyDescent="0.15">
      <c r="F122" s="10">
        <v>12</v>
      </c>
      <c r="G122" s="10">
        <v>120</v>
      </c>
      <c r="H122" s="14">
        <v>100206</v>
      </c>
      <c r="I122" s="14">
        <v>40200</v>
      </c>
      <c r="J122" s="14">
        <v>30000</v>
      </c>
      <c r="K122" s="14">
        <v>20001</v>
      </c>
      <c r="L122" s="14">
        <v>20001</v>
      </c>
      <c r="M122" s="14">
        <v>20002</v>
      </c>
      <c r="P122" s="2" t="str">
        <f t="shared" si="3"/>
        <v>烽火余生</v>
      </c>
      <c r="Q122" s="1">
        <v>1106</v>
      </c>
      <c r="R122" s="1">
        <v>1</v>
      </c>
      <c r="S122" s="1">
        <v>106</v>
      </c>
      <c r="T122" s="1" t="str">
        <f t="shared" si="2"/>
        <v>【普通 11-6】  &lt;color=#c4b8aa&gt;烽火余生&lt;/color&gt;</v>
      </c>
    </row>
    <row r="123" spans="6:20" x14ac:dyDescent="0.15">
      <c r="F123" s="11">
        <v>13</v>
      </c>
      <c r="G123" s="11">
        <v>121</v>
      </c>
      <c r="H123" s="14">
        <v>100007</v>
      </c>
      <c r="I123" s="14">
        <v>40200</v>
      </c>
      <c r="J123" s="14">
        <v>30000</v>
      </c>
      <c r="K123" s="14">
        <v>20001</v>
      </c>
      <c r="L123" s="14">
        <v>20001</v>
      </c>
      <c r="M123" s="14">
        <v>20002</v>
      </c>
      <c r="P123" s="2" t="str">
        <f t="shared" si="3"/>
        <v>城郊寻女</v>
      </c>
      <c r="Q123" s="1">
        <v>1107</v>
      </c>
      <c r="R123" s="1">
        <v>1</v>
      </c>
      <c r="S123" s="1">
        <v>107</v>
      </c>
      <c r="T123" s="1" t="str">
        <f t="shared" si="2"/>
        <v>【普通 11-7】  &lt;color=#c4b8aa&gt;城郊寻女&lt;/color&gt;</v>
      </c>
    </row>
    <row r="124" spans="6:20" x14ac:dyDescent="0.15">
      <c r="F124" s="11">
        <v>13</v>
      </c>
      <c r="G124" s="11">
        <v>122</v>
      </c>
      <c r="H124" s="14">
        <v>100007</v>
      </c>
      <c r="I124" s="14">
        <v>40200</v>
      </c>
      <c r="J124" s="14">
        <v>30000</v>
      </c>
      <c r="K124" s="14">
        <v>20001</v>
      </c>
      <c r="L124" s="14">
        <v>20001</v>
      </c>
      <c r="M124" s="14">
        <v>20002</v>
      </c>
      <c r="P124" s="2" t="str">
        <f t="shared" si="3"/>
        <v>战神的指引</v>
      </c>
      <c r="Q124" s="1">
        <v>1108</v>
      </c>
      <c r="R124" s="1">
        <v>1</v>
      </c>
      <c r="S124" s="1">
        <v>108</v>
      </c>
      <c r="T124" s="1" t="str">
        <f t="shared" si="2"/>
        <v>【普通 11-8】  &lt;color=#c4b8aa&gt;战神的指引&lt;/color&gt;</v>
      </c>
    </row>
    <row r="125" spans="6:20" x14ac:dyDescent="0.15">
      <c r="F125" s="11">
        <v>13</v>
      </c>
      <c r="G125" s="11">
        <v>123</v>
      </c>
      <c r="H125" s="14">
        <v>100007</v>
      </c>
      <c r="I125" s="14">
        <v>40200</v>
      </c>
      <c r="J125" s="14">
        <v>30000</v>
      </c>
      <c r="K125" s="14">
        <v>20001</v>
      </c>
      <c r="L125" s="14">
        <v>20001</v>
      </c>
      <c r="M125" s="14">
        <v>20002</v>
      </c>
      <c r="P125" s="2" t="str">
        <f t="shared" si="3"/>
        <v>温泉关之战</v>
      </c>
      <c r="Q125" s="1">
        <v>1109</v>
      </c>
      <c r="R125" s="1">
        <v>1</v>
      </c>
      <c r="S125" s="1">
        <v>109</v>
      </c>
      <c r="T125" s="1" t="str">
        <f t="shared" si="2"/>
        <v>【普通 11-9】  &lt;color=#c4b8aa&gt;温泉关之战&lt;/color&gt;</v>
      </c>
    </row>
    <row r="126" spans="6:20" x14ac:dyDescent="0.15">
      <c r="F126" s="11">
        <v>13</v>
      </c>
      <c r="G126" s="11">
        <v>124</v>
      </c>
      <c r="H126" s="14">
        <v>100007</v>
      </c>
      <c r="I126" s="14">
        <v>40200</v>
      </c>
      <c r="J126" s="14">
        <v>30000</v>
      </c>
      <c r="K126" s="14">
        <v>20001</v>
      </c>
      <c r="L126" s="14">
        <v>20001</v>
      </c>
      <c r="M126" s="14">
        <v>20002</v>
      </c>
      <c r="P126" s="2" t="str">
        <f t="shared" si="3"/>
        <v>巨人的毁灭</v>
      </c>
      <c r="Q126" s="1">
        <v>1110</v>
      </c>
      <c r="R126" s="1">
        <v>1</v>
      </c>
      <c r="S126" s="1">
        <v>110</v>
      </c>
      <c r="T126" s="1" t="str">
        <f t="shared" si="2"/>
        <v>【普通 11-10】  &lt;color=#c4b8aa&gt;巨人的毁灭&lt;/color&gt;</v>
      </c>
    </row>
    <row r="127" spans="6:20" x14ac:dyDescent="0.15">
      <c r="F127" s="11">
        <v>13</v>
      </c>
      <c r="G127" s="11">
        <v>125</v>
      </c>
      <c r="H127" s="14">
        <v>100107</v>
      </c>
      <c r="I127" s="14">
        <v>40200</v>
      </c>
      <c r="J127" s="14">
        <v>30000</v>
      </c>
      <c r="K127" s="14">
        <v>20001</v>
      </c>
      <c r="L127" s="14">
        <v>20001</v>
      </c>
      <c r="M127" s="14">
        <v>20002</v>
      </c>
      <c r="P127" s="2" t="str">
        <f t="shared" si="3"/>
        <v>战争余烬</v>
      </c>
      <c r="Q127" s="1">
        <v>1111</v>
      </c>
      <c r="R127" s="1">
        <v>1</v>
      </c>
      <c r="S127" s="1">
        <v>111</v>
      </c>
      <c r="T127" s="1" t="str">
        <f t="shared" si="2"/>
        <v>【普通 12-1】  &lt;color=#c4b8aa&gt;战争余烬&lt;/color&gt;</v>
      </c>
    </row>
    <row r="128" spans="6:20" x14ac:dyDescent="0.15">
      <c r="F128" s="11">
        <v>13</v>
      </c>
      <c r="G128" s="11">
        <v>126</v>
      </c>
      <c r="H128" s="14">
        <v>100107</v>
      </c>
      <c r="I128" s="14">
        <v>40200</v>
      </c>
      <c r="J128" s="14">
        <v>30000</v>
      </c>
      <c r="K128" s="14">
        <v>20001</v>
      </c>
      <c r="L128" s="14">
        <v>20001</v>
      </c>
      <c r="M128" s="14">
        <v>20002</v>
      </c>
      <c r="P128" s="2" t="str">
        <f t="shared" si="3"/>
        <v>名王东逃</v>
      </c>
      <c r="Q128" s="1">
        <v>1112</v>
      </c>
      <c r="R128" s="1">
        <v>1</v>
      </c>
      <c r="S128" s="1">
        <v>112</v>
      </c>
      <c r="T128" s="1" t="str">
        <f t="shared" si="2"/>
        <v>【普通 12-2】  &lt;color=#c4b8aa&gt;名王东逃&lt;/color&gt;</v>
      </c>
    </row>
    <row r="129" spans="6:20" x14ac:dyDescent="0.15">
      <c r="F129" s="11">
        <v>13</v>
      </c>
      <c r="G129" s="11">
        <v>127</v>
      </c>
      <c r="H129" s="14">
        <v>100107</v>
      </c>
      <c r="I129" s="14">
        <v>40200</v>
      </c>
      <c r="J129" s="14">
        <v>30000</v>
      </c>
      <c r="K129" s="14">
        <v>20001</v>
      </c>
      <c r="L129" s="14">
        <v>20001</v>
      </c>
      <c r="M129" s="14">
        <v>20002</v>
      </c>
      <c r="P129" s="2" t="str">
        <f t="shared" si="3"/>
        <v>重赏之下</v>
      </c>
      <c r="Q129" s="1">
        <v>1113</v>
      </c>
      <c r="R129" s="1">
        <v>1</v>
      </c>
      <c r="S129" s="1">
        <v>113</v>
      </c>
      <c r="T129" s="1" t="str">
        <f t="shared" si="2"/>
        <v>【普通 12-3】  &lt;color=#c4b8aa&gt;重赏之下&lt;/color&gt;</v>
      </c>
    </row>
    <row r="130" spans="6:20" x14ac:dyDescent="0.15">
      <c r="F130" s="11">
        <v>13</v>
      </c>
      <c r="G130" s="11">
        <v>128</v>
      </c>
      <c r="H130" s="14">
        <v>100207</v>
      </c>
      <c r="I130" s="14">
        <v>40200</v>
      </c>
      <c r="J130" s="14">
        <v>30000</v>
      </c>
      <c r="K130" s="14">
        <v>20001</v>
      </c>
      <c r="L130" s="14">
        <v>20001</v>
      </c>
      <c r="M130" s="14">
        <v>20002</v>
      </c>
      <c r="P130" s="2" t="str">
        <f t="shared" si="3"/>
        <v>千里穷追</v>
      </c>
      <c r="Q130" s="1">
        <v>1114</v>
      </c>
      <c r="R130" s="1">
        <v>1</v>
      </c>
      <c r="S130" s="1">
        <v>114</v>
      </c>
      <c r="T130" s="1" t="str">
        <f t="shared" si="2"/>
        <v>【普通 12-4】  &lt;color=#c4b8aa&gt;千里穷追&lt;/color&gt;</v>
      </c>
    </row>
    <row r="131" spans="6:20" x14ac:dyDescent="0.15">
      <c r="F131" s="11">
        <v>13</v>
      </c>
      <c r="G131" s="11">
        <v>129</v>
      </c>
      <c r="H131" s="14">
        <v>100207</v>
      </c>
      <c r="I131" s="14">
        <v>40200</v>
      </c>
      <c r="J131" s="14">
        <v>30000</v>
      </c>
      <c r="K131" s="14">
        <v>20001</v>
      </c>
      <c r="L131" s="14">
        <v>20001</v>
      </c>
      <c r="M131" s="14">
        <v>20002</v>
      </c>
      <c r="P131" s="2" t="str">
        <f t="shared" si="3"/>
        <v>波斯王之殒</v>
      </c>
      <c r="Q131" s="1">
        <v>1115</v>
      </c>
      <c r="R131" s="1">
        <v>1</v>
      </c>
      <c r="S131" s="1">
        <v>115</v>
      </c>
      <c r="T131" s="1" t="str">
        <f t="shared" si="2"/>
        <v>【普通 12-5】  &lt;color=#c4b8aa&gt;波斯王之殒&lt;/color&gt;</v>
      </c>
    </row>
    <row r="132" spans="6:20" x14ac:dyDescent="0.15">
      <c r="F132" s="11">
        <v>13</v>
      </c>
      <c r="G132" s="11">
        <v>130</v>
      </c>
      <c r="H132" s="14">
        <v>100207</v>
      </c>
      <c r="I132" s="14">
        <v>40200</v>
      </c>
      <c r="J132" s="14">
        <v>30000</v>
      </c>
      <c r="K132" s="14">
        <v>20001</v>
      </c>
      <c r="L132" s="14">
        <v>20001</v>
      </c>
      <c r="M132" s="14">
        <v>20002</v>
      </c>
      <c r="P132" s="2" t="str">
        <f t="shared" si="3"/>
        <v>异端之国</v>
      </c>
      <c r="Q132" s="1">
        <v>1116</v>
      </c>
      <c r="R132" s="1">
        <v>1</v>
      </c>
      <c r="S132" s="1">
        <v>116</v>
      </c>
      <c r="T132" s="1" t="str">
        <f t="shared" si="2"/>
        <v>【普通 12-6】  &lt;color=#c4b8aa&gt;异端之国&lt;/color&gt;</v>
      </c>
    </row>
    <row r="133" spans="6:20" x14ac:dyDescent="0.15">
      <c r="F133" s="12">
        <v>14</v>
      </c>
      <c r="G133" s="12">
        <v>131</v>
      </c>
      <c r="H133" s="14">
        <v>100007</v>
      </c>
      <c r="I133" s="14">
        <v>40200</v>
      </c>
      <c r="J133" s="14">
        <v>30000</v>
      </c>
      <c r="K133" s="14">
        <v>20001</v>
      </c>
      <c r="L133" s="14">
        <v>20001</v>
      </c>
      <c r="M133" s="14">
        <v>20002</v>
      </c>
      <c r="P133" s="2" t="str">
        <f t="shared" si="3"/>
        <v>色雷斯之灾</v>
      </c>
      <c r="Q133" s="1">
        <v>1117</v>
      </c>
      <c r="R133" s="1">
        <v>1</v>
      </c>
      <c r="S133" s="1">
        <v>117</v>
      </c>
      <c r="T133" s="1" t="str">
        <f t="shared" si="2"/>
        <v>【普通 12-7】  &lt;color=#c4b8aa&gt;色雷斯之灾&lt;/color&gt;</v>
      </c>
    </row>
    <row r="134" spans="6:20" x14ac:dyDescent="0.15">
      <c r="F134" s="12">
        <v>14</v>
      </c>
      <c r="G134" s="12">
        <v>132</v>
      </c>
      <c r="H134" s="14">
        <v>100007</v>
      </c>
      <c r="I134" s="14">
        <v>40200</v>
      </c>
      <c r="J134" s="14">
        <v>30000</v>
      </c>
      <c r="K134" s="14">
        <v>20001</v>
      </c>
      <c r="L134" s="14">
        <v>20001</v>
      </c>
      <c r="M134" s="14">
        <v>20002</v>
      </c>
      <c r="P134" s="2" t="str">
        <f t="shared" si="3"/>
        <v>铸成大错</v>
      </c>
      <c r="Q134" s="1">
        <v>1118</v>
      </c>
      <c r="R134" s="1">
        <v>1</v>
      </c>
      <c r="S134" s="1">
        <v>118</v>
      </c>
      <c r="T134" s="1" t="str">
        <f t="shared" si="2"/>
        <v>【普通 12-8】  &lt;color=#c4b8aa&gt;铸成大错&lt;/color&gt;</v>
      </c>
    </row>
    <row r="135" spans="6:20" x14ac:dyDescent="0.15">
      <c r="F135" s="12">
        <v>14</v>
      </c>
      <c r="G135" s="12">
        <v>133</v>
      </c>
      <c r="H135" s="14">
        <v>100007</v>
      </c>
      <c r="I135" s="14">
        <v>40200</v>
      </c>
      <c r="J135" s="14">
        <v>30000</v>
      </c>
      <c r="K135" s="14">
        <v>20001</v>
      </c>
      <c r="L135" s="14">
        <v>20001</v>
      </c>
      <c r="M135" s="14">
        <v>20002</v>
      </c>
      <c r="P135" s="2" t="str">
        <f t="shared" si="3"/>
        <v>破誓者之志</v>
      </c>
      <c r="Q135" s="1">
        <v>1119</v>
      </c>
      <c r="R135" s="1">
        <v>1</v>
      </c>
      <c r="S135" s="1">
        <v>119</v>
      </c>
      <c r="T135" s="1" t="str">
        <f t="shared" si="2"/>
        <v>【普通 12-9】  &lt;color=#c4b8aa&gt;破誓者之志&lt;/color&gt;</v>
      </c>
    </row>
    <row r="136" spans="6:20" x14ac:dyDescent="0.15">
      <c r="F136" s="12">
        <v>14</v>
      </c>
      <c r="G136" s="12">
        <v>134</v>
      </c>
      <c r="H136" s="14">
        <v>100007</v>
      </c>
      <c r="I136" s="14">
        <v>40200</v>
      </c>
      <c r="J136" s="14">
        <v>30000</v>
      </c>
      <c r="K136" s="14">
        <v>20001</v>
      </c>
      <c r="L136" s="14">
        <v>20001</v>
      </c>
      <c r="M136" s="14">
        <v>20002</v>
      </c>
      <c r="P136" s="2" t="str">
        <f t="shared" si="3"/>
        <v>复仇女神</v>
      </c>
      <c r="Q136" s="1">
        <v>1120</v>
      </c>
      <c r="R136" s="1">
        <v>1</v>
      </c>
      <c r="S136" s="1">
        <v>120</v>
      </c>
      <c r="T136" s="1" t="str">
        <f t="shared" si="2"/>
        <v>【普通 12-10】  &lt;color=#c4b8aa&gt;复仇女神&lt;/color&gt;</v>
      </c>
    </row>
    <row r="137" spans="6:20" x14ac:dyDescent="0.15">
      <c r="F137" s="12">
        <v>14</v>
      </c>
      <c r="G137" s="12">
        <v>135</v>
      </c>
      <c r="H137" s="14">
        <v>100107</v>
      </c>
      <c r="I137" s="14">
        <v>40200</v>
      </c>
      <c r="J137" s="14">
        <v>30000</v>
      </c>
      <c r="K137" s="14">
        <v>20001</v>
      </c>
      <c r="L137" s="14">
        <v>20001</v>
      </c>
      <c r="M137" s="14">
        <v>20002</v>
      </c>
      <c r="P137" s="2" t="str">
        <f t="shared" si="3"/>
        <v>异变突生</v>
      </c>
      <c r="Q137" s="1">
        <v>1121</v>
      </c>
      <c r="R137" s="1">
        <v>1</v>
      </c>
      <c r="S137" s="1">
        <v>121</v>
      </c>
      <c r="T137" s="1" t="str">
        <f t="shared" si="2"/>
        <v>【普通 13-1】  &lt;color=#c4b8aa&gt;异变突生&lt;/color&gt;</v>
      </c>
    </row>
    <row r="138" spans="6:20" x14ac:dyDescent="0.15">
      <c r="F138" s="12">
        <v>14</v>
      </c>
      <c r="G138" s="12">
        <v>136</v>
      </c>
      <c r="H138" s="14">
        <v>100107</v>
      </c>
      <c r="I138" s="14">
        <v>40200</v>
      </c>
      <c r="J138" s="14">
        <v>30000</v>
      </c>
      <c r="K138" s="14">
        <v>20001</v>
      </c>
      <c r="L138" s="14">
        <v>20001</v>
      </c>
      <c r="M138" s="14">
        <v>20002</v>
      </c>
      <c r="P138" s="2" t="str">
        <f t="shared" si="3"/>
        <v>莱山德归国</v>
      </c>
      <c r="Q138" s="1">
        <v>1122</v>
      </c>
      <c r="R138" s="1">
        <v>1</v>
      </c>
      <c r="S138" s="1">
        <v>122</v>
      </c>
      <c r="T138" s="1" t="str">
        <f t="shared" si="2"/>
        <v>【普通 13-2】  &lt;color=#c4b8aa&gt;莱山德归国&lt;/color&gt;</v>
      </c>
    </row>
    <row r="139" spans="6:20" x14ac:dyDescent="0.15">
      <c r="F139" s="12">
        <v>14</v>
      </c>
      <c r="G139" s="12">
        <v>137</v>
      </c>
      <c r="H139" s="14">
        <v>100107</v>
      </c>
      <c r="I139" s="14">
        <v>40200</v>
      </c>
      <c r="J139" s="14">
        <v>30000</v>
      </c>
      <c r="K139" s="14">
        <v>20001</v>
      </c>
      <c r="L139" s="14">
        <v>20001</v>
      </c>
      <c r="M139" s="14">
        <v>20002</v>
      </c>
      <c r="P139" s="2" t="str">
        <f t="shared" si="3"/>
        <v>英雄之路</v>
      </c>
      <c r="Q139" s="1">
        <v>1123</v>
      </c>
      <c r="R139" s="1">
        <v>1</v>
      </c>
      <c r="S139" s="1">
        <v>123</v>
      </c>
      <c r="T139" s="1" t="str">
        <f t="shared" si="2"/>
        <v>【普通 13-3】  &lt;color=#c4b8aa&gt;英雄之路&lt;/color&gt;</v>
      </c>
    </row>
    <row r="140" spans="6:20" x14ac:dyDescent="0.15">
      <c r="F140" s="12">
        <v>14</v>
      </c>
      <c r="G140" s="12">
        <v>138</v>
      </c>
      <c r="H140" s="14">
        <v>100207</v>
      </c>
      <c r="I140" s="14">
        <v>40200</v>
      </c>
      <c r="J140" s="14">
        <v>30000</v>
      </c>
      <c r="K140" s="14">
        <v>20001</v>
      </c>
      <c r="L140" s="14">
        <v>20001</v>
      </c>
      <c r="M140" s="14">
        <v>20002</v>
      </c>
      <c r="P140" s="2" t="str">
        <f t="shared" si="3"/>
        <v>潜行避战</v>
      </c>
      <c r="Q140" s="1">
        <v>1124</v>
      </c>
      <c r="R140" s="1">
        <v>1</v>
      </c>
      <c r="S140" s="1">
        <v>124</v>
      </c>
      <c r="T140" s="1" t="str">
        <f t="shared" si="2"/>
        <v>【普通 13-4】  &lt;color=#c4b8aa&gt;潜行避战&lt;/color&gt;</v>
      </c>
    </row>
    <row r="141" spans="6:20" x14ac:dyDescent="0.15">
      <c r="F141" s="12">
        <v>14</v>
      </c>
      <c r="G141" s="12">
        <v>139</v>
      </c>
      <c r="H141" s="14">
        <v>100207</v>
      </c>
      <c r="I141" s="14">
        <v>40200</v>
      </c>
      <c r="J141" s="14">
        <v>30000</v>
      </c>
      <c r="K141" s="14">
        <v>20001</v>
      </c>
      <c r="L141" s="14">
        <v>20001</v>
      </c>
      <c r="M141" s="14">
        <v>20002</v>
      </c>
      <c r="P141" s="2" t="str">
        <f t="shared" si="3"/>
        <v>三头犬之死</v>
      </c>
      <c r="Q141" s="1">
        <v>1125</v>
      </c>
      <c r="R141" s="1">
        <v>1</v>
      </c>
      <c r="S141" s="1">
        <v>125</v>
      </c>
      <c r="T141" s="1" t="str">
        <f t="shared" si="2"/>
        <v>【普通 13-5】  &lt;color=#c4b8aa&gt;三头犬之死&lt;/color&gt;</v>
      </c>
    </row>
    <row r="142" spans="6:20" x14ac:dyDescent="0.15">
      <c r="F142" s="12">
        <v>14</v>
      </c>
      <c r="G142" s="12">
        <v>140</v>
      </c>
      <c r="H142" s="14">
        <v>100207</v>
      </c>
      <c r="I142" s="14">
        <v>40200</v>
      </c>
      <c r="J142" s="14">
        <v>30000</v>
      </c>
      <c r="K142" s="14">
        <v>20001</v>
      </c>
      <c r="L142" s="14">
        <v>20001</v>
      </c>
      <c r="M142" s="14">
        <v>20002</v>
      </c>
      <c r="P142" s="2" t="str">
        <f t="shared" si="3"/>
        <v>大战伊始</v>
      </c>
      <c r="Q142" s="1">
        <v>1126</v>
      </c>
      <c r="R142" s="1">
        <v>1</v>
      </c>
      <c r="S142" s="1">
        <v>126</v>
      </c>
      <c r="T142" s="1" t="str">
        <f t="shared" si="2"/>
        <v>【普通 13-6】  &lt;color=#c4b8aa&gt;大战伊始&lt;/color&gt;</v>
      </c>
    </row>
    <row r="143" spans="6:20" x14ac:dyDescent="0.15">
      <c r="F143" s="13">
        <v>15</v>
      </c>
      <c r="G143" s="13">
        <v>141</v>
      </c>
      <c r="H143" s="14">
        <v>100008</v>
      </c>
      <c r="I143" s="14">
        <v>40200</v>
      </c>
      <c r="J143" s="14">
        <v>30000</v>
      </c>
      <c r="K143" s="14">
        <v>20001</v>
      </c>
      <c r="L143" s="14">
        <v>20001</v>
      </c>
      <c r="M143" s="14">
        <v>20002</v>
      </c>
      <c r="P143" s="2" t="str">
        <f t="shared" si="3"/>
        <v>家园惊变</v>
      </c>
      <c r="Q143" s="1">
        <v>1127</v>
      </c>
      <c r="R143" s="1">
        <v>1</v>
      </c>
      <c r="S143" s="1">
        <v>127</v>
      </c>
      <c r="T143" s="1" t="str">
        <f t="shared" si="2"/>
        <v>【普通 13-7】  &lt;color=#c4b8aa&gt;家园惊变&lt;/color&gt;</v>
      </c>
    </row>
    <row r="144" spans="6:20" x14ac:dyDescent="0.15">
      <c r="F144" s="13">
        <v>15</v>
      </c>
      <c r="G144" s="13">
        <v>142</v>
      </c>
      <c r="H144" s="14">
        <v>100008</v>
      </c>
      <c r="I144" s="14">
        <v>40200</v>
      </c>
      <c r="J144" s="14">
        <v>30000</v>
      </c>
      <c r="K144" s="14">
        <v>20001</v>
      </c>
      <c r="L144" s="14">
        <v>20001</v>
      </c>
      <c r="M144" s="14">
        <v>20002</v>
      </c>
      <c r="P144" s="2" t="str">
        <f t="shared" si="3"/>
        <v>疯狂的战神</v>
      </c>
      <c r="Q144" s="1">
        <v>1128</v>
      </c>
      <c r="R144" s="1">
        <v>1</v>
      </c>
      <c r="S144" s="1">
        <v>128</v>
      </c>
      <c r="T144" s="1" t="str">
        <f t="shared" si="2"/>
        <v>【普通 13-8】  &lt;color=#c4b8aa&gt;疯狂的战神&lt;/color&gt;</v>
      </c>
    </row>
    <row r="145" spans="6:20" x14ac:dyDescent="0.15">
      <c r="F145" s="13">
        <v>15</v>
      </c>
      <c r="G145" s="13">
        <v>143</v>
      </c>
      <c r="H145" s="14">
        <v>100008</v>
      </c>
      <c r="I145" s="14">
        <v>40200</v>
      </c>
      <c r="J145" s="14">
        <v>30000</v>
      </c>
      <c r="K145" s="14">
        <v>20001</v>
      </c>
      <c r="L145" s="14">
        <v>20001</v>
      </c>
      <c r="M145" s="14">
        <v>20002</v>
      </c>
      <c r="P145" s="2" t="str">
        <f t="shared" si="3"/>
        <v>利比亚蝎王</v>
      </c>
      <c r="Q145" s="1">
        <v>1129</v>
      </c>
      <c r="R145" s="1">
        <v>1</v>
      </c>
      <c r="S145" s="1">
        <v>129</v>
      </c>
      <c r="T145" s="1" t="str">
        <f t="shared" si="2"/>
        <v>【普通 13-9】  &lt;color=#c4b8aa&gt;利比亚蝎王&lt;/color&gt;</v>
      </c>
    </row>
    <row r="146" spans="6:20" x14ac:dyDescent="0.15">
      <c r="F146" s="13">
        <v>15</v>
      </c>
      <c r="G146" s="13">
        <v>144</v>
      </c>
      <c r="H146" s="14">
        <v>100008</v>
      </c>
      <c r="I146" s="14">
        <v>40200</v>
      </c>
      <c r="J146" s="14">
        <v>30000</v>
      </c>
      <c r="K146" s="14">
        <v>20001</v>
      </c>
      <c r="L146" s="14">
        <v>20001</v>
      </c>
      <c r="M146" s="14">
        <v>20002</v>
      </c>
      <c r="P146" s="2" t="str">
        <f t="shared" si="3"/>
        <v>斩蝎行动</v>
      </c>
      <c r="Q146" s="1">
        <v>1130</v>
      </c>
      <c r="R146" s="1">
        <v>1</v>
      </c>
      <c r="S146" s="1">
        <v>130</v>
      </c>
      <c r="T146" s="1" t="str">
        <f t="shared" ref="T146:T209" si="4">"【普通 "&amp;F132&amp;"-"&amp;IF(INT(RIGHT(Q146,1))=0,10,RIGHT(Q146,1))&amp;"】  "&amp;"&lt;color=#c4b8aa&gt;"&amp;P146&amp;"&lt;/color&gt;"</f>
        <v>【普通 13-10】  &lt;color=#c4b8aa&gt;斩蝎行动&lt;/color&gt;</v>
      </c>
    </row>
    <row r="147" spans="6:20" x14ac:dyDescent="0.15">
      <c r="F147" s="13">
        <v>15</v>
      </c>
      <c r="G147" s="13">
        <v>145</v>
      </c>
      <c r="H147" s="14">
        <v>100108</v>
      </c>
      <c r="I147" s="14">
        <v>40200</v>
      </c>
      <c r="J147" s="14">
        <v>30000</v>
      </c>
      <c r="K147" s="14">
        <v>20001</v>
      </c>
      <c r="L147" s="14">
        <v>20001</v>
      </c>
      <c r="M147" s="14">
        <v>20002</v>
      </c>
      <c r="P147" s="2" t="str">
        <f t="shared" si="3"/>
        <v>烽火余生</v>
      </c>
      <c r="Q147" s="1">
        <v>1131</v>
      </c>
      <c r="R147" s="1">
        <v>1</v>
      </c>
      <c r="S147" s="1">
        <v>131</v>
      </c>
      <c r="T147" s="1" t="str">
        <f t="shared" si="4"/>
        <v>【普通 14-1】  &lt;color=#c4b8aa&gt;烽火余生&lt;/color&gt;</v>
      </c>
    </row>
    <row r="148" spans="6:20" x14ac:dyDescent="0.15">
      <c r="F148" s="13">
        <v>15</v>
      </c>
      <c r="G148" s="13">
        <v>146</v>
      </c>
      <c r="H148" s="14">
        <v>100108</v>
      </c>
      <c r="I148" s="14">
        <v>40200</v>
      </c>
      <c r="J148" s="14">
        <v>30000</v>
      </c>
      <c r="K148" s="14">
        <v>20001</v>
      </c>
      <c r="L148" s="14">
        <v>20001</v>
      </c>
      <c r="M148" s="14">
        <v>20002</v>
      </c>
      <c r="P148" s="2" t="str">
        <f t="shared" si="3"/>
        <v>城郊寻女</v>
      </c>
      <c r="Q148" s="1">
        <v>1132</v>
      </c>
      <c r="R148" s="1">
        <v>1</v>
      </c>
      <c r="S148" s="1">
        <v>132</v>
      </c>
      <c r="T148" s="1" t="str">
        <f t="shared" si="4"/>
        <v>【普通 14-2】  &lt;color=#c4b8aa&gt;城郊寻女&lt;/color&gt;</v>
      </c>
    </row>
    <row r="149" spans="6:20" x14ac:dyDescent="0.15">
      <c r="F149" s="13">
        <v>15</v>
      </c>
      <c r="G149" s="13">
        <v>147</v>
      </c>
      <c r="H149" s="14">
        <v>100108</v>
      </c>
      <c r="I149" s="14">
        <v>40200</v>
      </c>
      <c r="J149" s="14">
        <v>30000</v>
      </c>
      <c r="K149" s="14">
        <v>20001</v>
      </c>
      <c r="L149" s="14">
        <v>20001</v>
      </c>
      <c r="M149" s="14">
        <v>20002</v>
      </c>
      <c r="P149" s="2" t="str">
        <f t="shared" si="3"/>
        <v>战神的指引</v>
      </c>
      <c r="Q149" s="1">
        <v>1133</v>
      </c>
      <c r="R149" s="1">
        <v>1</v>
      </c>
      <c r="S149" s="1">
        <v>133</v>
      </c>
      <c r="T149" s="1" t="str">
        <f t="shared" si="4"/>
        <v>【普通 14-3】  &lt;color=#c4b8aa&gt;战神的指引&lt;/color&gt;</v>
      </c>
    </row>
    <row r="150" spans="6:20" x14ac:dyDescent="0.15">
      <c r="F150" s="13">
        <v>15</v>
      </c>
      <c r="G150" s="13">
        <v>148</v>
      </c>
      <c r="H150" s="14">
        <v>100208</v>
      </c>
      <c r="I150" s="14">
        <v>40200</v>
      </c>
      <c r="J150" s="14">
        <v>30000</v>
      </c>
      <c r="K150" s="14">
        <v>20001</v>
      </c>
      <c r="L150" s="14">
        <v>20001</v>
      </c>
      <c r="M150" s="14">
        <v>20002</v>
      </c>
      <c r="P150" s="2" t="str">
        <f t="shared" si="3"/>
        <v>温泉关之战</v>
      </c>
      <c r="Q150" s="1">
        <v>1134</v>
      </c>
      <c r="R150" s="1">
        <v>1</v>
      </c>
      <c r="S150" s="1">
        <v>134</v>
      </c>
      <c r="T150" s="1" t="str">
        <f t="shared" si="4"/>
        <v>【普通 14-4】  &lt;color=#c4b8aa&gt;温泉关之战&lt;/color&gt;</v>
      </c>
    </row>
    <row r="151" spans="6:20" x14ac:dyDescent="0.15">
      <c r="F151" s="13">
        <v>15</v>
      </c>
      <c r="G151" s="13">
        <v>149</v>
      </c>
      <c r="H151" s="14">
        <v>100208</v>
      </c>
      <c r="I151" s="14">
        <v>40200</v>
      </c>
      <c r="J151" s="14">
        <v>30000</v>
      </c>
      <c r="K151" s="14">
        <v>20001</v>
      </c>
      <c r="L151" s="14">
        <v>20001</v>
      </c>
      <c r="M151" s="14">
        <v>20002</v>
      </c>
      <c r="P151" s="2" t="str">
        <f t="shared" si="3"/>
        <v>巨人的毁灭</v>
      </c>
      <c r="Q151" s="1">
        <v>1135</v>
      </c>
      <c r="R151" s="1">
        <v>1</v>
      </c>
      <c r="S151" s="1">
        <v>135</v>
      </c>
      <c r="T151" s="1" t="str">
        <f t="shared" si="4"/>
        <v>【普通 14-5】  &lt;color=#c4b8aa&gt;巨人的毁灭&lt;/color&gt;</v>
      </c>
    </row>
    <row r="152" spans="6:20" x14ac:dyDescent="0.15">
      <c r="F152" s="13">
        <v>15</v>
      </c>
      <c r="G152" s="13">
        <v>150</v>
      </c>
      <c r="H152" s="14">
        <v>100208</v>
      </c>
      <c r="I152" s="14">
        <v>40200</v>
      </c>
      <c r="J152" s="14">
        <v>30000</v>
      </c>
      <c r="K152" s="14">
        <v>20001</v>
      </c>
      <c r="L152" s="14">
        <v>20001</v>
      </c>
      <c r="M152" s="14">
        <v>20002</v>
      </c>
      <c r="P152" s="2" t="str">
        <f t="shared" si="3"/>
        <v>战争余烬</v>
      </c>
      <c r="Q152" s="1">
        <v>1136</v>
      </c>
      <c r="R152" s="1">
        <v>1</v>
      </c>
      <c r="S152" s="1">
        <v>136</v>
      </c>
      <c r="T152" s="1" t="str">
        <f t="shared" si="4"/>
        <v>【普通 14-6】  &lt;color=#c4b8aa&gt;战争余烬&lt;/color&gt;</v>
      </c>
    </row>
    <row r="153" spans="6:20" x14ac:dyDescent="0.15">
      <c r="F153" s="8">
        <v>16</v>
      </c>
      <c r="G153" s="8">
        <v>151</v>
      </c>
      <c r="H153" s="14">
        <v>100008</v>
      </c>
      <c r="I153" s="14">
        <v>40200</v>
      </c>
      <c r="J153" s="14">
        <v>30000</v>
      </c>
      <c r="K153" s="14">
        <v>20001</v>
      </c>
      <c r="L153" s="14">
        <v>20001</v>
      </c>
      <c r="M153" s="14">
        <v>20002</v>
      </c>
      <c r="P153" s="2" t="str">
        <f t="shared" si="3"/>
        <v>名王东逃</v>
      </c>
      <c r="Q153" s="1">
        <v>1137</v>
      </c>
      <c r="R153" s="1">
        <v>1</v>
      </c>
      <c r="S153" s="1">
        <v>137</v>
      </c>
      <c r="T153" s="1" t="str">
        <f t="shared" si="4"/>
        <v>【普通 14-7】  &lt;color=#c4b8aa&gt;名王东逃&lt;/color&gt;</v>
      </c>
    </row>
    <row r="154" spans="6:20" x14ac:dyDescent="0.15">
      <c r="F154" s="8">
        <v>16</v>
      </c>
      <c r="G154" s="8">
        <v>152</v>
      </c>
      <c r="H154" s="14">
        <v>100008</v>
      </c>
      <c r="I154" s="14">
        <v>40200</v>
      </c>
      <c r="J154" s="14">
        <v>30000</v>
      </c>
      <c r="K154" s="14">
        <v>20001</v>
      </c>
      <c r="L154" s="14">
        <v>20001</v>
      </c>
      <c r="M154" s="14">
        <v>20002</v>
      </c>
      <c r="P154" s="2" t="str">
        <f t="shared" si="3"/>
        <v>重赏之下</v>
      </c>
      <c r="Q154" s="1">
        <v>1138</v>
      </c>
      <c r="R154" s="1">
        <v>1</v>
      </c>
      <c r="S154" s="1">
        <v>138</v>
      </c>
      <c r="T154" s="1" t="str">
        <f t="shared" si="4"/>
        <v>【普通 14-8】  &lt;color=#c4b8aa&gt;重赏之下&lt;/color&gt;</v>
      </c>
    </row>
    <row r="155" spans="6:20" x14ac:dyDescent="0.15">
      <c r="F155" s="8">
        <v>16</v>
      </c>
      <c r="G155" s="8">
        <v>153</v>
      </c>
      <c r="H155" s="14">
        <v>100008</v>
      </c>
      <c r="I155" s="14">
        <v>40200</v>
      </c>
      <c r="J155" s="14">
        <v>30000</v>
      </c>
      <c r="K155" s="14">
        <v>20001</v>
      </c>
      <c r="L155" s="14">
        <v>20001</v>
      </c>
      <c r="M155" s="14">
        <v>20002</v>
      </c>
      <c r="P155" s="2" t="str">
        <f t="shared" si="3"/>
        <v>千里穷追</v>
      </c>
      <c r="Q155" s="1">
        <v>1139</v>
      </c>
      <c r="R155" s="1">
        <v>1</v>
      </c>
      <c r="S155" s="1">
        <v>139</v>
      </c>
      <c r="T155" s="1" t="str">
        <f t="shared" si="4"/>
        <v>【普通 14-9】  &lt;color=#c4b8aa&gt;千里穷追&lt;/color&gt;</v>
      </c>
    </row>
    <row r="156" spans="6:20" x14ac:dyDescent="0.15">
      <c r="F156" s="8">
        <v>16</v>
      </c>
      <c r="G156" s="8">
        <v>154</v>
      </c>
      <c r="H156" s="14">
        <v>100008</v>
      </c>
      <c r="I156" s="14">
        <v>40200</v>
      </c>
      <c r="J156" s="14">
        <v>30000</v>
      </c>
      <c r="K156" s="14">
        <v>20001</v>
      </c>
      <c r="L156" s="14">
        <v>20001</v>
      </c>
      <c r="M156" s="14">
        <v>20002</v>
      </c>
      <c r="P156" s="2" t="str">
        <f t="shared" si="3"/>
        <v>波斯王之殒</v>
      </c>
      <c r="Q156" s="1">
        <v>1140</v>
      </c>
      <c r="R156" s="1">
        <v>1</v>
      </c>
      <c r="S156" s="1">
        <v>140</v>
      </c>
      <c r="T156" s="1" t="str">
        <f t="shared" si="4"/>
        <v>【普通 14-10】  &lt;color=#c4b8aa&gt;波斯王之殒&lt;/color&gt;</v>
      </c>
    </row>
    <row r="157" spans="6:20" x14ac:dyDescent="0.15">
      <c r="F157" s="8">
        <v>16</v>
      </c>
      <c r="G157" s="8">
        <v>155</v>
      </c>
      <c r="H157" s="14">
        <v>100108</v>
      </c>
      <c r="I157" s="14">
        <v>40200</v>
      </c>
      <c r="J157" s="14">
        <v>30000</v>
      </c>
      <c r="K157" s="14">
        <v>20001</v>
      </c>
      <c r="L157" s="14">
        <v>20001</v>
      </c>
      <c r="M157" s="14">
        <v>20002</v>
      </c>
      <c r="P157" s="2" t="str">
        <f t="shared" si="3"/>
        <v>异端之国</v>
      </c>
      <c r="Q157" s="1">
        <v>1141</v>
      </c>
      <c r="R157" s="1">
        <v>1</v>
      </c>
      <c r="S157" s="1">
        <v>141</v>
      </c>
      <c r="T157" s="1" t="str">
        <f t="shared" si="4"/>
        <v>【普通 15-1】  &lt;color=#c4b8aa&gt;异端之国&lt;/color&gt;</v>
      </c>
    </row>
    <row r="158" spans="6:20" x14ac:dyDescent="0.15">
      <c r="F158" s="8">
        <v>16</v>
      </c>
      <c r="G158" s="8">
        <v>156</v>
      </c>
      <c r="H158" s="14">
        <v>100108</v>
      </c>
      <c r="I158" s="14">
        <v>40200</v>
      </c>
      <c r="J158" s="14">
        <v>30000</v>
      </c>
      <c r="K158" s="14">
        <v>20001</v>
      </c>
      <c r="L158" s="14">
        <v>20001</v>
      </c>
      <c r="M158" s="14">
        <v>20002</v>
      </c>
      <c r="P158" s="2" t="str">
        <f t="shared" si="3"/>
        <v>色雷斯之灾</v>
      </c>
      <c r="Q158" s="1">
        <v>1142</v>
      </c>
      <c r="R158" s="1">
        <v>1</v>
      </c>
      <c r="S158" s="1">
        <v>142</v>
      </c>
      <c r="T158" s="1" t="str">
        <f t="shared" si="4"/>
        <v>【普通 15-2】  &lt;color=#c4b8aa&gt;色雷斯之灾&lt;/color&gt;</v>
      </c>
    </row>
    <row r="159" spans="6:20" x14ac:dyDescent="0.15">
      <c r="F159" s="8">
        <v>16</v>
      </c>
      <c r="G159" s="8">
        <v>157</v>
      </c>
      <c r="H159" s="14">
        <v>100108</v>
      </c>
      <c r="I159" s="14">
        <v>40200</v>
      </c>
      <c r="J159" s="14">
        <v>30000</v>
      </c>
      <c r="K159" s="14">
        <v>20001</v>
      </c>
      <c r="L159" s="14">
        <v>20001</v>
      </c>
      <c r="M159" s="14">
        <v>20002</v>
      </c>
      <c r="P159" s="2" t="str">
        <f t="shared" si="3"/>
        <v>铸成大错</v>
      </c>
      <c r="Q159" s="1">
        <v>1143</v>
      </c>
      <c r="R159" s="1">
        <v>1</v>
      </c>
      <c r="S159" s="1">
        <v>143</v>
      </c>
      <c r="T159" s="1" t="str">
        <f t="shared" si="4"/>
        <v>【普通 15-3】  &lt;color=#c4b8aa&gt;铸成大错&lt;/color&gt;</v>
      </c>
    </row>
    <row r="160" spans="6:20" x14ac:dyDescent="0.15">
      <c r="F160" s="8">
        <v>16</v>
      </c>
      <c r="G160" s="8">
        <v>158</v>
      </c>
      <c r="H160" s="14">
        <v>100208</v>
      </c>
      <c r="I160" s="14">
        <v>40200</v>
      </c>
      <c r="J160" s="14">
        <v>30000</v>
      </c>
      <c r="K160" s="14">
        <v>20001</v>
      </c>
      <c r="L160" s="14">
        <v>20001</v>
      </c>
      <c r="M160" s="14">
        <v>20002</v>
      </c>
      <c r="P160" s="2" t="str">
        <f t="shared" si="3"/>
        <v>破誓者之志</v>
      </c>
      <c r="Q160" s="1">
        <v>1144</v>
      </c>
      <c r="R160" s="1">
        <v>1</v>
      </c>
      <c r="S160" s="1">
        <v>144</v>
      </c>
      <c r="T160" s="1" t="str">
        <f t="shared" si="4"/>
        <v>【普通 15-4】  &lt;color=#c4b8aa&gt;破誓者之志&lt;/color&gt;</v>
      </c>
    </row>
    <row r="161" spans="6:20" x14ac:dyDescent="0.15">
      <c r="F161" s="8">
        <v>16</v>
      </c>
      <c r="G161" s="8">
        <v>159</v>
      </c>
      <c r="H161" s="14">
        <v>100208</v>
      </c>
      <c r="I161" s="14">
        <v>40200</v>
      </c>
      <c r="J161" s="14">
        <v>30000</v>
      </c>
      <c r="K161" s="14">
        <v>20001</v>
      </c>
      <c r="L161" s="14">
        <v>20001</v>
      </c>
      <c r="M161" s="14">
        <v>20002</v>
      </c>
      <c r="P161" s="2" t="str">
        <f t="shared" si="3"/>
        <v>复仇女神</v>
      </c>
      <c r="Q161" s="1">
        <v>1145</v>
      </c>
      <c r="R161" s="1">
        <v>1</v>
      </c>
      <c r="S161" s="1">
        <v>145</v>
      </c>
      <c r="T161" s="1" t="str">
        <f t="shared" si="4"/>
        <v>【普通 15-5】  &lt;color=#c4b8aa&gt;复仇女神&lt;/color&gt;</v>
      </c>
    </row>
    <row r="162" spans="6:20" x14ac:dyDescent="0.15">
      <c r="F162" s="8">
        <v>16</v>
      </c>
      <c r="G162" s="8">
        <v>160</v>
      </c>
      <c r="H162" s="14">
        <v>100208</v>
      </c>
      <c r="I162" s="14">
        <v>40200</v>
      </c>
      <c r="J162" s="14">
        <v>30000</v>
      </c>
      <c r="K162" s="14">
        <v>20001</v>
      </c>
      <c r="L162" s="14">
        <v>20001</v>
      </c>
      <c r="M162" s="14">
        <v>20002</v>
      </c>
      <c r="P162" s="2" t="str">
        <f t="shared" si="3"/>
        <v>异变突生</v>
      </c>
      <c r="Q162" s="1">
        <v>1146</v>
      </c>
      <c r="R162" s="1">
        <v>1</v>
      </c>
      <c r="S162" s="1">
        <v>146</v>
      </c>
      <c r="T162" s="1" t="str">
        <f t="shared" si="4"/>
        <v>【普通 15-6】  &lt;color=#c4b8aa&gt;异变突生&lt;/color&gt;</v>
      </c>
    </row>
    <row r="163" spans="6:20" x14ac:dyDescent="0.15">
      <c r="F163" s="9">
        <v>17</v>
      </c>
      <c r="G163" s="9">
        <v>161</v>
      </c>
      <c r="H163" s="14">
        <v>100009</v>
      </c>
      <c r="I163" s="14">
        <v>40200</v>
      </c>
      <c r="J163" s="14">
        <v>30000</v>
      </c>
      <c r="K163" s="14">
        <v>20001</v>
      </c>
      <c r="L163" s="14">
        <v>20001</v>
      </c>
      <c r="M163" s="14">
        <v>20002</v>
      </c>
      <c r="P163" s="2" t="str">
        <f t="shared" si="3"/>
        <v>莱山德归国</v>
      </c>
      <c r="Q163" s="1">
        <v>1147</v>
      </c>
      <c r="R163" s="1">
        <v>1</v>
      </c>
      <c r="S163" s="1">
        <v>147</v>
      </c>
      <c r="T163" s="1" t="str">
        <f t="shared" si="4"/>
        <v>【普通 15-7】  &lt;color=#c4b8aa&gt;莱山德归国&lt;/color&gt;</v>
      </c>
    </row>
    <row r="164" spans="6:20" x14ac:dyDescent="0.15">
      <c r="F164" s="10">
        <v>17</v>
      </c>
      <c r="G164" s="10">
        <v>162</v>
      </c>
      <c r="H164" s="14">
        <v>100009</v>
      </c>
      <c r="I164" s="14">
        <v>40200</v>
      </c>
      <c r="J164" s="14">
        <v>30000</v>
      </c>
      <c r="K164" s="14">
        <v>20001</v>
      </c>
      <c r="L164" s="14">
        <v>20001</v>
      </c>
      <c r="M164" s="14">
        <v>20002</v>
      </c>
      <c r="P164" s="2" t="str">
        <f t="shared" si="3"/>
        <v>英雄之路</v>
      </c>
      <c r="Q164" s="1">
        <v>1148</v>
      </c>
      <c r="R164" s="1">
        <v>1</v>
      </c>
      <c r="S164" s="1">
        <v>148</v>
      </c>
      <c r="T164" s="1" t="str">
        <f t="shared" si="4"/>
        <v>【普通 15-8】  &lt;color=#c4b8aa&gt;英雄之路&lt;/color&gt;</v>
      </c>
    </row>
    <row r="165" spans="6:20" x14ac:dyDescent="0.15">
      <c r="F165" s="10">
        <v>17</v>
      </c>
      <c r="G165" s="10">
        <v>163</v>
      </c>
      <c r="H165" s="14">
        <v>100009</v>
      </c>
      <c r="I165" s="14">
        <v>40200</v>
      </c>
      <c r="J165" s="14">
        <v>30000</v>
      </c>
      <c r="K165" s="14">
        <v>20001</v>
      </c>
      <c r="L165" s="14">
        <v>20001</v>
      </c>
      <c r="M165" s="14">
        <v>20002</v>
      </c>
      <c r="P165" s="2" t="str">
        <f t="shared" si="3"/>
        <v>潜行避战</v>
      </c>
      <c r="Q165" s="1">
        <v>1149</v>
      </c>
      <c r="R165" s="1">
        <v>1</v>
      </c>
      <c r="S165" s="1">
        <v>149</v>
      </c>
      <c r="T165" s="1" t="str">
        <f t="shared" si="4"/>
        <v>【普通 15-9】  &lt;color=#c4b8aa&gt;潜行避战&lt;/color&gt;</v>
      </c>
    </row>
    <row r="166" spans="6:20" x14ac:dyDescent="0.15">
      <c r="F166" s="10">
        <v>17</v>
      </c>
      <c r="G166" s="10">
        <v>164</v>
      </c>
      <c r="H166" s="14">
        <v>100009</v>
      </c>
      <c r="I166" s="14">
        <v>40200</v>
      </c>
      <c r="J166" s="14">
        <v>30000</v>
      </c>
      <c r="K166" s="14">
        <v>20001</v>
      </c>
      <c r="L166" s="14">
        <v>20001</v>
      </c>
      <c r="M166" s="14">
        <v>20002</v>
      </c>
      <c r="P166" s="2" t="str">
        <f t="shared" si="3"/>
        <v>三头犬之死</v>
      </c>
      <c r="Q166" s="1">
        <v>1150</v>
      </c>
      <c r="R166" s="1">
        <v>1</v>
      </c>
      <c r="S166" s="1">
        <v>150</v>
      </c>
      <c r="T166" s="1" t="str">
        <f t="shared" si="4"/>
        <v>【普通 15-10】  &lt;color=#c4b8aa&gt;三头犬之死&lt;/color&gt;</v>
      </c>
    </row>
    <row r="167" spans="6:20" x14ac:dyDescent="0.15">
      <c r="F167" s="10">
        <v>17</v>
      </c>
      <c r="G167" s="10">
        <v>165</v>
      </c>
      <c r="H167" s="14">
        <v>100109</v>
      </c>
      <c r="I167" s="14">
        <v>40200</v>
      </c>
      <c r="J167" s="14">
        <v>30000</v>
      </c>
      <c r="K167" s="14">
        <v>20001</v>
      </c>
      <c r="L167" s="14">
        <v>20001</v>
      </c>
      <c r="M167" s="14">
        <v>20002</v>
      </c>
      <c r="P167" s="2" t="str">
        <f t="shared" si="3"/>
        <v>大战伊始</v>
      </c>
      <c r="Q167" s="1">
        <v>1151</v>
      </c>
      <c r="R167" s="1">
        <v>1</v>
      </c>
      <c r="S167" s="1">
        <v>151</v>
      </c>
      <c r="T167" s="1" t="str">
        <f t="shared" si="4"/>
        <v>【普通 16-1】  &lt;color=#c4b8aa&gt;大战伊始&lt;/color&gt;</v>
      </c>
    </row>
    <row r="168" spans="6:20" x14ac:dyDescent="0.15">
      <c r="F168" s="10">
        <v>17</v>
      </c>
      <c r="G168" s="10">
        <v>166</v>
      </c>
      <c r="H168" s="14">
        <v>100109</v>
      </c>
      <c r="I168" s="14">
        <v>40200</v>
      </c>
      <c r="J168" s="14">
        <v>30000</v>
      </c>
      <c r="K168" s="14">
        <v>20001</v>
      </c>
      <c r="L168" s="14">
        <v>20001</v>
      </c>
      <c r="M168" s="14">
        <v>20002</v>
      </c>
      <c r="P168" s="2" t="str">
        <f t="shared" si="3"/>
        <v>家园惊变</v>
      </c>
      <c r="Q168" s="1">
        <v>1152</v>
      </c>
      <c r="R168" s="1">
        <v>1</v>
      </c>
      <c r="S168" s="1">
        <v>152</v>
      </c>
      <c r="T168" s="1" t="str">
        <f t="shared" si="4"/>
        <v>【普通 16-2】  &lt;color=#c4b8aa&gt;家园惊变&lt;/color&gt;</v>
      </c>
    </row>
    <row r="169" spans="6:20" x14ac:dyDescent="0.15">
      <c r="F169" s="10">
        <v>17</v>
      </c>
      <c r="G169" s="10">
        <v>167</v>
      </c>
      <c r="H169" s="14">
        <v>100109</v>
      </c>
      <c r="I169" s="14">
        <v>40200</v>
      </c>
      <c r="J169" s="14">
        <v>30000</v>
      </c>
      <c r="K169" s="14">
        <v>20001</v>
      </c>
      <c r="L169" s="14">
        <v>20001</v>
      </c>
      <c r="M169" s="14">
        <v>20002</v>
      </c>
      <c r="P169" s="2" t="str">
        <f t="shared" si="3"/>
        <v>疯狂的战神</v>
      </c>
      <c r="Q169" s="1">
        <v>1153</v>
      </c>
      <c r="R169" s="1">
        <v>1</v>
      </c>
      <c r="S169" s="1">
        <v>153</v>
      </c>
      <c r="T169" s="1" t="str">
        <f t="shared" si="4"/>
        <v>【普通 16-3】  &lt;color=#c4b8aa&gt;疯狂的战神&lt;/color&gt;</v>
      </c>
    </row>
    <row r="170" spans="6:20" x14ac:dyDescent="0.15">
      <c r="F170" s="10">
        <v>17</v>
      </c>
      <c r="G170" s="10">
        <v>168</v>
      </c>
      <c r="H170" s="14">
        <v>100209</v>
      </c>
      <c r="I170" s="14">
        <v>40200</v>
      </c>
      <c r="J170" s="14">
        <v>30000</v>
      </c>
      <c r="K170" s="14">
        <v>20001</v>
      </c>
      <c r="L170" s="14">
        <v>20001</v>
      </c>
      <c r="M170" s="14">
        <v>20002</v>
      </c>
      <c r="P170" s="2" t="str">
        <f t="shared" si="3"/>
        <v>利比亚蝎王</v>
      </c>
      <c r="Q170" s="1">
        <v>1154</v>
      </c>
      <c r="R170" s="1">
        <v>1</v>
      </c>
      <c r="S170" s="1">
        <v>154</v>
      </c>
      <c r="T170" s="1" t="str">
        <f t="shared" si="4"/>
        <v>【普通 16-4】  &lt;color=#c4b8aa&gt;利比亚蝎王&lt;/color&gt;</v>
      </c>
    </row>
    <row r="171" spans="6:20" x14ac:dyDescent="0.15">
      <c r="F171" s="10">
        <v>17</v>
      </c>
      <c r="G171" s="10">
        <v>169</v>
      </c>
      <c r="H171" s="14">
        <v>100209</v>
      </c>
      <c r="I171" s="14">
        <v>40200</v>
      </c>
      <c r="J171" s="14">
        <v>30000</v>
      </c>
      <c r="K171" s="14">
        <v>20001</v>
      </c>
      <c r="L171" s="14">
        <v>20001</v>
      </c>
      <c r="M171" s="14">
        <v>20002</v>
      </c>
      <c r="P171" s="2" t="str">
        <f t="shared" ref="P171:P234" si="5">P146</f>
        <v>斩蝎行动</v>
      </c>
      <c r="Q171" s="1">
        <v>1155</v>
      </c>
      <c r="R171" s="1">
        <v>1</v>
      </c>
      <c r="S171" s="1">
        <v>155</v>
      </c>
      <c r="T171" s="1" t="str">
        <f t="shared" si="4"/>
        <v>【普通 16-5】  &lt;color=#c4b8aa&gt;斩蝎行动&lt;/color&gt;</v>
      </c>
    </row>
    <row r="172" spans="6:20" x14ac:dyDescent="0.15">
      <c r="F172" s="10">
        <v>17</v>
      </c>
      <c r="G172" s="10">
        <v>170</v>
      </c>
      <c r="H172" s="14">
        <v>100209</v>
      </c>
      <c r="I172" s="14">
        <v>40200</v>
      </c>
      <c r="J172" s="14">
        <v>30000</v>
      </c>
      <c r="K172" s="14">
        <v>20001</v>
      </c>
      <c r="L172" s="14">
        <v>20001</v>
      </c>
      <c r="M172" s="14">
        <v>20002</v>
      </c>
      <c r="P172" s="2" t="str">
        <f t="shared" si="5"/>
        <v>烽火余生</v>
      </c>
      <c r="Q172" s="1">
        <v>1156</v>
      </c>
      <c r="R172" s="1">
        <v>1</v>
      </c>
      <c r="S172" s="1">
        <v>156</v>
      </c>
      <c r="T172" s="1" t="str">
        <f t="shared" si="4"/>
        <v>【普通 16-6】  &lt;color=#c4b8aa&gt;烽火余生&lt;/color&gt;</v>
      </c>
    </row>
    <row r="173" spans="6:20" x14ac:dyDescent="0.15">
      <c r="F173" s="11">
        <v>18</v>
      </c>
      <c r="G173" s="11">
        <v>171</v>
      </c>
      <c r="H173" s="14">
        <v>100009</v>
      </c>
      <c r="I173" s="14">
        <v>40200</v>
      </c>
      <c r="J173" s="14">
        <v>30000</v>
      </c>
      <c r="K173" s="14">
        <v>20001</v>
      </c>
      <c r="L173" s="14">
        <v>20001</v>
      </c>
      <c r="M173" s="14">
        <v>20002</v>
      </c>
      <c r="P173" s="2" t="str">
        <f t="shared" si="5"/>
        <v>城郊寻女</v>
      </c>
      <c r="Q173" s="1">
        <v>1157</v>
      </c>
      <c r="R173" s="1">
        <v>1</v>
      </c>
      <c r="S173" s="1">
        <v>157</v>
      </c>
      <c r="T173" s="1" t="str">
        <f t="shared" si="4"/>
        <v>【普通 16-7】  &lt;color=#c4b8aa&gt;城郊寻女&lt;/color&gt;</v>
      </c>
    </row>
    <row r="174" spans="6:20" x14ac:dyDescent="0.15">
      <c r="F174" s="11">
        <v>18</v>
      </c>
      <c r="G174" s="11">
        <v>172</v>
      </c>
      <c r="H174" s="14">
        <v>100009</v>
      </c>
      <c r="I174" s="14">
        <v>40200</v>
      </c>
      <c r="J174" s="14">
        <v>30000</v>
      </c>
      <c r="K174" s="14">
        <v>20001</v>
      </c>
      <c r="L174" s="14">
        <v>20001</v>
      </c>
      <c r="M174" s="14">
        <v>20002</v>
      </c>
      <c r="P174" s="2" t="str">
        <f t="shared" si="5"/>
        <v>战神的指引</v>
      </c>
      <c r="Q174" s="1">
        <v>1158</v>
      </c>
      <c r="R174" s="1">
        <v>1</v>
      </c>
      <c r="S174" s="1">
        <v>158</v>
      </c>
      <c r="T174" s="1" t="str">
        <f t="shared" si="4"/>
        <v>【普通 16-8】  &lt;color=#c4b8aa&gt;战神的指引&lt;/color&gt;</v>
      </c>
    </row>
    <row r="175" spans="6:20" x14ac:dyDescent="0.15">
      <c r="F175" s="11">
        <v>18</v>
      </c>
      <c r="G175" s="11">
        <v>173</v>
      </c>
      <c r="H175" s="14">
        <v>100009</v>
      </c>
      <c r="I175" s="14">
        <v>40200</v>
      </c>
      <c r="J175" s="14">
        <v>30000</v>
      </c>
      <c r="K175" s="14">
        <v>20001</v>
      </c>
      <c r="L175" s="14">
        <v>20001</v>
      </c>
      <c r="M175" s="14">
        <v>20002</v>
      </c>
      <c r="P175" s="2" t="str">
        <f t="shared" si="5"/>
        <v>温泉关之战</v>
      </c>
      <c r="Q175" s="1">
        <v>1159</v>
      </c>
      <c r="R175" s="1">
        <v>1</v>
      </c>
      <c r="S175" s="1">
        <v>159</v>
      </c>
      <c r="T175" s="1" t="str">
        <f t="shared" si="4"/>
        <v>【普通 16-9】  &lt;color=#c4b8aa&gt;温泉关之战&lt;/color&gt;</v>
      </c>
    </row>
    <row r="176" spans="6:20" x14ac:dyDescent="0.15">
      <c r="F176" s="11">
        <v>18</v>
      </c>
      <c r="G176" s="11">
        <v>174</v>
      </c>
      <c r="H176" s="14">
        <v>100009</v>
      </c>
      <c r="I176" s="14">
        <v>40200</v>
      </c>
      <c r="J176" s="14">
        <v>30000</v>
      </c>
      <c r="K176" s="14">
        <v>20001</v>
      </c>
      <c r="L176" s="14">
        <v>20001</v>
      </c>
      <c r="M176" s="14">
        <v>20002</v>
      </c>
      <c r="P176" s="2" t="str">
        <f t="shared" si="5"/>
        <v>巨人的毁灭</v>
      </c>
      <c r="Q176" s="1">
        <v>1160</v>
      </c>
      <c r="R176" s="1">
        <v>1</v>
      </c>
      <c r="S176" s="1">
        <v>160</v>
      </c>
      <c r="T176" s="1" t="str">
        <f t="shared" si="4"/>
        <v>【普通 16-10】  &lt;color=#c4b8aa&gt;巨人的毁灭&lt;/color&gt;</v>
      </c>
    </row>
    <row r="177" spans="6:20" x14ac:dyDescent="0.15">
      <c r="F177" s="11">
        <v>18</v>
      </c>
      <c r="G177" s="11">
        <v>175</v>
      </c>
      <c r="H177" s="14">
        <v>100109</v>
      </c>
      <c r="I177" s="14">
        <v>40200</v>
      </c>
      <c r="J177" s="14">
        <v>30000</v>
      </c>
      <c r="K177" s="14">
        <v>20001</v>
      </c>
      <c r="L177" s="14">
        <v>20001</v>
      </c>
      <c r="M177" s="14">
        <v>20002</v>
      </c>
      <c r="P177" s="2" t="str">
        <f t="shared" si="5"/>
        <v>战争余烬</v>
      </c>
      <c r="Q177" s="1">
        <v>1161</v>
      </c>
      <c r="R177" s="1">
        <v>1</v>
      </c>
      <c r="S177" s="1">
        <v>161</v>
      </c>
      <c r="T177" s="1" t="str">
        <f t="shared" si="4"/>
        <v>【普通 17-1】  &lt;color=#c4b8aa&gt;战争余烬&lt;/color&gt;</v>
      </c>
    </row>
    <row r="178" spans="6:20" x14ac:dyDescent="0.15">
      <c r="F178" s="11">
        <v>18</v>
      </c>
      <c r="G178" s="11">
        <v>176</v>
      </c>
      <c r="H178" s="14">
        <v>100109</v>
      </c>
      <c r="I178" s="14">
        <v>40200</v>
      </c>
      <c r="J178" s="14">
        <v>30000</v>
      </c>
      <c r="K178" s="14">
        <v>20001</v>
      </c>
      <c r="L178" s="14">
        <v>20001</v>
      </c>
      <c r="M178" s="14">
        <v>20002</v>
      </c>
      <c r="P178" s="2" t="str">
        <f t="shared" si="5"/>
        <v>名王东逃</v>
      </c>
      <c r="Q178" s="1">
        <v>1162</v>
      </c>
      <c r="R178" s="1">
        <v>1</v>
      </c>
      <c r="S178" s="1">
        <v>162</v>
      </c>
      <c r="T178" s="1" t="str">
        <f t="shared" si="4"/>
        <v>【普通 17-2】  &lt;color=#c4b8aa&gt;名王东逃&lt;/color&gt;</v>
      </c>
    </row>
    <row r="179" spans="6:20" x14ac:dyDescent="0.15">
      <c r="F179" s="11">
        <v>18</v>
      </c>
      <c r="G179" s="11">
        <v>177</v>
      </c>
      <c r="H179" s="14">
        <v>100109</v>
      </c>
      <c r="I179" s="14">
        <v>40200</v>
      </c>
      <c r="J179" s="14">
        <v>30000</v>
      </c>
      <c r="K179" s="14">
        <v>20001</v>
      </c>
      <c r="L179" s="14">
        <v>20001</v>
      </c>
      <c r="M179" s="14">
        <v>20002</v>
      </c>
      <c r="P179" s="2" t="str">
        <f t="shared" si="5"/>
        <v>重赏之下</v>
      </c>
      <c r="Q179" s="1">
        <v>1163</v>
      </c>
      <c r="R179" s="1">
        <v>1</v>
      </c>
      <c r="S179" s="1">
        <v>163</v>
      </c>
      <c r="T179" s="1" t="str">
        <f t="shared" si="4"/>
        <v>【普通 17-3】  &lt;color=#c4b8aa&gt;重赏之下&lt;/color&gt;</v>
      </c>
    </row>
    <row r="180" spans="6:20" x14ac:dyDescent="0.15">
      <c r="F180" s="11">
        <v>18</v>
      </c>
      <c r="G180" s="11">
        <v>178</v>
      </c>
      <c r="H180" s="14">
        <v>100209</v>
      </c>
      <c r="I180" s="14">
        <v>40200</v>
      </c>
      <c r="J180" s="14">
        <v>30000</v>
      </c>
      <c r="K180" s="14">
        <v>20001</v>
      </c>
      <c r="L180" s="14">
        <v>20001</v>
      </c>
      <c r="M180" s="14">
        <v>20002</v>
      </c>
      <c r="P180" s="2" t="str">
        <f t="shared" si="5"/>
        <v>千里穷追</v>
      </c>
      <c r="Q180" s="1">
        <v>1164</v>
      </c>
      <c r="R180" s="1">
        <v>1</v>
      </c>
      <c r="S180" s="1">
        <v>164</v>
      </c>
      <c r="T180" s="1" t="str">
        <f t="shared" si="4"/>
        <v>【普通 17-4】  &lt;color=#c4b8aa&gt;千里穷追&lt;/color&gt;</v>
      </c>
    </row>
    <row r="181" spans="6:20" x14ac:dyDescent="0.15">
      <c r="F181" s="11">
        <v>18</v>
      </c>
      <c r="G181" s="11">
        <v>179</v>
      </c>
      <c r="H181" s="14">
        <v>100209</v>
      </c>
      <c r="I181" s="14">
        <v>40200</v>
      </c>
      <c r="J181" s="14">
        <v>30000</v>
      </c>
      <c r="K181" s="14">
        <v>20001</v>
      </c>
      <c r="L181" s="14">
        <v>20001</v>
      </c>
      <c r="M181" s="14">
        <v>20002</v>
      </c>
      <c r="P181" s="2" t="str">
        <f t="shared" si="5"/>
        <v>波斯王之殒</v>
      </c>
      <c r="Q181" s="1">
        <v>1165</v>
      </c>
      <c r="R181" s="1">
        <v>1</v>
      </c>
      <c r="S181" s="1">
        <v>165</v>
      </c>
      <c r="T181" s="1" t="str">
        <f t="shared" si="4"/>
        <v>【普通 17-5】  &lt;color=#c4b8aa&gt;波斯王之殒&lt;/color&gt;</v>
      </c>
    </row>
    <row r="182" spans="6:20" x14ac:dyDescent="0.15">
      <c r="F182" s="11">
        <v>18</v>
      </c>
      <c r="G182" s="11">
        <v>180</v>
      </c>
      <c r="H182" s="14">
        <v>100209</v>
      </c>
      <c r="I182" s="14">
        <v>40200</v>
      </c>
      <c r="J182" s="14">
        <v>30000</v>
      </c>
      <c r="K182" s="14">
        <v>20001</v>
      </c>
      <c r="L182" s="14">
        <v>20001</v>
      </c>
      <c r="M182" s="14">
        <v>20002</v>
      </c>
      <c r="P182" s="2" t="str">
        <f t="shared" si="5"/>
        <v>异端之国</v>
      </c>
      <c r="Q182" s="1">
        <v>1166</v>
      </c>
      <c r="R182" s="1">
        <v>1</v>
      </c>
      <c r="S182" s="1">
        <v>166</v>
      </c>
      <c r="T182" s="1" t="str">
        <f t="shared" si="4"/>
        <v>【普通 17-6】  &lt;color=#c4b8aa&gt;异端之国&lt;/color&gt;</v>
      </c>
    </row>
    <row r="183" spans="6:20" x14ac:dyDescent="0.15">
      <c r="F183" s="12">
        <v>19</v>
      </c>
      <c r="G183" s="12">
        <v>181</v>
      </c>
      <c r="H183" s="14">
        <v>100010</v>
      </c>
      <c r="I183" s="14">
        <v>40200</v>
      </c>
      <c r="J183" s="14">
        <v>30000</v>
      </c>
      <c r="K183" s="14">
        <v>20001</v>
      </c>
      <c r="L183" s="14">
        <v>20001</v>
      </c>
      <c r="M183" s="14">
        <v>20002</v>
      </c>
      <c r="P183" s="2" t="str">
        <f t="shared" si="5"/>
        <v>色雷斯之灾</v>
      </c>
      <c r="Q183" s="1">
        <v>1167</v>
      </c>
      <c r="R183" s="1">
        <v>1</v>
      </c>
      <c r="S183" s="1">
        <v>167</v>
      </c>
      <c r="T183" s="1" t="str">
        <f t="shared" si="4"/>
        <v>【普通 17-7】  &lt;color=#c4b8aa&gt;色雷斯之灾&lt;/color&gt;</v>
      </c>
    </row>
    <row r="184" spans="6:20" x14ac:dyDescent="0.15">
      <c r="F184" s="12">
        <v>19</v>
      </c>
      <c r="G184" s="12">
        <v>182</v>
      </c>
      <c r="H184" s="14">
        <v>100010</v>
      </c>
      <c r="I184" s="14">
        <v>40200</v>
      </c>
      <c r="J184" s="14">
        <v>30000</v>
      </c>
      <c r="K184" s="14">
        <v>20001</v>
      </c>
      <c r="L184" s="14">
        <v>20001</v>
      </c>
      <c r="M184" s="14">
        <v>20002</v>
      </c>
      <c r="P184" s="2" t="str">
        <f t="shared" si="5"/>
        <v>铸成大错</v>
      </c>
      <c r="Q184" s="1">
        <v>1168</v>
      </c>
      <c r="R184" s="1">
        <v>1</v>
      </c>
      <c r="S184" s="1">
        <v>168</v>
      </c>
      <c r="T184" s="1" t="str">
        <f t="shared" si="4"/>
        <v>【普通 17-8】  &lt;color=#c4b8aa&gt;铸成大错&lt;/color&gt;</v>
      </c>
    </row>
    <row r="185" spans="6:20" x14ac:dyDescent="0.15">
      <c r="F185" s="12">
        <v>19</v>
      </c>
      <c r="G185" s="12">
        <v>183</v>
      </c>
      <c r="H185" s="14">
        <v>100010</v>
      </c>
      <c r="I185" s="14">
        <v>40200</v>
      </c>
      <c r="J185" s="14">
        <v>30000</v>
      </c>
      <c r="K185" s="14">
        <v>20001</v>
      </c>
      <c r="L185" s="14">
        <v>20001</v>
      </c>
      <c r="M185" s="14">
        <v>20002</v>
      </c>
      <c r="P185" s="2" t="str">
        <f t="shared" si="5"/>
        <v>破誓者之志</v>
      </c>
      <c r="Q185" s="1">
        <v>1169</v>
      </c>
      <c r="R185" s="1">
        <v>1</v>
      </c>
      <c r="S185" s="1">
        <v>169</v>
      </c>
      <c r="T185" s="1" t="str">
        <f t="shared" si="4"/>
        <v>【普通 17-9】  &lt;color=#c4b8aa&gt;破誓者之志&lt;/color&gt;</v>
      </c>
    </row>
    <row r="186" spans="6:20" x14ac:dyDescent="0.15">
      <c r="F186" s="12">
        <v>19</v>
      </c>
      <c r="G186" s="12">
        <v>184</v>
      </c>
      <c r="H186" s="14">
        <v>100010</v>
      </c>
      <c r="I186" s="14">
        <v>40200</v>
      </c>
      <c r="J186" s="14">
        <v>30000</v>
      </c>
      <c r="K186" s="14">
        <v>20001</v>
      </c>
      <c r="L186" s="14">
        <v>20001</v>
      </c>
      <c r="M186" s="14">
        <v>20002</v>
      </c>
      <c r="P186" s="2" t="str">
        <f t="shared" si="5"/>
        <v>复仇女神</v>
      </c>
      <c r="Q186" s="1">
        <v>1170</v>
      </c>
      <c r="R186" s="1">
        <v>1</v>
      </c>
      <c r="S186" s="1">
        <v>170</v>
      </c>
      <c r="T186" s="1" t="str">
        <f t="shared" si="4"/>
        <v>【普通 17-10】  &lt;color=#c4b8aa&gt;复仇女神&lt;/color&gt;</v>
      </c>
    </row>
    <row r="187" spans="6:20" x14ac:dyDescent="0.15">
      <c r="F187" s="12">
        <v>19</v>
      </c>
      <c r="G187" s="12">
        <v>185</v>
      </c>
      <c r="H187" s="14">
        <v>100110</v>
      </c>
      <c r="I187" s="14">
        <v>40200</v>
      </c>
      <c r="J187" s="14">
        <v>30000</v>
      </c>
      <c r="K187" s="14">
        <v>20001</v>
      </c>
      <c r="L187" s="14">
        <v>20001</v>
      </c>
      <c r="M187" s="14">
        <v>20002</v>
      </c>
      <c r="P187" s="2" t="str">
        <f t="shared" si="5"/>
        <v>异变突生</v>
      </c>
      <c r="Q187" s="1">
        <v>1171</v>
      </c>
      <c r="R187" s="1">
        <v>1</v>
      </c>
      <c r="S187" s="1">
        <v>171</v>
      </c>
      <c r="T187" s="1" t="str">
        <f t="shared" si="4"/>
        <v>【普通 18-1】  &lt;color=#c4b8aa&gt;异变突生&lt;/color&gt;</v>
      </c>
    </row>
    <row r="188" spans="6:20" x14ac:dyDescent="0.15">
      <c r="F188" s="12">
        <v>19</v>
      </c>
      <c r="G188" s="12">
        <v>186</v>
      </c>
      <c r="H188" s="14">
        <v>100110</v>
      </c>
      <c r="I188" s="14">
        <v>40200</v>
      </c>
      <c r="J188" s="14">
        <v>30000</v>
      </c>
      <c r="K188" s="14">
        <v>20001</v>
      </c>
      <c r="L188" s="14">
        <v>20001</v>
      </c>
      <c r="M188" s="14">
        <v>20002</v>
      </c>
      <c r="P188" s="2" t="str">
        <f t="shared" si="5"/>
        <v>莱山德归国</v>
      </c>
      <c r="Q188" s="1">
        <v>1172</v>
      </c>
      <c r="R188" s="1">
        <v>1</v>
      </c>
      <c r="S188" s="1">
        <v>172</v>
      </c>
      <c r="T188" s="1" t="str">
        <f t="shared" si="4"/>
        <v>【普通 18-2】  &lt;color=#c4b8aa&gt;莱山德归国&lt;/color&gt;</v>
      </c>
    </row>
    <row r="189" spans="6:20" x14ac:dyDescent="0.15">
      <c r="F189" s="12">
        <v>19</v>
      </c>
      <c r="G189" s="12">
        <v>187</v>
      </c>
      <c r="H189" s="14">
        <v>100110</v>
      </c>
      <c r="I189" s="14">
        <v>40200</v>
      </c>
      <c r="J189" s="14">
        <v>30000</v>
      </c>
      <c r="K189" s="14">
        <v>20001</v>
      </c>
      <c r="L189" s="14">
        <v>20001</v>
      </c>
      <c r="M189" s="14">
        <v>20002</v>
      </c>
      <c r="P189" s="2" t="str">
        <f t="shared" si="5"/>
        <v>英雄之路</v>
      </c>
      <c r="Q189" s="1">
        <v>1173</v>
      </c>
      <c r="R189" s="1">
        <v>1</v>
      </c>
      <c r="S189" s="1">
        <v>173</v>
      </c>
      <c r="T189" s="1" t="str">
        <f t="shared" si="4"/>
        <v>【普通 18-3】  &lt;color=#c4b8aa&gt;英雄之路&lt;/color&gt;</v>
      </c>
    </row>
    <row r="190" spans="6:20" x14ac:dyDescent="0.15">
      <c r="F190" s="12">
        <v>19</v>
      </c>
      <c r="G190" s="12">
        <v>188</v>
      </c>
      <c r="H190" s="14">
        <v>100210</v>
      </c>
      <c r="I190" s="14">
        <v>40200</v>
      </c>
      <c r="J190" s="14">
        <v>30000</v>
      </c>
      <c r="K190" s="14">
        <v>20001</v>
      </c>
      <c r="L190" s="14">
        <v>20001</v>
      </c>
      <c r="M190" s="14">
        <v>20002</v>
      </c>
      <c r="P190" s="2" t="str">
        <f t="shared" si="5"/>
        <v>潜行避战</v>
      </c>
      <c r="Q190" s="1">
        <v>1174</v>
      </c>
      <c r="R190" s="1">
        <v>1</v>
      </c>
      <c r="S190" s="1">
        <v>174</v>
      </c>
      <c r="T190" s="1" t="str">
        <f t="shared" si="4"/>
        <v>【普通 18-4】  &lt;color=#c4b8aa&gt;潜行避战&lt;/color&gt;</v>
      </c>
    </row>
    <row r="191" spans="6:20" x14ac:dyDescent="0.15">
      <c r="F191" s="12">
        <v>19</v>
      </c>
      <c r="G191" s="12">
        <v>189</v>
      </c>
      <c r="H191" s="14">
        <v>100210</v>
      </c>
      <c r="I191" s="14">
        <v>40200</v>
      </c>
      <c r="J191" s="14">
        <v>30000</v>
      </c>
      <c r="K191" s="14">
        <v>20001</v>
      </c>
      <c r="L191" s="14">
        <v>20001</v>
      </c>
      <c r="M191" s="14">
        <v>20002</v>
      </c>
      <c r="P191" s="2" t="str">
        <f t="shared" si="5"/>
        <v>三头犬之死</v>
      </c>
      <c r="Q191" s="1">
        <v>1175</v>
      </c>
      <c r="R191" s="1">
        <v>1</v>
      </c>
      <c r="S191" s="1">
        <v>175</v>
      </c>
      <c r="T191" s="1" t="str">
        <f t="shared" si="4"/>
        <v>【普通 18-5】  &lt;color=#c4b8aa&gt;三头犬之死&lt;/color&gt;</v>
      </c>
    </row>
    <row r="192" spans="6:20" x14ac:dyDescent="0.15">
      <c r="F192" s="12">
        <v>19</v>
      </c>
      <c r="G192" s="12">
        <v>190</v>
      </c>
      <c r="H192" s="14">
        <v>100210</v>
      </c>
      <c r="I192" s="14">
        <v>40200</v>
      </c>
      <c r="J192" s="14">
        <v>30000</v>
      </c>
      <c r="K192" s="14">
        <v>20001</v>
      </c>
      <c r="L192" s="14">
        <v>20001</v>
      </c>
      <c r="M192" s="14">
        <v>20002</v>
      </c>
      <c r="P192" s="2" t="str">
        <f t="shared" si="5"/>
        <v>大战伊始</v>
      </c>
      <c r="Q192" s="1">
        <v>1176</v>
      </c>
      <c r="R192" s="1">
        <v>1</v>
      </c>
      <c r="S192" s="1">
        <v>176</v>
      </c>
      <c r="T192" s="1" t="str">
        <f t="shared" si="4"/>
        <v>【普通 18-6】  &lt;color=#c4b8aa&gt;大战伊始&lt;/color&gt;</v>
      </c>
    </row>
    <row r="193" spans="6:20" x14ac:dyDescent="0.15">
      <c r="F193" s="13">
        <v>20</v>
      </c>
      <c r="G193" s="13">
        <v>191</v>
      </c>
      <c r="H193" s="14">
        <v>100010</v>
      </c>
      <c r="I193" s="14">
        <v>40200</v>
      </c>
      <c r="J193" s="14">
        <v>30000</v>
      </c>
      <c r="K193" s="14">
        <v>20001</v>
      </c>
      <c r="L193" s="14">
        <v>20001</v>
      </c>
      <c r="M193" s="14">
        <v>20002</v>
      </c>
      <c r="P193" s="2" t="str">
        <f t="shared" si="5"/>
        <v>家园惊变</v>
      </c>
      <c r="Q193" s="1">
        <v>1177</v>
      </c>
      <c r="R193" s="1">
        <v>1</v>
      </c>
      <c r="S193" s="1">
        <v>177</v>
      </c>
      <c r="T193" s="1" t="str">
        <f t="shared" si="4"/>
        <v>【普通 18-7】  &lt;color=#c4b8aa&gt;家园惊变&lt;/color&gt;</v>
      </c>
    </row>
    <row r="194" spans="6:20" x14ac:dyDescent="0.15">
      <c r="F194" s="13">
        <v>20</v>
      </c>
      <c r="G194" s="13">
        <v>192</v>
      </c>
      <c r="H194" s="14">
        <v>100010</v>
      </c>
      <c r="I194" s="14">
        <v>40200</v>
      </c>
      <c r="J194" s="14">
        <v>30000</v>
      </c>
      <c r="K194" s="14">
        <v>20001</v>
      </c>
      <c r="L194" s="14">
        <v>20001</v>
      </c>
      <c r="M194" s="14">
        <v>20002</v>
      </c>
      <c r="P194" s="2" t="str">
        <f t="shared" si="5"/>
        <v>疯狂的战神</v>
      </c>
      <c r="Q194" s="1">
        <v>1178</v>
      </c>
      <c r="R194" s="1">
        <v>1</v>
      </c>
      <c r="S194" s="1">
        <v>178</v>
      </c>
      <c r="T194" s="1" t="str">
        <f t="shared" si="4"/>
        <v>【普通 18-8】  &lt;color=#c4b8aa&gt;疯狂的战神&lt;/color&gt;</v>
      </c>
    </row>
    <row r="195" spans="6:20" x14ac:dyDescent="0.15">
      <c r="F195" s="13">
        <v>20</v>
      </c>
      <c r="G195" s="13">
        <v>193</v>
      </c>
      <c r="H195" s="14">
        <v>100010</v>
      </c>
      <c r="I195" s="14">
        <v>40200</v>
      </c>
      <c r="J195" s="14">
        <v>30000</v>
      </c>
      <c r="K195" s="14">
        <v>20001</v>
      </c>
      <c r="L195" s="14">
        <v>20001</v>
      </c>
      <c r="M195" s="14">
        <v>20002</v>
      </c>
      <c r="P195" s="2" t="str">
        <f t="shared" si="5"/>
        <v>利比亚蝎王</v>
      </c>
      <c r="Q195" s="1">
        <v>1179</v>
      </c>
      <c r="R195" s="1">
        <v>1</v>
      </c>
      <c r="S195" s="1">
        <v>179</v>
      </c>
      <c r="T195" s="1" t="str">
        <f t="shared" si="4"/>
        <v>【普通 18-9】  &lt;color=#c4b8aa&gt;利比亚蝎王&lt;/color&gt;</v>
      </c>
    </row>
    <row r="196" spans="6:20" x14ac:dyDescent="0.15">
      <c r="F196" s="13">
        <v>20</v>
      </c>
      <c r="G196" s="13">
        <v>194</v>
      </c>
      <c r="H196" s="14">
        <v>100010</v>
      </c>
      <c r="I196" s="14">
        <v>40200</v>
      </c>
      <c r="J196" s="14">
        <v>30000</v>
      </c>
      <c r="K196" s="14">
        <v>20001</v>
      </c>
      <c r="L196" s="14">
        <v>20001</v>
      </c>
      <c r="M196" s="14">
        <v>20002</v>
      </c>
      <c r="P196" s="2" t="str">
        <f t="shared" si="5"/>
        <v>斩蝎行动</v>
      </c>
      <c r="Q196" s="1">
        <v>1180</v>
      </c>
      <c r="R196" s="1">
        <v>1</v>
      </c>
      <c r="S196" s="1">
        <v>180</v>
      </c>
      <c r="T196" s="1" t="str">
        <f t="shared" si="4"/>
        <v>【普通 18-10】  &lt;color=#c4b8aa&gt;斩蝎行动&lt;/color&gt;</v>
      </c>
    </row>
    <row r="197" spans="6:20" x14ac:dyDescent="0.15">
      <c r="F197" s="13">
        <v>20</v>
      </c>
      <c r="G197" s="13">
        <v>195</v>
      </c>
      <c r="H197" s="14">
        <v>100110</v>
      </c>
      <c r="I197" s="14">
        <v>40200</v>
      </c>
      <c r="J197" s="14">
        <v>30000</v>
      </c>
      <c r="K197" s="14">
        <v>20001</v>
      </c>
      <c r="L197" s="14">
        <v>20001</v>
      </c>
      <c r="M197" s="14">
        <v>20002</v>
      </c>
      <c r="P197" s="2" t="str">
        <f t="shared" si="5"/>
        <v>烽火余生</v>
      </c>
      <c r="Q197" s="1">
        <v>1181</v>
      </c>
      <c r="R197" s="1">
        <v>1</v>
      </c>
      <c r="S197" s="1">
        <v>181</v>
      </c>
      <c r="T197" s="1" t="str">
        <f t="shared" si="4"/>
        <v>【普通 19-1】  &lt;color=#c4b8aa&gt;烽火余生&lt;/color&gt;</v>
      </c>
    </row>
    <row r="198" spans="6:20" x14ac:dyDescent="0.15">
      <c r="F198" s="13">
        <v>20</v>
      </c>
      <c r="G198" s="13">
        <v>196</v>
      </c>
      <c r="H198" s="14">
        <v>100110</v>
      </c>
      <c r="I198" s="14">
        <v>40200</v>
      </c>
      <c r="J198" s="14">
        <v>30000</v>
      </c>
      <c r="K198" s="14">
        <v>20001</v>
      </c>
      <c r="L198" s="14">
        <v>20001</v>
      </c>
      <c r="M198" s="14">
        <v>20002</v>
      </c>
      <c r="P198" s="2" t="str">
        <f t="shared" si="5"/>
        <v>城郊寻女</v>
      </c>
      <c r="Q198" s="1">
        <v>1182</v>
      </c>
      <c r="R198" s="1">
        <v>1</v>
      </c>
      <c r="S198" s="1">
        <v>182</v>
      </c>
      <c r="T198" s="1" t="str">
        <f t="shared" si="4"/>
        <v>【普通 19-2】  &lt;color=#c4b8aa&gt;城郊寻女&lt;/color&gt;</v>
      </c>
    </row>
    <row r="199" spans="6:20" x14ac:dyDescent="0.15">
      <c r="F199" s="13">
        <v>20</v>
      </c>
      <c r="G199" s="13">
        <v>197</v>
      </c>
      <c r="H199" s="14">
        <v>100110</v>
      </c>
      <c r="I199" s="14">
        <v>40200</v>
      </c>
      <c r="J199" s="14">
        <v>30000</v>
      </c>
      <c r="K199" s="14">
        <v>20001</v>
      </c>
      <c r="L199" s="14">
        <v>20001</v>
      </c>
      <c r="M199" s="14">
        <v>20002</v>
      </c>
      <c r="P199" s="2" t="str">
        <f t="shared" si="5"/>
        <v>战神的指引</v>
      </c>
      <c r="Q199" s="1">
        <v>1183</v>
      </c>
      <c r="R199" s="1">
        <v>1</v>
      </c>
      <c r="S199" s="1">
        <v>183</v>
      </c>
      <c r="T199" s="1" t="str">
        <f t="shared" si="4"/>
        <v>【普通 19-3】  &lt;color=#c4b8aa&gt;战神的指引&lt;/color&gt;</v>
      </c>
    </row>
    <row r="200" spans="6:20" x14ac:dyDescent="0.15">
      <c r="F200" s="13">
        <v>20</v>
      </c>
      <c r="G200" s="13">
        <v>198</v>
      </c>
      <c r="H200" s="14">
        <v>100210</v>
      </c>
      <c r="I200" s="14">
        <v>40200</v>
      </c>
      <c r="J200" s="14">
        <v>30000</v>
      </c>
      <c r="K200" s="14">
        <v>20001</v>
      </c>
      <c r="L200" s="14">
        <v>20001</v>
      </c>
      <c r="M200" s="14">
        <v>20002</v>
      </c>
      <c r="P200" s="2" t="str">
        <f t="shared" si="5"/>
        <v>温泉关之战</v>
      </c>
      <c r="Q200" s="1">
        <v>1184</v>
      </c>
      <c r="R200" s="1">
        <v>1</v>
      </c>
      <c r="S200" s="1">
        <v>184</v>
      </c>
      <c r="T200" s="1" t="str">
        <f t="shared" si="4"/>
        <v>【普通 19-4】  &lt;color=#c4b8aa&gt;温泉关之战&lt;/color&gt;</v>
      </c>
    </row>
    <row r="201" spans="6:20" x14ac:dyDescent="0.15">
      <c r="F201" s="13">
        <v>20</v>
      </c>
      <c r="G201" s="13">
        <v>199</v>
      </c>
      <c r="H201" s="14">
        <v>100210</v>
      </c>
      <c r="I201" s="14">
        <v>40200</v>
      </c>
      <c r="J201" s="14">
        <v>30000</v>
      </c>
      <c r="K201" s="14">
        <v>20001</v>
      </c>
      <c r="L201" s="14">
        <v>20001</v>
      </c>
      <c r="M201" s="14">
        <v>20002</v>
      </c>
      <c r="P201" s="2" t="str">
        <f t="shared" si="5"/>
        <v>巨人的毁灭</v>
      </c>
      <c r="Q201" s="1">
        <v>1185</v>
      </c>
      <c r="R201" s="1">
        <v>1</v>
      </c>
      <c r="S201" s="1">
        <v>185</v>
      </c>
      <c r="T201" s="1" t="str">
        <f t="shared" si="4"/>
        <v>【普通 19-5】  &lt;color=#c4b8aa&gt;巨人的毁灭&lt;/color&gt;</v>
      </c>
    </row>
    <row r="202" spans="6:20" x14ac:dyDescent="0.15">
      <c r="F202" s="13">
        <v>20</v>
      </c>
      <c r="G202" s="13">
        <v>200</v>
      </c>
      <c r="H202" s="14">
        <v>100210</v>
      </c>
      <c r="I202" s="14">
        <v>40200</v>
      </c>
      <c r="J202" s="14">
        <v>30000</v>
      </c>
      <c r="K202" s="14">
        <v>20001</v>
      </c>
      <c r="L202" s="14">
        <v>20001</v>
      </c>
      <c r="M202" s="14">
        <v>20002</v>
      </c>
      <c r="P202" s="2" t="str">
        <f t="shared" si="5"/>
        <v>战争余烬</v>
      </c>
      <c r="Q202" s="1">
        <v>1186</v>
      </c>
      <c r="R202" s="1">
        <v>1</v>
      </c>
      <c r="S202" s="1">
        <v>186</v>
      </c>
      <c r="T202" s="1" t="str">
        <f t="shared" si="4"/>
        <v>【普通 19-6】  &lt;color=#c4b8aa&gt;战争余烬&lt;/color&gt;</v>
      </c>
    </row>
    <row r="203" spans="6:20" x14ac:dyDescent="0.15">
      <c r="P203" s="2" t="str">
        <f t="shared" si="5"/>
        <v>名王东逃</v>
      </c>
      <c r="Q203" s="1">
        <v>1187</v>
      </c>
      <c r="R203" s="1">
        <v>1</v>
      </c>
      <c r="S203" s="1">
        <v>187</v>
      </c>
      <c r="T203" s="1" t="str">
        <f t="shared" si="4"/>
        <v>【普通 19-7】  &lt;color=#c4b8aa&gt;名王东逃&lt;/color&gt;</v>
      </c>
    </row>
    <row r="204" spans="6:20" x14ac:dyDescent="0.15">
      <c r="P204" s="2" t="str">
        <f t="shared" si="5"/>
        <v>重赏之下</v>
      </c>
      <c r="Q204" s="1">
        <v>1188</v>
      </c>
      <c r="R204" s="1">
        <v>1</v>
      </c>
      <c r="S204" s="1">
        <v>188</v>
      </c>
      <c r="T204" s="1" t="str">
        <f t="shared" si="4"/>
        <v>【普通 19-8】  &lt;color=#c4b8aa&gt;重赏之下&lt;/color&gt;</v>
      </c>
    </row>
    <row r="205" spans="6:20" x14ac:dyDescent="0.15">
      <c r="P205" s="2" t="str">
        <f t="shared" si="5"/>
        <v>千里穷追</v>
      </c>
      <c r="Q205" s="1">
        <v>1189</v>
      </c>
      <c r="R205" s="1">
        <v>1</v>
      </c>
      <c r="S205" s="1">
        <v>189</v>
      </c>
      <c r="T205" s="1" t="str">
        <f t="shared" si="4"/>
        <v>【普通 19-9】  &lt;color=#c4b8aa&gt;千里穷追&lt;/color&gt;</v>
      </c>
    </row>
    <row r="206" spans="6:20" x14ac:dyDescent="0.15">
      <c r="P206" s="2" t="str">
        <f t="shared" si="5"/>
        <v>波斯王之殒</v>
      </c>
      <c r="Q206" s="1">
        <v>1190</v>
      </c>
      <c r="R206" s="1">
        <v>1</v>
      </c>
      <c r="S206" s="1">
        <v>190</v>
      </c>
      <c r="T206" s="1" t="str">
        <f t="shared" si="4"/>
        <v>【普通 19-10】  &lt;color=#c4b8aa&gt;波斯王之殒&lt;/color&gt;</v>
      </c>
    </row>
    <row r="207" spans="6:20" x14ac:dyDescent="0.15">
      <c r="P207" s="2" t="str">
        <f t="shared" si="5"/>
        <v>异端之国</v>
      </c>
      <c r="Q207" s="1">
        <v>1191</v>
      </c>
      <c r="R207" s="1">
        <v>1</v>
      </c>
      <c r="S207" s="1">
        <v>191</v>
      </c>
      <c r="T207" s="1" t="str">
        <f t="shared" si="4"/>
        <v>【普通 20-1】  &lt;color=#c4b8aa&gt;异端之国&lt;/color&gt;</v>
      </c>
    </row>
    <row r="208" spans="6:20" x14ac:dyDescent="0.15">
      <c r="P208" s="2" t="str">
        <f t="shared" si="5"/>
        <v>色雷斯之灾</v>
      </c>
      <c r="Q208" s="1">
        <v>1192</v>
      </c>
      <c r="R208" s="1">
        <v>1</v>
      </c>
      <c r="S208" s="1">
        <v>192</v>
      </c>
      <c r="T208" s="1" t="str">
        <f t="shared" si="4"/>
        <v>【普通 20-2】  &lt;color=#c4b8aa&gt;色雷斯之灾&lt;/color&gt;</v>
      </c>
    </row>
    <row r="209" spans="15:20" x14ac:dyDescent="0.15">
      <c r="P209" s="2" t="str">
        <f t="shared" si="5"/>
        <v>铸成大错</v>
      </c>
      <c r="Q209" s="1">
        <v>1193</v>
      </c>
      <c r="R209" s="1">
        <v>1</v>
      </c>
      <c r="S209" s="1">
        <v>193</v>
      </c>
      <c r="T209" s="1" t="str">
        <f t="shared" si="4"/>
        <v>【普通 20-3】  &lt;color=#c4b8aa&gt;铸成大错&lt;/color&gt;</v>
      </c>
    </row>
    <row r="210" spans="15:20" x14ac:dyDescent="0.15">
      <c r="P210" s="2" t="str">
        <f t="shared" si="5"/>
        <v>破誓者之志</v>
      </c>
      <c r="Q210" s="1">
        <v>1194</v>
      </c>
      <c r="R210" s="1">
        <v>1</v>
      </c>
      <c r="S210" s="1">
        <v>194</v>
      </c>
      <c r="T210" s="1" t="str">
        <f t="shared" ref="T210:T216" si="6">"【普通 "&amp;F196&amp;"-"&amp;IF(INT(RIGHT(Q210,1))=0,10,RIGHT(Q210,1))&amp;"】  "&amp;"&lt;color=#c4b8aa&gt;"&amp;P210&amp;"&lt;/color&gt;"</f>
        <v>【普通 20-4】  &lt;color=#c4b8aa&gt;破誓者之志&lt;/color&gt;</v>
      </c>
    </row>
    <row r="211" spans="15:20" x14ac:dyDescent="0.15">
      <c r="P211" s="2" t="str">
        <f t="shared" si="5"/>
        <v>复仇女神</v>
      </c>
      <c r="Q211" s="1">
        <v>1195</v>
      </c>
      <c r="R211" s="1">
        <v>1</v>
      </c>
      <c r="S211" s="1">
        <v>195</v>
      </c>
      <c r="T211" s="1" t="str">
        <f t="shared" si="6"/>
        <v>【普通 20-5】  &lt;color=#c4b8aa&gt;复仇女神&lt;/color&gt;</v>
      </c>
    </row>
    <row r="212" spans="15:20" x14ac:dyDescent="0.15">
      <c r="P212" s="2" t="str">
        <f t="shared" si="5"/>
        <v>异变突生</v>
      </c>
      <c r="Q212" s="1">
        <v>1196</v>
      </c>
      <c r="R212" s="1">
        <v>1</v>
      </c>
      <c r="S212" s="1">
        <v>196</v>
      </c>
      <c r="T212" s="1" t="str">
        <f t="shared" si="6"/>
        <v>【普通 20-6】  &lt;color=#c4b8aa&gt;异变突生&lt;/color&gt;</v>
      </c>
    </row>
    <row r="213" spans="15:20" x14ac:dyDescent="0.15">
      <c r="P213" s="2" t="str">
        <f t="shared" si="5"/>
        <v>莱山德归国</v>
      </c>
      <c r="Q213" s="1">
        <v>1197</v>
      </c>
      <c r="R213" s="1">
        <v>1</v>
      </c>
      <c r="S213" s="1">
        <v>197</v>
      </c>
      <c r="T213" s="1" t="str">
        <f t="shared" si="6"/>
        <v>【普通 20-7】  &lt;color=#c4b8aa&gt;莱山德归国&lt;/color&gt;</v>
      </c>
    </row>
    <row r="214" spans="15:20" x14ac:dyDescent="0.15">
      <c r="P214" s="2" t="str">
        <f t="shared" si="5"/>
        <v>英雄之路</v>
      </c>
      <c r="Q214" s="1">
        <v>1198</v>
      </c>
      <c r="R214" s="1">
        <v>1</v>
      </c>
      <c r="S214" s="1">
        <v>198</v>
      </c>
      <c r="T214" s="1" t="str">
        <f t="shared" si="6"/>
        <v>【普通 20-8】  &lt;color=#c4b8aa&gt;英雄之路&lt;/color&gt;</v>
      </c>
    </row>
    <row r="215" spans="15:20" x14ac:dyDescent="0.15">
      <c r="P215" s="2" t="str">
        <f t="shared" si="5"/>
        <v>潜行避战</v>
      </c>
      <c r="Q215" s="1">
        <v>1199</v>
      </c>
      <c r="R215" s="1">
        <v>1</v>
      </c>
      <c r="S215" s="1">
        <v>199</v>
      </c>
      <c r="T215" s="1" t="str">
        <f t="shared" si="6"/>
        <v>【普通 20-9】  &lt;color=#c4b8aa&gt;潜行避战&lt;/color&gt;</v>
      </c>
    </row>
    <row r="216" spans="15:20" x14ac:dyDescent="0.15">
      <c r="P216" s="2" t="str">
        <f t="shared" si="5"/>
        <v>三头犬之死</v>
      </c>
      <c r="Q216" s="1">
        <v>1200</v>
      </c>
      <c r="R216" s="1">
        <v>1</v>
      </c>
      <c r="S216" s="1">
        <v>200</v>
      </c>
      <c r="T216" s="1" t="str">
        <f t="shared" si="6"/>
        <v>【普通 20-10】  &lt;color=#c4b8aa&gt;三头犬之死&lt;/color&gt;</v>
      </c>
    </row>
    <row r="217" spans="15:20" x14ac:dyDescent="0.15">
      <c r="O217" s="2" t="s">
        <v>1</v>
      </c>
      <c r="P217" s="2" t="str">
        <f t="shared" si="5"/>
        <v>大战伊始</v>
      </c>
      <c r="Q217" s="1">
        <v>2001</v>
      </c>
      <c r="R217" s="1">
        <v>2</v>
      </c>
      <c r="S217" s="1">
        <v>1</v>
      </c>
      <c r="T217" s="1" t="str">
        <f>"【困难 "&amp;F3&amp;"-"&amp;IF(INT(RIGHT(Q217,1))=0,10,RIGHT(Q217,1))&amp;"】  "&amp;"&lt;color=#c4b8aa&gt;"&amp;P217&amp;"&lt;/color&gt;"</f>
        <v>【困难 1-1】  &lt;color=#c4b8aa&gt;大战伊始&lt;/color&gt;</v>
      </c>
    </row>
    <row r="218" spans="15:20" x14ac:dyDescent="0.15">
      <c r="P218" s="2" t="str">
        <f t="shared" si="5"/>
        <v>家园惊变</v>
      </c>
      <c r="Q218" s="1">
        <v>2002</v>
      </c>
      <c r="R218" s="1">
        <v>2</v>
      </c>
      <c r="S218" s="1">
        <v>2</v>
      </c>
      <c r="T218" s="1" t="str">
        <f t="shared" ref="T218:T281" si="7">"【困难 "&amp;F4&amp;"-"&amp;IF(INT(RIGHT(Q218,1))=0,10,RIGHT(Q218,1))&amp;"】  "&amp;"&lt;color=#c4b8aa&gt;"&amp;P218&amp;"&lt;/color&gt;"</f>
        <v>【困难 1-2】  &lt;color=#c4b8aa&gt;家园惊变&lt;/color&gt;</v>
      </c>
    </row>
    <row r="219" spans="15:20" x14ac:dyDescent="0.15">
      <c r="P219" s="2" t="str">
        <f t="shared" si="5"/>
        <v>疯狂的战神</v>
      </c>
      <c r="Q219" s="1">
        <v>2003</v>
      </c>
      <c r="R219" s="1">
        <v>2</v>
      </c>
      <c r="S219" s="1">
        <v>3</v>
      </c>
      <c r="T219" s="1" t="str">
        <f t="shared" si="7"/>
        <v>【困难 1-3】  &lt;color=#c4b8aa&gt;疯狂的战神&lt;/color&gt;</v>
      </c>
    </row>
    <row r="220" spans="15:20" x14ac:dyDescent="0.15">
      <c r="P220" s="2" t="str">
        <f t="shared" si="5"/>
        <v>利比亚蝎王</v>
      </c>
      <c r="Q220" s="1">
        <v>2004</v>
      </c>
      <c r="R220" s="1">
        <v>2</v>
      </c>
      <c r="S220" s="1">
        <v>4</v>
      </c>
      <c r="T220" s="1" t="str">
        <f t="shared" si="7"/>
        <v>【困难 1-4】  &lt;color=#c4b8aa&gt;利比亚蝎王&lt;/color&gt;</v>
      </c>
    </row>
    <row r="221" spans="15:20" x14ac:dyDescent="0.15">
      <c r="P221" s="2" t="str">
        <f t="shared" si="5"/>
        <v>斩蝎行动</v>
      </c>
      <c r="Q221" s="1">
        <v>2005</v>
      </c>
      <c r="R221" s="1">
        <v>2</v>
      </c>
      <c r="S221" s="1">
        <v>5</v>
      </c>
      <c r="T221" s="1" t="str">
        <f t="shared" si="7"/>
        <v>【困难 1-5】  &lt;color=#c4b8aa&gt;斩蝎行动&lt;/color&gt;</v>
      </c>
    </row>
    <row r="222" spans="15:20" x14ac:dyDescent="0.15">
      <c r="P222" s="2" t="str">
        <f t="shared" si="5"/>
        <v>烽火余生</v>
      </c>
      <c r="Q222" s="1">
        <v>2006</v>
      </c>
      <c r="R222" s="1">
        <v>2</v>
      </c>
      <c r="S222" s="1">
        <v>6</v>
      </c>
      <c r="T222" s="1" t="str">
        <f t="shared" si="7"/>
        <v>【困难 1-6】  &lt;color=#c4b8aa&gt;烽火余生&lt;/color&gt;</v>
      </c>
    </row>
    <row r="223" spans="15:20" x14ac:dyDescent="0.15">
      <c r="P223" s="2" t="str">
        <f t="shared" si="5"/>
        <v>城郊寻女</v>
      </c>
      <c r="Q223" s="1">
        <v>2007</v>
      </c>
      <c r="R223" s="1">
        <v>2</v>
      </c>
      <c r="S223" s="1">
        <v>7</v>
      </c>
      <c r="T223" s="1" t="str">
        <f t="shared" si="7"/>
        <v>【困难 1-7】  &lt;color=#c4b8aa&gt;城郊寻女&lt;/color&gt;</v>
      </c>
    </row>
    <row r="224" spans="15:20" x14ac:dyDescent="0.15">
      <c r="P224" s="2" t="str">
        <f t="shared" si="5"/>
        <v>战神的指引</v>
      </c>
      <c r="Q224" s="1">
        <v>2008</v>
      </c>
      <c r="R224" s="1">
        <v>2</v>
      </c>
      <c r="S224" s="1">
        <v>8</v>
      </c>
      <c r="T224" s="1" t="str">
        <f t="shared" si="7"/>
        <v>【困难 1-8】  &lt;color=#c4b8aa&gt;战神的指引&lt;/color&gt;</v>
      </c>
    </row>
    <row r="225" spans="16:20" x14ac:dyDescent="0.15">
      <c r="P225" s="2" t="str">
        <f t="shared" si="5"/>
        <v>温泉关之战</v>
      </c>
      <c r="Q225" s="1">
        <v>2009</v>
      </c>
      <c r="R225" s="1">
        <v>2</v>
      </c>
      <c r="S225" s="1">
        <v>9</v>
      </c>
      <c r="T225" s="1" t="str">
        <f t="shared" si="7"/>
        <v>【困难 1-9】  &lt;color=#c4b8aa&gt;温泉关之战&lt;/color&gt;</v>
      </c>
    </row>
    <row r="226" spans="16:20" x14ac:dyDescent="0.15">
      <c r="P226" s="2" t="str">
        <f t="shared" si="5"/>
        <v>巨人的毁灭</v>
      </c>
      <c r="Q226" s="1">
        <v>2010</v>
      </c>
      <c r="R226" s="1">
        <v>2</v>
      </c>
      <c r="S226" s="1">
        <v>10</v>
      </c>
      <c r="T226" s="1" t="str">
        <f t="shared" si="7"/>
        <v>【困难 1-10】  &lt;color=#c4b8aa&gt;巨人的毁灭&lt;/color&gt;</v>
      </c>
    </row>
    <row r="227" spans="16:20" x14ac:dyDescent="0.15">
      <c r="P227" s="2" t="str">
        <f t="shared" si="5"/>
        <v>战争余烬</v>
      </c>
      <c r="Q227" s="1">
        <v>2011</v>
      </c>
      <c r="R227" s="1">
        <v>2</v>
      </c>
      <c r="S227" s="1">
        <v>11</v>
      </c>
      <c r="T227" s="1" t="str">
        <f t="shared" si="7"/>
        <v>【困难 2-1】  &lt;color=#c4b8aa&gt;战争余烬&lt;/color&gt;</v>
      </c>
    </row>
    <row r="228" spans="16:20" x14ac:dyDescent="0.15">
      <c r="P228" s="2" t="str">
        <f t="shared" si="5"/>
        <v>名王东逃</v>
      </c>
      <c r="Q228" s="1">
        <v>2012</v>
      </c>
      <c r="R228" s="1">
        <v>2</v>
      </c>
      <c r="S228" s="1">
        <v>12</v>
      </c>
      <c r="T228" s="1" t="str">
        <f t="shared" si="7"/>
        <v>【困难 2-2】  &lt;color=#c4b8aa&gt;名王东逃&lt;/color&gt;</v>
      </c>
    </row>
    <row r="229" spans="16:20" x14ac:dyDescent="0.15">
      <c r="P229" s="2" t="str">
        <f t="shared" si="5"/>
        <v>重赏之下</v>
      </c>
      <c r="Q229" s="1">
        <v>2013</v>
      </c>
      <c r="R229" s="1">
        <v>2</v>
      </c>
      <c r="S229" s="1">
        <v>13</v>
      </c>
      <c r="T229" s="1" t="str">
        <f t="shared" si="7"/>
        <v>【困难 2-3】  &lt;color=#c4b8aa&gt;重赏之下&lt;/color&gt;</v>
      </c>
    </row>
    <row r="230" spans="16:20" x14ac:dyDescent="0.15">
      <c r="P230" s="2" t="str">
        <f t="shared" si="5"/>
        <v>千里穷追</v>
      </c>
      <c r="Q230" s="1">
        <v>2014</v>
      </c>
      <c r="R230" s="1">
        <v>2</v>
      </c>
      <c r="S230" s="1">
        <v>14</v>
      </c>
      <c r="T230" s="1" t="str">
        <f t="shared" si="7"/>
        <v>【困难 2-4】  &lt;color=#c4b8aa&gt;千里穷追&lt;/color&gt;</v>
      </c>
    </row>
    <row r="231" spans="16:20" x14ac:dyDescent="0.15">
      <c r="P231" s="2" t="str">
        <f t="shared" si="5"/>
        <v>波斯王之殒</v>
      </c>
      <c r="Q231" s="1">
        <v>2015</v>
      </c>
      <c r="R231" s="1">
        <v>2</v>
      </c>
      <c r="S231" s="1">
        <v>15</v>
      </c>
      <c r="T231" s="1" t="str">
        <f t="shared" si="7"/>
        <v>【困难 2-5】  &lt;color=#c4b8aa&gt;波斯王之殒&lt;/color&gt;</v>
      </c>
    </row>
    <row r="232" spans="16:20" x14ac:dyDescent="0.15">
      <c r="P232" s="2" t="str">
        <f t="shared" si="5"/>
        <v>异端之国</v>
      </c>
      <c r="Q232" s="1">
        <v>2016</v>
      </c>
      <c r="R232" s="1">
        <v>2</v>
      </c>
      <c r="S232" s="1">
        <v>16</v>
      </c>
      <c r="T232" s="1" t="str">
        <f t="shared" si="7"/>
        <v>【困难 2-6】  &lt;color=#c4b8aa&gt;异端之国&lt;/color&gt;</v>
      </c>
    </row>
    <row r="233" spans="16:20" x14ac:dyDescent="0.15">
      <c r="P233" s="2" t="str">
        <f t="shared" si="5"/>
        <v>色雷斯之灾</v>
      </c>
      <c r="Q233" s="1">
        <v>2017</v>
      </c>
      <c r="R233" s="1">
        <v>2</v>
      </c>
      <c r="S233" s="1">
        <v>17</v>
      </c>
      <c r="T233" s="1" t="str">
        <f t="shared" si="7"/>
        <v>【困难 2-7】  &lt;color=#c4b8aa&gt;色雷斯之灾&lt;/color&gt;</v>
      </c>
    </row>
    <row r="234" spans="16:20" x14ac:dyDescent="0.15">
      <c r="P234" s="2" t="str">
        <f t="shared" si="5"/>
        <v>铸成大错</v>
      </c>
      <c r="Q234" s="1">
        <v>2018</v>
      </c>
      <c r="R234" s="1">
        <v>2</v>
      </c>
      <c r="S234" s="1">
        <v>18</v>
      </c>
      <c r="T234" s="1" t="str">
        <f t="shared" si="7"/>
        <v>【困难 2-8】  &lt;color=#c4b8aa&gt;铸成大错&lt;/color&gt;</v>
      </c>
    </row>
    <row r="235" spans="16:20" x14ac:dyDescent="0.15">
      <c r="P235" s="2" t="str">
        <f t="shared" ref="P235:P298" si="8">P210</f>
        <v>破誓者之志</v>
      </c>
      <c r="Q235" s="1">
        <v>2019</v>
      </c>
      <c r="R235" s="1">
        <v>2</v>
      </c>
      <c r="S235" s="1">
        <v>19</v>
      </c>
      <c r="T235" s="1" t="str">
        <f t="shared" si="7"/>
        <v>【困难 2-9】  &lt;color=#c4b8aa&gt;破誓者之志&lt;/color&gt;</v>
      </c>
    </row>
    <row r="236" spans="16:20" x14ac:dyDescent="0.15">
      <c r="P236" s="2" t="str">
        <f t="shared" si="8"/>
        <v>复仇女神</v>
      </c>
      <c r="Q236" s="1">
        <v>2020</v>
      </c>
      <c r="R236" s="1">
        <v>2</v>
      </c>
      <c r="S236" s="1">
        <v>20</v>
      </c>
      <c r="T236" s="1" t="str">
        <f t="shared" si="7"/>
        <v>【困难 2-10】  &lt;color=#c4b8aa&gt;复仇女神&lt;/color&gt;</v>
      </c>
    </row>
    <row r="237" spans="16:20" x14ac:dyDescent="0.15">
      <c r="P237" s="2" t="str">
        <f t="shared" si="8"/>
        <v>异变突生</v>
      </c>
      <c r="Q237" s="1">
        <v>2021</v>
      </c>
      <c r="R237" s="1">
        <v>2</v>
      </c>
      <c r="S237" s="1">
        <v>21</v>
      </c>
      <c r="T237" s="1" t="str">
        <f t="shared" si="7"/>
        <v>【困难 3-1】  &lt;color=#c4b8aa&gt;异变突生&lt;/color&gt;</v>
      </c>
    </row>
    <row r="238" spans="16:20" x14ac:dyDescent="0.15">
      <c r="P238" s="2" t="str">
        <f t="shared" si="8"/>
        <v>莱山德归国</v>
      </c>
      <c r="Q238" s="1">
        <v>2022</v>
      </c>
      <c r="R238" s="1">
        <v>2</v>
      </c>
      <c r="S238" s="1">
        <v>22</v>
      </c>
      <c r="T238" s="1" t="str">
        <f t="shared" si="7"/>
        <v>【困难 3-2】  &lt;color=#c4b8aa&gt;莱山德归国&lt;/color&gt;</v>
      </c>
    </row>
    <row r="239" spans="16:20" x14ac:dyDescent="0.15">
      <c r="P239" s="2" t="str">
        <f t="shared" si="8"/>
        <v>英雄之路</v>
      </c>
      <c r="Q239" s="1">
        <v>2023</v>
      </c>
      <c r="R239" s="1">
        <v>2</v>
      </c>
      <c r="S239" s="1">
        <v>23</v>
      </c>
      <c r="T239" s="1" t="str">
        <f t="shared" si="7"/>
        <v>【困难 3-3】  &lt;color=#c4b8aa&gt;英雄之路&lt;/color&gt;</v>
      </c>
    </row>
    <row r="240" spans="16:20" x14ac:dyDescent="0.15">
      <c r="P240" s="2" t="str">
        <f t="shared" si="8"/>
        <v>潜行避战</v>
      </c>
      <c r="Q240" s="1">
        <v>2024</v>
      </c>
      <c r="R240" s="1">
        <v>2</v>
      </c>
      <c r="S240" s="1">
        <v>24</v>
      </c>
      <c r="T240" s="1" t="str">
        <f t="shared" si="7"/>
        <v>【困难 3-4】  &lt;color=#c4b8aa&gt;潜行避战&lt;/color&gt;</v>
      </c>
    </row>
    <row r="241" spans="16:20" x14ac:dyDescent="0.15">
      <c r="P241" s="2" t="str">
        <f t="shared" si="8"/>
        <v>三头犬之死</v>
      </c>
      <c r="Q241" s="1">
        <v>2025</v>
      </c>
      <c r="R241" s="1">
        <v>2</v>
      </c>
      <c r="S241" s="1">
        <v>25</v>
      </c>
      <c r="T241" s="1" t="str">
        <f t="shared" si="7"/>
        <v>【困难 3-5】  &lt;color=#c4b8aa&gt;三头犬之死&lt;/color&gt;</v>
      </c>
    </row>
    <row r="242" spans="16:20" x14ac:dyDescent="0.15">
      <c r="P242" s="2" t="str">
        <f t="shared" si="8"/>
        <v>大战伊始</v>
      </c>
      <c r="Q242" s="1">
        <v>2026</v>
      </c>
      <c r="R242" s="1">
        <v>2</v>
      </c>
      <c r="S242" s="1">
        <v>26</v>
      </c>
      <c r="T242" s="1" t="str">
        <f t="shared" si="7"/>
        <v>【困难 3-6】  &lt;color=#c4b8aa&gt;大战伊始&lt;/color&gt;</v>
      </c>
    </row>
    <row r="243" spans="16:20" x14ac:dyDescent="0.15">
      <c r="P243" s="2" t="str">
        <f t="shared" si="8"/>
        <v>家园惊变</v>
      </c>
      <c r="Q243" s="1">
        <v>2027</v>
      </c>
      <c r="R243" s="1">
        <v>2</v>
      </c>
      <c r="S243" s="1">
        <v>27</v>
      </c>
      <c r="T243" s="1" t="str">
        <f t="shared" si="7"/>
        <v>【困难 3-7】  &lt;color=#c4b8aa&gt;家园惊变&lt;/color&gt;</v>
      </c>
    </row>
    <row r="244" spans="16:20" x14ac:dyDescent="0.15">
      <c r="P244" s="2" t="str">
        <f t="shared" si="8"/>
        <v>疯狂的战神</v>
      </c>
      <c r="Q244" s="1">
        <v>2028</v>
      </c>
      <c r="R244" s="1">
        <v>2</v>
      </c>
      <c r="S244" s="1">
        <v>28</v>
      </c>
      <c r="T244" s="1" t="str">
        <f t="shared" si="7"/>
        <v>【困难 3-8】  &lt;color=#c4b8aa&gt;疯狂的战神&lt;/color&gt;</v>
      </c>
    </row>
    <row r="245" spans="16:20" x14ac:dyDescent="0.15">
      <c r="P245" s="2" t="str">
        <f t="shared" si="8"/>
        <v>利比亚蝎王</v>
      </c>
      <c r="Q245" s="1">
        <v>2029</v>
      </c>
      <c r="R245" s="1">
        <v>2</v>
      </c>
      <c r="S245" s="1">
        <v>29</v>
      </c>
      <c r="T245" s="1" t="str">
        <f t="shared" si="7"/>
        <v>【困难 3-9】  &lt;color=#c4b8aa&gt;利比亚蝎王&lt;/color&gt;</v>
      </c>
    </row>
    <row r="246" spans="16:20" x14ac:dyDescent="0.15">
      <c r="P246" s="2" t="str">
        <f t="shared" si="8"/>
        <v>斩蝎行动</v>
      </c>
      <c r="Q246" s="1">
        <v>2030</v>
      </c>
      <c r="R246" s="1">
        <v>2</v>
      </c>
      <c r="S246" s="1">
        <v>30</v>
      </c>
      <c r="T246" s="1" t="str">
        <f t="shared" si="7"/>
        <v>【困难 3-10】  &lt;color=#c4b8aa&gt;斩蝎行动&lt;/color&gt;</v>
      </c>
    </row>
    <row r="247" spans="16:20" x14ac:dyDescent="0.15">
      <c r="P247" s="2" t="str">
        <f t="shared" si="8"/>
        <v>烽火余生</v>
      </c>
      <c r="Q247" s="1">
        <v>2031</v>
      </c>
      <c r="R247" s="1">
        <v>2</v>
      </c>
      <c r="S247" s="1">
        <v>31</v>
      </c>
      <c r="T247" s="1" t="str">
        <f t="shared" si="7"/>
        <v>【困难 4-1】  &lt;color=#c4b8aa&gt;烽火余生&lt;/color&gt;</v>
      </c>
    </row>
    <row r="248" spans="16:20" x14ac:dyDescent="0.15">
      <c r="P248" s="2" t="str">
        <f t="shared" si="8"/>
        <v>城郊寻女</v>
      </c>
      <c r="Q248" s="1">
        <v>2032</v>
      </c>
      <c r="R248" s="1">
        <v>2</v>
      </c>
      <c r="S248" s="1">
        <v>32</v>
      </c>
      <c r="T248" s="1" t="str">
        <f t="shared" si="7"/>
        <v>【困难 4-2】  &lt;color=#c4b8aa&gt;城郊寻女&lt;/color&gt;</v>
      </c>
    </row>
    <row r="249" spans="16:20" x14ac:dyDescent="0.15">
      <c r="P249" s="2" t="str">
        <f t="shared" si="8"/>
        <v>战神的指引</v>
      </c>
      <c r="Q249" s="1">
        <v>2033</v>
      </c>
      <c r="R249" s="1">
        <v>2</v>
      </c>
      <c r="S249" s="1">
        <v>33</v>
      </c>
      <c r="T249" s="1" t="str">
        <f t="shared" si="7"/>
        <v>【困难 4-3】  &lt;color=#c4b8aa&gt;战神的指引&lt;/color&gt;</v>
      </c>
    </row>
    <row r="250" spans="16:20" x14ac:dyDescent="0.15">
      <c r="P250" s="2" t="str">
        <f t="shared" si="8"/>
        <v>温泉关之战</v>
      </c>
      <c r="Q250" s="1">
        <v>2034</v>
      </c>
      <c r="R250" s="1">
        <v>2</v>
      </c>
      <c r="S250" s="1">
        <v>34</v>
      </c>
      <c r="T250" s="1" t="str">
        <f t="shared" si="7"/>
        <v>【困难 4-4】  &lt;color=#c4b8aa&gt;温泉关之战&lt;/color&gt;</v>
      </c>
    </row>
    <row r="251" spans="16:20" x14ac:dyDescent="0.15">
      <c r="P251" s="2" t="str">
        <f t="shared" si="8"/>
        <v>巨人的毁灭</v>
      </c>
      <c r="Q251" s="1">
        <v>2035</v>
      </c>
      <c r="R251" s="1">
        <v>2</v>
      </c>
      <c r="S251" s="1">
        <v>35</v>
      </c>
      <c r="T251" s="1" t="str">
        <f t="shared" si="7"/>
        <v>【困难 4-5】  &lt;color=#c4b8aa&gt;巨人的毁灭&lt;/color&gt;</v>
      </c>
    </row>
    <row r="252" spans="16:20" x14ac:dyDescent="0.15">
      <c r="P252" s="2" t="str">
        <f t="shared" si="8"/>
        <v>战争余烬</v>
      </c>
      <c r="Q252" s="1">
        <v>2036</v>
      </c>
      <c r="R252" s="1">
        <v>2</v>
      </c>
      <c r="S252" s="1">
        <v>36</v>
      </c>
      <c r="T252" s="1" t="str">
        <f t="shared" si="7"/>
        <v>【困难 4-6】  &lt;color=#c4b8aa&gt;战争余烬&lt;/color&gt;</v>
      </c>
    </row>
    <row r="253" spans="16:20" x14ac:dyDescent="0.15">
      <c r="P253" s="2" t="str">
        <f t="shared" si="8"/>
        <v>名王东逃</v>
      </c>
      <c r="Q253" s="1">
        <v>2037</v>
      </c>
      <c r="R253" s="1">
        <v>2</v>
      </c>
      <c r="S253" s="1">
        <v>37</v>
      </c>
      <c r="T253" s="1" t="str">
        <f t="shared" si="7"/>
        <v>【困难 4-7】  &lt;color=#c4b8aa&gt;名王东逃&lt;/color&gt;</v>
      </c>
    </row>
    <row r="254" spans="16:20" x14ac:dyDescent="0.15">
      <c r="P254" s="2" t="str">
        <f t="shared" si="8"/>
        <v>重赏之下</v>
      </c>
      <c r="Q254" s="1">
        <v>2038</v>
      </c>
      <c r="R254" s="1">
        <v>2</v>
      </c>
      <c r="S254" s="1">
        <v>38</v>
      </c>
      <c r="T254" s="1" t="str">
        <f t="shared" si="7"/>
        <v>【困难 4-8】  &lt;color=#c4b8aa&gt;重赏之下&lt;/color&gt;</v>
      </c>
    </row>
    <row r="255" spans="16:20" x14ac:dyDescent="0.15">
      <c r="P255" s="2" t="str">
        <f t="shared" si="8"/>
        <v>千里穷追</v>
      </c>
      <c r="Q255" s="1">
        <v>2039</v>
      </c>
      <c r="R255" s="1">
        <v>2</v>
      </c>
      <c r="S255" s="1">
        <v>39</v>
      </c>
      <c r="T255" s="1" t="str">
        <f t="shared" si="7"/>
        <v>【困难 4-9】  &lt;color=#c4b8aa&gt;千里穷追&lt;/color&gt;</v>
      </c>
    </row>
    <row r="256" spans="16:20" x14ac:dyDescent="0.15">
      <c r="P256" s="2" t="str">
        <f t="shared" si="8"/>
        <v>波斯王之殒</v>
      </c>
      <c r="Q256" s="1">
        <v>2040</v>
      </c>
      <c r="R256" s="1">
        <v>2</v>
      </c>
      <c r="S256" s="1">
        <v>40</v>
      </c>
      <c r="T256" s="1" t="str">
        <f t="shared" si="7"/>
        <v>【困难 4-10】  &lt;color=#c4b8aa&gt;波斯王之殒&lt;/color&gt;</v>
      </c>
    </row>
    <row r="257" spans="16:20" x14ac:dyDescent="0.15">
      <c r="P257" s="2" t="str">
        <f t="shared" si="8"/>
        <v>异端之国</v>
      </c>
      <c r="Q257" s="1">
        <v>2041</v>
      </c>
      <c r="R257" s="1">
        <v>2</v>
      </c>
      <c r="S257" s="1">
        <v>41</v>
      </c>
      <c r="T257" s="1" t="str">
        <f t="shared" si="7"/>
        <v>【困难 5-1】  &lt;color=#c4b8aa&gt;异端之国&lt;/color&gt;</v>
      </c>
    </row>
    <row r="258" spans="16:20" x14ac:dyDescent="0.15">
      <c r="P258" s="2" t="str">
        <f t="shared" si="8"/>
        <v>色雷斯之灾</v>
      </c>
      <c r="Q258" s="1">
        <v>2042</v>
      </c>
      <c r="R258" s="1">
        <v>2</v>
      </c>
      <c r="S258" s="1">
        <v>42</v>
      </c>
      <c r="T258" s="1" t="str">
        <f t="shared" si="7"/>
        <v>【困难 5-2】  &lt;color=#c4b8aa&gt;色雷斯之灾&lt;/color&gt;</v>
      </c>
    </row>
    <row r="259" spans="16:20" x14ac:dyDescent="0.15">
      <c r="P259" s="2" t="str">
        <f t="shared" si="8"/>
        <v>铸成大错</v>
      </c>
      <c r="Q259" s="1">
        <v>2043</v>
      </c>
      <c r="R259" s="1">
        <v>2</v>
      </c>
      <c r="S259" s="1">
        <v>43</v>
      </c>
      <c r="T259" s="1" t="str">
        <f t="shared" si="7"/>
        <v>【困难 5-3】  &lt;color=#c4b8aa&gt;铸成大错&lt;/color&gt;</v>
      </c>
    </row>
    <row r="260" spans="16:20" x14ac:dyDescent="0.15">
      <c r="P260" s="2" t="str">
        <f t="shared" si="8"/>
        <v>破誓者之志</v>
      </c>
      <c r="Q260" s="1">
        <v>2044</v>
      </c>
      <c r="R260" s="1">
        <v>2</v>
      </c>
      <c r="S260" s="1">
        <v>44</v>
      </c>
      <c r="T260" s="1" t="str">
        <f t="shared" si="7"/>
        <v>【困难 5-4】  &lt;color=#c4b8aa&gt;破誓者之志&lt;/color&gt;</v>
      </c>
    </row>
    <row r="261" spans="16:20" x14ac:dyDescent="0.15">
      <c r="P261" s="2" t="str">
        <f t="shared" si="8"/>
        <v>复仇女神</v>
      </c>
      <c r="Q261" s="1">
        <v>2045</v>
      </c>
      <c r="R261" s="1">
        <v>2</v>
      </c>
      <c r="S261" s="1">
        <v>45</v>
      </c>
      <c r="T261" s="1" t="str">
        <f t="shared" si="7"/>
        <v>【困难 5-5】  &lt;color=#c4b8aa&gt;复仇女神&lt;/color&gt;</v>
      </c>
    </row>
    <row r="262" spans="16:20" x14ac:dyDescent="0.15">
      <c r="P262" s="2" t="str">
        <f t="shared" si="8"/>
        <v>异变突生</v>
      </c>
      <c r="Q262" s="1">
        <v>2046</v>
      </c>
      <c r="R262" s="1">
        <v>2</v>
      </c>
      <c r="S262" s="1">
        <v>46</v>
      </c>
      <c r="T262" s="1" t="str">
        <f t="shared" si="7"/>
        <v>【困难 5-6】  &lt;color=#c4b8aa&gt;异变突生&lt;/color&gt;</v>
      </c>
    </row>
    <row r="263" spans="16:20" x14ac:dyDescent="0.15">
      <c r="P263" s="2" t="str">
        <f t="shared" si="8"/>
        <v>莱山德归国</v>
      </c>
      <c r="Q263" s="1">
        <v>2047</v>
      </c>
      <c r="R263" s="1">
        <v>2</v>
      </c>
      <c r="S263" s="1">
        <v>47</v>
      </c>
      <c r="T263" s="1" t="str">
        <f t="shared" si="7"/>
        <v>【困难 5-7】  &lt;color=#c4b8aa&gt;莱山德归国&lt;/color&gt;</v>
      </c>
    </row>
    <row r="264" spans="16:20" x14ac:dyDescent="0.15">
      <c r="P264" s="2" t="str">
        <f t="shared" si="8"/>
        <v>英雄之路</v>
      </c>
      <c r="Q264" s="1">
        <v>2048</v>
      </c>
      <c r="R264" s="1">
        <v>2</v>
      </c>
      <c r="S264" s="1">
        <v>48</v>
      </c>
      <c r="T264" s="1" t="str">
        <f t="shared" si="7"/>
        <v>【困难 5-8】  &lt;color=#c4b8aa&gt;英雄之路&lt;/color&gt;</v>
      </c>
    </row>
    <row r="265" spans="16:20" x14ac:dyDescent="0.15">
      <c r="P265" s="2" t="str">
        <f t="shared" si="8"/>
        <v>潜行避战</v>
      </c>
      <c r="Q265" s="1">
        <v>2049</v>
      </c>
      <c r="R265" s="1">
        <v>2</v>
      </c>
      <c r="S265" s="1">
        <v>49</v>
      </c>
      <c r="T265" s="1" t="str">
        <f t="shared" si="7"/>
        <v>【困难 5-9】  &lt;color=#c4b8aa&gt;潜行避战&lt;/color&gt;</v>
      </c>
    </row>
    <row r="266" spans="16:20" x14ac:dyDescent="0.15">
      <c r="P266" s="2" t="str">
        <f t="shared" si="8"/>
        <v>三头犬之死</v>
      </c>
      <c r="Q266" s="1">
        <v>2050</v>
      </c>
      <c r="R266" s="1">
        <v>2</v>
      </c>
      <c r="S266" s="1">
        <v>50</v>
      </c>
      <c r="T266" s="1" t="str">
        <f t="shared" si="7"/>
        <v>【困难 5-10】  &lt;color=#c4b8aa&gt;三头犬之死&lt;/color&gt;</v>
      </c>
    </row>
    <row r="267" spans="16:20" x14ac:dyDescent="0.15">
      <c r="P267" s="2" t="str">
        <f t="shared" si="8"/>
        <v>大战伊始</v>
      </c>
      <c r="Q267" s="1">
        <v>2051</v>
      </c>
      <c r="R267" s="1">
        <v>2</v>
      </c>
      <c r="S267" s="1">
        <v>51</v>
      </c>
      <c r="T267" s="1" t="str">
        <f t="shared" si="7"/>
        <v>【困难 6-1】  &lt;color=#c4b8aa&gt;大战伊始&lt;/color&gt;</v>
      </c>
    </row>
    <row r="268" spans="16:20" x14ac:dyDescent="0.15">
      <c r="P268" s="2" t="str">
        <f t="shared" si="8"/>
        <v>家园惊变</v>
      </c>
      <c r="Q268" s="1">
        <v>2052</v>
      </c>
      <c r="R268" s="1">
        <v>2</v>
      </c>
      <c r="S268" s="1">
        <v>52</v>
      </c>
      <c r="T268" s="1" t="str">
        <f t="shared" si="7"/>
        <v>【困难 6-2】  &lt;color=#c4b8aa&gt;家园惊变&lt;/color&gt;</v>
      </c>
    </row>
    <row r="269" spans="16:20" x14ac:dyDescent="0.15">
      <c r="P269" s="2" t="str">
        <f t="shared" si="8"/>
        <v>疯狂的战神</v>
      </c>
      <c r="Q269" s="1">
        <v>2053</v>
      </c>
      <c r="R269" s="1">
        <v>2</v>
      </c>
      <c r="S269" s="1">
        <v>53</v>
      </c>
      <c r="T269" s="1" t="str">
        <f t="shared" si="7"/>
        <v>【困难 6-3】  &lt;color=#c4b8aa&gt;疯狂的战神&lt;/color&gt;</v>
      </c>
    </row>
    <row r="270" spans="16:20" x14ac:dyDescent="0.15">
      <c r="P270" s="2" t="str">
        <f t="shared" si="8"/>
        <v>利比亚蝎王</v>
      </c>
      <c r="Q270" s="1">
        <v>2054</v>
      </c>
      <c r="R270" s="1">
        <v>2</v>
      </c>
      <c r="S270" s="1">
        <v>54</v>
      </c>
      <c r="T270" s="1" t="str">
        <f t="shared" si="7"/>
        <v>【困难 6-4】  &lt;color=#c4b8aa&gt;利比亚蝎王&lt;/color&gt;</v>
      </c>
    </row>
    <row r="271" spans="16:20" x14ac:dyDescent="0.15">
      <c r="P271" s="2" t="str">
        <f t="shared" si="8"/>
        <v>斩蝎行动</v>
      </c>
      <c r="Q271" s="1">
        <v>2055</v>
      </c>
      <c r="R271" s="1">
        <v>2</v>
      </c>
      <c r="S271" s="1">
        <v>55</v>
      </c>
      <c r="T271" s="1" t="str">
        <f t="shared" si="7"/>
        <v>【困难 6-5】  &lt;color=#c4b8aa&gt;斩蝎行动&lt;/color&gt;</v>
      </c>
    </row>
    <row r="272" spans="16:20" x14ac:dyDescent="0.15">
      <c r="P272" s="2" t="str">
        <f t="shared" si="8"/>
        <v>烽火余生</v>
      </c>
      <c r="Q272" s="1">
        <v>2056</v>
      </c>
      <c r="R272" s="1">
        <v>2</v>
      </c>
      <c r="S272" s="1">
        <v>56</v>
      </c>
      <c r="T272" s="1" t="str">
        <f t="shared" si="7"/>
        <v>【困难 6-6】  &lt;color=#c4b8aa&gt;烽火余生&lt;/color&gt;</v>
      </c>
    </row>
    <row r="273" spans="16:20" x14ac:dyDescent="0.15">
      <c r="P273" s="2" t="str">
        <f t="shared" si="8"/>
        <v>城郊寻女</v>
      </c>
      <c r="Q273" s="1">
        <v>2057</v>
      </c>
      <c r="R273" s="1">
        <v>2</v>
      </c>
      <c r="S273" s="1">
        <v>57</v>
      </c>
      <c r="T273" s="1" t="str">
        <f t="shared" si="7"/>
        <v>【困难 6-7】  &lt;color=#c4b8aa&gt;城郊寻女&lt;/color&gt;</v>
      </c>
    </row>
    <row r="274" spans="16:20" x14ac:dyDescent="0.15">
      <c r="P274" s="2" t="str">
        <f t="shared" si="8"/>
        <v>战神的指引</v>
      </c>
      <c r="Q274" s="1">
        <v>2058</v>
      </c>
      <c r="R274" s="1">
        <v>2</v>
      </c>
      <c r="S274" s="1">
        <v>58</v>
      </c>
      <c r="T274" s="1" t="str">
        <f t="shared" si="7"/>
        <v>【困难 6-8】  &lt;color=#c4b8aa&gt;战神的指引&lt;/color&gt;</v>
      </c>
    </row>
    <row r="275" spans="16:20" x14ac:dyDescent="0.15">
      <c r="P275" s="2" t="str">
        <f t="shared" si="8"/>
        <v>温泉关之战</v>
      </c>
      <c r="Q275" s="1">
        <v>2059</v>
      </c>
      <c r="R275" s="1">
        <v>2</v>
      </c>
      <c r="S275" s="1">
        <v>59</v>
      </c>
      <c r="T275" s="1" t="str">
        <f t="shared" si="7"/>
        <v>【困难 6-9】  &lt;color=#c4b8aa&gt;温泉关之战&lt;/color&gt;</v>
      </c>
    </row>
    <row r="276" spans="16:20" x14ac:dyDescent="0.15">
      <c r="P276" s="2" t="str">
        <f t="shared" si="8"/>
        <v>巨人的毁灭</v>
      </c>
      <c r="Q276" s="1">
        <v>2060</v>
      </c>
      <c r="R276" s="1">
        <v>2</v>
      </c>
      <c r="S276" s="1">
        <v>60</v>
      </c>
      <c r="T276" s="1" t="str">
        <f t="shared" si="7"/>
        <v>【困难 6-10】  &lt;color=#c4b8aa&gt;巨人的毁灭&lt;/color&gt;</v>
      </c>
    </row>
    <row r="277" spans="16:20" x14ac:dyDescent="0.15">
      <c r="P277" s="2" t="str">
        <f t="shared" si="8"/>
        <v>战争余烬</v>
      </c>
      <c r="Q277" s="1">
        <v>2061</v>
      </c>
      <c r="R277" s="1">
        <v>2</v>
      </c>
      <c r="S277" s="1">
        <v>61</v>
      </c>
      <c r="T277" s="1" t="str">
        <f t="shared" si="7"/>
        <v>【困难 7-1】  &lt;color=#c4b8aa&gt;战争余烬&lt;/color&gt;</v>
      </c>
    </row>
    <row r="278" spans="16:20" x14ac:dyDescent="0.15">
      <c r="P278" s="2" t="str">
        <f t="shared" si="8"/>
        <v>名王东逃</v>
      </c>
      <c r="Q278" s="1">
        <v>2062</v>
      </c>
      <c r="R278" s="1">
        <v>2</v>
      </c>
      <c r="S278" s="1">
        <v>62</v>
      </c>
      <c r="T278" s="1" t="str">
        <f t="shared" si="7"/>
        <v>【困难 7-2】  &lt;color=#c4b8aa&gt;名王东逃&lt;/color&gt;</v>
      </c>
    </row>
    <row r="279" spans="16:20" x14ac:dyDescent="0.15">
      <c r="P279" s="2" t="str">
        <f t="shared" si="8"/>
        <v>重赏之下</v>
      </c>
      <c r="Q279" s="1">
        <v>2063</v>
      </c>
      <c r="R279" s="1">
        <v>2</v>
      </c>
      <c r="S279" s="1">
        <v>63</v>
      </c>
      <c r="T279" s="1" t="str">
        <f t="shared" si="7"/>
        <v>【困难 7-3】  &lt;color=#c4b8aa&gt;重赏之下&lt;/color&gt;</v>
      </c>
    </row>
    <row r="280" spans="16:20" x14ac:dyDescent="0.15">
      <c r="P280" s="2" t="str">
        <f t="shared" si="8"/>
        <v>千里穷追</v>
      </c>
      <c r="Q280" s="1">
        <v>2064</v>
      </c>
      <c r="R280" s="1">
        <v>2</v>
      </c>
      <c r="S280" s="1">
        <v>64</v>
      </c>
      <c r="T280" s="1" t="str">
        <f t="shared" si="7"/>
        <v>【困难 7-4】  &lt;color=#c4b8aa&gt;千里穷追&lt;/color&gt;</v>
      </c>
    </row>
    <row r="281" spans="16:20" x14ac:dyDescent="0.15">
      <c r="P281" s="2" t="str">
        <f t="shared" si="8"/>
        <v>波斯王之殒</v>
      </c>
      <c r="Q281" s="1">
        <v>2065</v>
      </c>
      <c r="R281" s="1">
        <v>2</v>
      </c>
      <c r="S281" s="1">
        <v>65</v>
      </c>
      <c r="T281" s="1" t="str">
        <f t="shared" si="7"/>
        <v>【困难 7-5】  &lt;color=#c4b8aa&gt;波斯王之殒&lt;/color&gt;</v>
      </c>
    </row>
    <row r="282" spans="16:20" x14ac:dyDescent="0.15">
      <c r="P282" s="2" t="str">
        <f t="shared" si="8"/>
        <v>异端之国</v>
      </c>
      <c r="Q282" s="1">
        <v>2066</v>
      </c>
      <c r="R282" s="1">
        <v>2</v>
      </c>
      <c r="S282" s="1">
        <v>66</v>
      </c>
      <c r="T282" s="1" t="str">
        <f t="shared" ref="T282:T345" si="9">"【困难 "&amp;F68&amp;"-"&amp;IF(INT(RIGHT(Q282,1))=0,10,RIGHT(Q282,1))&amp;"】  "&amp;"&lt;color=#c4b8aa&gt;"&amp;P282&amp;"&lt;/color&gt;"</f>
        <v>【困难 7-6】  &lt;color=#c4b8aa&gt;异端之国&lt;/color&gt;</v>
      </c>
    </row>
    <row r="283" spans="16:20" x14ac:dyDescent="0.15">
      <c r="P283" s="2" t="str">
        <f t="shared" si="8"/>
        <v>色雷斯之灾</v>
      </c>
      <c r="Q283" s="1">
        <v>2067</v>
      </c>
      <c r="R283" s="1">
        <v>2</v>
      </c>
      <c r="S283" s="1">
        <v>67</v>
      </c>
      <c r="T283" s="1" t="str">
        <f t="shared" si="9"/>
        <v>【困难 7-7】  &lt;color=#c4b8aa&gt;色雷斯之灾&lt;/color&gt;</v>
      </c>
    </row>
    <row r="284" spans="16:20" x14ac:dyDescent="0.15">
      <c r="P284" s="2" t="str">
        <f t="shared" si="8"/>
        <v>铸成大错</v>
      </c>
      <c r="Q284" s="1">
        <v>2068</v>
      </c>
      <c r="R284" s="1">
        <v>2</v>
      </c>
      <c r="S284" s="1">
        <v>68</v>
      </c>
      <c r="T284" s="1" t="str">
        <f t="shared" si="9"/>
        <v>【困难 7-8】  &lt;color=#c4b8aa&gt;铸成大错&lt;/color&gt;</v>
      </c>
    </row>
    <row r="285" spans="16:20" x14ac:dyDescent="0.15">
      <c r="P285" s="2" t="str">
        <f t="shared" si="8"/>
        <v>破誓者之志</v>
      </c>
      <c r="Q285" s="1">
        <v>2069</v>
      </c>
      <c r="R285" s="1">
        <v>2</v>
      </c>
      <c r="S285" s="1">
        <v>69</v>
      </c>
      <c r="T285" s="1" t="str">
        <f t="shared" si="9"/>
        <v>【困难 7-9】  &lt;color=#c4b8aa&gt;破誓者之志&lt;/color&gt;</v>
      </c>
    </row>
    <row r="286" spans="16:20" x14ac:dyDescent="0.15">
      <c r="P286" s="2" t="str">
        <f t="shared" si="8"/>
        <v>复仇女神</v>
      </c>
      <c r="Q286" s="1">
        <v>2070</v>
      </c>
      <c r="R286" s="1">
        <v>2</v>
      </c>
      <c r="S286" s="1">
        <v>70</v>
      </c>
      <c r="T286" s="1" t="str">
        <f t="shared" si="9"/>
        <v>【困难 7-10】  &lt;color=#c4b8aa&gt;复仇女神&lt;/color&gt;</v>
      </c>
    </row>
    <row r="287" spans="16:20" x14ac:dyDescent="0.15">
      <c r="P287" s="2" t="str">
        <f t="shared" si="8"/>
        <v>异变突生</v>
      </c>
      <c r="Q287" s="1">
        <v>2071</v>
      </c>
      <c r="R287" s="1">
        <v>2</v>
      </c>
      <c r="S287" s="1">
        <v>71</v>
      </c>
      <c r="T287" s="1" t="str">
        <f t="shared" si="9"/>
        <v>【困难 8-1】  &lt;color=#c4b8aa&gt;异变突生&lt;/color&gt;</v>
      </c>
    </row>
    <row r="288" spans="16:20" x14ac:dyDescent="0.15">
      <c r="P288" s="2" t="str">
        <f t="shared" si="8"/>
        <v>莱山德归国</v>
      </c>
      <c r="Q288" s="1">
        <v>2072</v>
      </c>
      <c r="R288" s="1">
        <v>2</v>
      </c>
      <c r="S288" s="1">
        <v>72</v>
      </c>
      <c r="T288" s="1" t="str">
        <f t="shared" si="9"/>
        <v>【困难 8-2】  &lt;color=#c4b8aa&gt;莱山德归国&lt;/color&gt;</v>
      </c>
    </row>
    <row r="289" spans="16:20" x14ac:dyDescent="0.15">
      <c r="P289" s="2" t="str">
        <f t="shared" si="8"/>
        <v>英雄之路</v>
      </c>
      <c r="Q289" s="1">
        <v>2073</v>
      </c>
      <c r="R289" s="1">
        <v>2</v>
      </c>
      <c r="S289" s="1">
        <v>73</v>
      </c>
      <c r="T289" s="1" t="str">
        <f t="shared" si="9"/>
        <v>【困难 8-3】  &lt;color=#c4b8aa&gt;英雄之路&lt;/color&gt;</v>
      </c>
    </row>
    <row r="290" spans="16:20" x14ac:dyDescent="0.15">
      <c r="P290" s="2" t="str">
        <f t="shared" si="8"/>
        <v>潜行避战</v>
      </c>
      <c r="Q290" s="1">
        <v>2074</v>
      </c>
      <c r="R290" s="1">
        <v>2</v>
      </c>
      <c r="S290" s="1">
        <v>74</v>
      </c>
      <c r="T290" s="1" t="str">
        <f t="shared" si="9"/>
        <v>【困难 8-4】  &lt;color=#c4b8aa&gt;潜行避战&lt;/color&gt;</v>
      </c>
    </row>
    <row r="291" spans="16:20" x14ac:dyDescent="0.15">
      <c r="P291" s="2" t="str">
        <f t="shared" si="8"/>
        <v>三头犬之死</v>
      </c>
      <c r="Q291" s="1">
        <v>2075</v>
      </c>
      <c r="R291" s="1">
        <v>2</v>
      </c>
      <c r="S291" s="1">
        <v>75</v>
      </c>
      <c r="T291" s="1" t="str">
        <f t="shared" si="9"/>
        <v>【困难 8-5】  &lt;color=#c4b8aa&gt;三头犬之死&lt;/color&gt;</v>
      </c>
    </row>
    <row r="292" spans="16:20" x14ac:dyDescent="0.15">
      <c r="P292" s="2" t="str">
        <f t="shared" si="8"/>
        <v>大战伊始</v>
      </c>
      <c r="Q292" s="1">
        <v>2076</v>
      </c>
      <c r="R292" s="1">
        <v>2</v>
      </c>
      <c r="S292" s="1">
        <v>76</v>
      </c>
      <c r="T292" s="1" t="str">
        <f t="shared" si="9"/>
        <v>【困难 8-6】  &lt;color=#c4b8aa&gt;大战伊始&lt;/color&gt;</v>
      </c>
    </row>
    <row r="293" spans="16:20" x14ac:dyDescent="0.15">
      <c r="P293" s="2" t="str">
        <f t="shared" si="8"/>
        <v>家园惊变</v>
      </c>
      <c r="Q293" s="1">
        <v>2077</v>
      </c>
      <c r="R293" s="1">
        <v>2</v>
      </c>
      <c r="S293" s="1">
        <v>77</v>
      </c>
      <c r="T293" s="1" t="str">
        <f t="shared" si="9"/>
        <v>【困难 8-7】  &lt;color=#c4b8aa&gt;家园惊变&lt;/color&gt;</v>
      </c>
    </row>
    <row r="294" spans="16:20" x14ac:dyDescent="0.15">
      <c r="P294" s="2" t="str">
        <f t="shared" si="8"/>
        <v>疯狂的战神</v>
      </c>
      <c r="Q294" s="1">
        <v>2078</v>
      </c>
      <c r="R294" s="1">
        <v>2</v>
      </c>
      <c r="S294" s="1">
        <v>78</v>
      </c>
      <c r="T294" s="1" t="str">
        <f t="shared" si="9"/>
        <v>【困难 8-8】  &lt;color=#c4b8aa&gt;疯狂的战神&lt;/color&gt;</v>
      </c>
    </row>
    <row r="295" spans="16:20" x14ac:dyDescent="0.15">
      <c r="P295" s="2" t="str">
        <f t="shared" si="8"/>
        <v>利比亚蝎王</v>
      </c>
      <c r="Q295" s="1">
        <v>2079</v>
      </c>
      <c r="R295" s="1">
        <v>2</v>
      </c>
      <c r="S295" s="1">
        <v>79</v>
      </c>
      <c r="T295" s="1" t="str">
        <f t="shared" si="9"/>
        <v>【困难 8-9】  &lt;color=#c4b8aa&gt;利比亚蝎王&lt;/color&gt;</v>
      </c>
    </row>
    <row r="296" spans="16:20" x14ac:dyDescent="0.15">
      <c r="P296" s="2" t="str">
        <f t="shared" si="8"/>
        <v>斩蝎行动</v>
      </c>
      <c r="Q296" s="1">
        <v>2080</v>
      </c>
      <c r="R296" s="1">
        <v>2</v>
      </c>
      <c r="S296" s="1">
        <v>80</v>
      </c>
      <c r="T296" s="1" t="str">
        <f t="shared" si="9"/>
        <v>【困难 8-10】  &lt;color=#c4b8aa&gt;斩蝎行动&lt;/color&gt;</v>
      </c>
    </row>
    <row r="297" spans="16:20" x14ac:dyDescent="0.15">
      <c r="P297" s="2" t="str">
        <f t="shared" si="8"/>
        <v>烽火余生</v>
      </c>
      <c r="Q297" s="1">
        <v>2081</v>
      </c>
      <c r="R297" s="1">
        <v>2</v>
      </c>
      <c r="S297" s="1">
        <v>81</v>
      </c>
      <c r="T297" s="1" t="str">
        <f t="shared" si="9"/>
        <v>【困难 9-1】  &lt;color=#c4b8aa&gt;烽火余生&lt;/color&gt;</v>
      </c>
    </row>
    <row r="298" spans="16:20" x14ac:dyDescent="0.15">
      <c r="P298" s="2" t="str">
        <f t="shared" si="8"/>
        <v>城郊寻女</v>
      </c>
      <c r="Q298" s="1">
        <v>2082</v>
      </c>
      <c r="R298" s="1">
        <v>2</v>
      </c>
      <c r="S298" s="1">
        <v>82</v>
      </c>
      <c r="T298" s="1" t="str">
        <f t="shared" si="9"/>
        <v>【困难 9-2】  &lt;color=#c4b8aa&gt;城郊寻女&lt;/color&gt;</v>
      </c>
    </row>
    <row r="299" spans="16:20" x14ac:dyDescent="0.15">
      <c r="P299" s="2" t="str">
        <f t="shared" ref="P299:P362" si="10">P274</f>
        <v>战神的指引</v>
      </c>
      <c r="Q299" s="1">
        <v>2083</v>
      </c>
      <c r="R299" s="1">
        <v>2</v>
      </c>
      <c r="S299" s="1">
        <v>83</v>
      </c>
      <c r="T299" s="1" t="str">
        <f t="shared" si="9"/>
        <v>【困难 9-3】  &lt;color=#c4b8aa&gt;战神的指引&lt;/color&gt;</v>
      </c>
    </row>
    <row r="300" spans="16:20" x14ac:dyDescent="0.15">
      <c r="P300" s="2" t="str">
        <f t="shared" si="10"/>
        <v>温泉关之战</v>
      </c>
      <c r="Q300" s="1">
        <v>2084</v>
      </c>
      <c r="R300" s="1">
        <v>2</v>
      </c>
      <c r="S300" s="1">
        <v>84</v>
      </c>
      <c r="T300" s="1" t="str">
        <f t="shared" si="9"/>
        <v>【困难 9-4】  &lt;color=#c4b8aa&gt;温泉关之战&lt;/color&gt;</v>
      </c>
    </row>
    <row r="301" spans="16:20" x14ac:dyDescent="0.15">
      <c r="P301" s="2" t="str">
        <f t="shared" si="10"/>
        <v>巨人的毁灭</v>
      </c>
      <c r="Q301" s="1">
        <v>2085</v>
      </c>
      <c r="R301" s="1">
        <v>2</v>
      </c>
      <c r="S301" s="1">
        <v>85</v>
      </c>
      <c r="T301" s="1" t="str">
        <f t="shared" si="9"/>
        <v>【困难 9-5】  &lt;color=#c4b8aa&gt;巨人的毁灭&lt;/color&gt;</v>
      </c>
    </row>
    <row r="302" spans="16:20" x14ac:dyDescent="0.15">
      <c r="P302" s="2" t="str">
        <f t="shared" si="10"/>
        <v>战争余烬</v>
      </c>
      <c r="Q302" s="1">
        <v>2086</v>
      </c>
      <c r="R302" s="1">
        <v>2</v>
      </c>
      <c r="S302" s="1">
        <v>86</v>
      </c>
      <c r="T302" s="1" t="str">
        <f t="shared" si="9"/>
        <v>【困难 9-6】  &lt;color=#c4b8aa&gt;战争余烬&lt;/color&gt;</v>
      </c>
    </row>
    <row r="303" spans="16:20" x14ac:dyDescent="0.15">
      <c r="P303" s="2" t="str">
        <f t="shared" si="10"/>
        <v>名王东逃</v>
      </c>
      <c r="Q303" s="1">
        <v>2087</v>
      </c>
      <c r="R303" s="1">
        <v>2</v>
      </c>
      <c r="S303" s="1">
        <v>87</v>
      </c>
      <c r="T303" s="1" t="str">
        <f t="shared" si="9"/>
        <v>【困难 9-7】  &lt;color=#c4b8aa&gt;名王东逃&lt;/color&gt;</v>
      </c>
    </row>
    <row r="304" spans="16:20" x14ac:dyDescent="0.15">
      <c r="P304" s="2" t="str">
        <f t="shared" si="10"/>
        <v>重赏之下</v>
      </c>
      <c r="Q304" s="1">
        <v>2088</v>
      </c>
      <c r="R304" s="1">
        <v>2</v>
      </c>
      <c r="S304" s="1">
        <v>88</v>
      </c>
      <c r="T304" s="1" t="str">
        <f t="shared" si="9"/>
        <v>【困难 9-8】  &lt;color=#c4b8aa&gt;重赏之下&lt;/color&gt;</v>
      </c>
    </row>
    <row r="305" spans="16:20" x14ac:dyDescent="0.15">
      <c r="P305" s="2" t="str">
        <f t="shared" si="10"/>
        <v>千里穷追</v>
      </c>
      <c r="Q305" s="1">
        <v>2089</v>
      </c>
      <c r="R305" s="1">
        <v>2</v>
      </c>
      <c r="S305" s="1">
        <v>89</v>
      </c>
      <c r="T305" s="1" t="str">
        <f t="shared" si="9"/>
        <v>【困难 9-9】  &lt;color=#c4b8aa&gt;千里穷追&lt;/color&gt;</v>
      </c>
    </row>
    <row r="306" spans="16:20" x14ac:dyDescent="0.15">
      <c r="P306" s="2" t="str">
        <f t="shared" si="10"/>
        <v>波斯王之殒</v>
      </c>
      <c r="Q306" s="1">
        <v>2090</v>
      </c>
      <c r="R306" s="1">
        <v>2</v>
      </c>
      <c r="S306" s="1">
        <v>90</v>
      </c>
      <c r="T306" s="1" t="str">
        <f t="shared" si="9"/>
        <v>【困难 9-10】  &lt;color=#c4b8aa&gt;波斯王之殒&lt;/color&gt;</v>
      </c>
    </row>
    <row r="307" spans="16:20" x14ac:dyDescent="0.15">
      <c r="P307" s="2" t="str">
        <f t="shared" si="10"/>
        <v>异端之国</v>
      </c>
      <c r="Q307" s="1">
        <v>2091</v>
      </c>
      <c r="R307" s="1">
        <v>2</v>
      </c>
      <c r="S307" s="1">
        <v>91</v>
      </c>
      <c r="T307" s="1" t="str">
        <f t="shared" si="9"/>
        <v>【困难 10-1】  &lt;color=#c4b8aa&gt;异端之国&lt;/color&gt;</v>
      </c>
    </row>
    <row r="308" spans="16:20" x14ac:dyDescent="0.15">
      <c r="P308" s="2" t="str">
        <f t="shared" si="10"/>
        <v>色雷斯之灾</v>
      </c>
      <c r="Q308" s="1">
        <v>2092</v>
      </c>
      <c r="R308" s="1">
        <v>2</v>
      </c>
      <c r="S308" s="1">
        <v>92</v>
      </c>
      <c r="T308" s="1" t="str">
        <f t="shared" si="9"/>
        <v>【困难 10-2】  &lt;color=#c4b8aa&gt;色雷斯之灾&lt;/color&gt;</v>
      </c>
    </row>
    <row r="309" spans="16:20" x14ac:dyDescent="0.15">
      <c r="P309" s="2" t="str">
        <f t="shared" si="10"/>
        <v>铸成大错</v>
      </c>
      <c r="Q309" s="1">
        <v>2093</v>
      </c>
      <c r="R309" s="1">
        <v>2</v>
      </c>
      <c r="S309" s="1">
        <v>93</v>
      </c>
      <c r="T309" s="1" t="str">
        <f t="shared" si="9"/>
        <v>【困难 10-3】  &lt;color=#c4b8aa&gt;铸成大错&lt;/color&gt;</v>
      </c>
    </row>
    <row r="310" spans="16:20" x14ac:dyDescent="0.15">
      <c r="P310" s="2" t="str">
        <f t="shared" si="10"/>
        <v>破誓者之志</v>
      </c>
      <c r="Q310" s="1">
        <v>2094</v>
      </c>
      <c r="R310" s="1">
        <v>2</v>
      </c>
      <c r="S310" s="1">
        <v>94</v>
      </c>
      <c r="T310" s="1" t="str">
        <f t="shared" si="9"/>
        <v>【困难 10-4】  &lt;color=#c4b8aa&gt;破誓者之志&lt;/color&gt;</v>
      </c>
    </row>
    <row r="311" spans="16:20" x14ac:dyDescent="0.15">
      <c r="P311" s="2" t="str">
        <f t="shared" si="10"/>
        <v>复仇女神</v>
      </c>
      <c r="Q311" s="1">
        <v>2095</v>
      </c>
      <c r="R311" s="1">
        <v>2</v>
      </c>
      <c r="S311" s="1">
        <v>95</v>
      </c>
      <c r="T311" s="1" t="str">
        <f t="shared" si="9"/>
        <v>【困难 10-5】  &lt;color=#c4b8aa&gt;复仇女神&lt;/color&gt;</v>
      </c>
    </row>
    <row r="312" spans="16:20" x14ac:dyDescent="0.15">
      <c r="P312" s="2" t="str">
        <f t="shared" si="10"/>
        <v>异变突生</v>
      </c>
      <c r="Q312" s="1">
        <v>2096</v>
      </c>
      <c r="R312" s="1">
        <v>2</v>
      </c>
      <c r="S312" s="1">
        <v>96</v>
      </c>
      <c r="T312" s="1" t="str">
        <f t="shared" si="9"/>
        <v>【困难 10-6】  &lt;color=#c4b8aa&gt;异变突生&lt;/color&gt;</v>
      </c>
    </row>
    <row r="313" spans="16:20" x14ac:dyDescent="0.15">
      <c r="P313" s="2" t="str">
        <f t="shared" si="10"/>
        <v>莱山德归国</v>
      </c>
      <c r="Q313" s="1">
        <v>2097</v>
      </c>
      <c r="R313" s="1">
        <v>2</v>
      </c>
      <c r="S313" s="1">
        <v>97</v>
      </c>
      <c r="T313" s="1" t="str">
        <f t="shared" si="9"/>
        <v>【困难 10-7】  &lt;color=#c4b8aa&gt;莱山德归国&lt;/color&gt;</v>
      </c>
    </row>
    <row r="314" spans="16:20" x14ac:dyDescent="0.15">
      <c r="P314" s="2" t="str">
        <f t="shared" si="10"/>
        <v>英雄之路</v>
      </c>
      <c r="Q314" s="1">
        <v>2098</v>
      </c>
      <c r="R314" s="1">
        <v>2</v>
      </c>
      <c r="S314" s="1">
        <v>98</v>
      </c>
      <c r="T314" s="1" t="str">
        <f t="shared" si="9"/>
        <v>【困难 10-8】  &lt;color=#c4b8aa&gt;英雄之路&lt;/color&gt;</v>
      </c>
    </row>
    <row r="315" spans="16:20" x14ac:dyDescent="0.15">
      <c r="P315" s="2" t="str">
        <f t="shared" si="10"/>
        <v>潜行避战</v>
      </c>
      <c r="Q315" s="1">
        <v>2099</v>
      </c>
      <c r="R315" s="1">
        <v>2</v>
      </c>
      <c r="S315" s="1">
        <v>99</v>
      </c>
      <c r="T315" s="1" t="str">
        <f t="shared" si="9"/>
        <v>【困难 10-9】  &lt;color=#c4b8aa&gt;潜行避战&lt;/color&gt;</v>
      </c>
    </row>
    <row r="316" spans="16:20" x14ac:dyDescent="0.15">
      <c r="P316" s="2" t="str">
        <f t="shared" si="10"/>
        <v>三头犬之死</v>
      </c>
      <c r="Q316" s="1">
        <v>2100</v>
      </c>
      <c r="R316" s="1">
        <v>2</v>
      </c>
      <c r="S316" s="1">
        <v>100</v>
      </c>
      <c r="T316" s="1" t="str">
        <f t="shared" si="9"/>
        <v>【困难 10-10】  &lt;color=#c4b8aa&gt;三头犬之死&lt;/color&gt;</v>
      </c>
    </row>
    <row r="317" spans="16:20" x14ac:dyDescent="0.15">
      <c r="P317" s="2" t="str">
        <f t="shared" si="10"/>
        <v>大战伊始</v>
      </c>
      <c r="Q317" s="1">
        <v>2101</v>
      </c>
      <c r="R317" s="1">
        <v>2</v>
      </c>
      <c r="S317" s="1">
        <v>101</v>
      </c>
      <c r="T317" s="1" t="str">
        <f t="shared" si="9"/>
        <v>【困难 11-1】  &lt;color=#c4b8aa&gt;大战伊始&lt;/color&gt;</v>
      </c>
    </row>
    <row r="318" spans="16:20" x14ac:dyDescent="0.15">
      <c r="P318" s="2" t="str">
        <f t="shared" si="10"/>
        <v>家园惊变</v>
      </c>
      <c r="Q318" s="1">
        <v>2102</v>
      </c>
      <c r="R318" s="1">
        <v>2</v>
      </c>
      <c r="S318" s="1">
        <v>102</v>
      </c>
      <c r="T318" s="1" t="str">
        <f t="shared" si="9"/>
        <v>【困难 11-2】  &lt;color=#c4b8aa&gt;家园惊变&lt;/color&gt;</v>
      </c>
    </row>
    <row r="319" spans="16:20" x14ac:dyDescent="0.15">
      <c r="P319" s="2" t="str">
        <f t="shared" si="10"/>
        <v>疯狂的战神</v>
      </c>
      <c r="Q319" s="1">
        <v>2103</v>
      </c>
      <c r="R319" s="1">
        <v>2</v>
      </c>
      <c r="S319" s="1">
        <v>103</v>
      </c>
      <c r="T319" s="1" t="str">
        <f t="shared" si="9"/>
        <v>【困难 11-3】  &lt;color=#c4b8aa&gt;疯狂的战神&lt;/color&gt;</v>
      </c>
    </row>
    <row r="320" spans="16:20" x14ac:dyDescent="0.15">
      <c r="P320" s="2" t="str">
        <f t="shared" si="10"/>
        <v>利比亚蝎王</v>
      </c>
      <c r="Q320" s="1">
        <v>2104</v>
      </c>
      <c r="R320" s="1">
        <v>2</v>
      </c>
      <c r="S320" s="1">
        <v>104</v>
      </c>
      <c r="T320" s="1" t="str">
        <f t="shared" si="9"/>
        <v>【困难 11-4】  &lt;color=#c4b8aa&gt;利比亚蝎王&lt;/color&gt;</v>
      </c>
    </row>
    <row r="321" spans="16:20" x14ac:dyDescent="0.15">
      <c r="P321" s="2" t="str">
        <f t="shared" si="10"/>
        <v>斩蝎行动</v>
      </c>
      <c r="Q321" s="1">
        <v>2105</v>
      </c>
      <c r="R321" s="1">
        <v>2</v>
      </c>
      <c r="S321" s="1">
        <v>105</v>
      </c>
      <c r="T321" s="1" t="str">
        <f t="shared" si="9"/>
        <v>【困难 11-5】  &lt;color=#c4b8aa&gt;斩蝎行动&lt;/color&gt;</v>
      </c>
    </row>
    <row r="322" spans="16:20" x14ac:dyDescent="0.15">
      <c r="P322" s="2" t="str">
        <f t="shared" si="10"/>
        <v>烽火余生</v>
      </c>
      <c r="Q322" s="1">
        <v>2106</v>
      </c>
      <c r="R322" s="1">
        <v>2</v>
      </c>
      <c r="S322" s="1">
        <v>106</v>
      </c>
      <c r="T322" s="1" t="str">
        <f t="shared" si="9"/>
        <v>【困难 11-6】  &lt;color=#c4b8aa&gt;烽火余生&lt;/color&gt;</v>
      </c>
    </row>
    <row r="323" spans="16:20" x14ac:dyDescent="0.15">
      <c r="P323" s="2" t="str">
        <f t="shared" si="10"/>
        <v>城郊寻女</v>
      </c>
      <c r="Q323" s="1">
        <v>2107</v>
      </c>
      <c r="R323" s="1">
        <v>2</v>
      </c>
      <c r="S323" s="1">
        <v>107</v>
      </c>
      <c r="T323" s="1" t="str">
        <f t="shared" si="9"/>
        <v>【困难 11-7】  &lt;color=#c4b8aa&gt;城郊寻女&lt;/color&gt;</v>
      </c>
    </row>
    <row r="324" spans="16:20" x14ac:dyDescent="0.15">
      <c r="P324" s="2" t="str">
        <f t="shared" si="10"/>
        <v>战神的指引</v>
      </c>
      <c r="Q324" s="1">
        <v>2108</v>
      </c>
      <c r="R324" s="1">
        <v>2</v>
      </c>
      <c r="S324" s="1">
        <v>108</v>
      </c>
      <c r="T324" s="1" t="str">
        <f t="shared" si="9"/>
        <v>【困难 11-8】  &lt;color=#c4b8aa&gt;战神的指引&lt;/color&gt;</v>
      </c>
    </row>
    <row r="325" spans="16:20" x14ac:dyDescent="0.15">
      <c r="P325" s="2" t="str">
        <f t="shared" si="10"/>
        <v>温泉关之战</v>
      </c>
      <c r="Q325" s="1">
        <v>2109</v>
      </c>
      <c r="R325" s="1">
        <v>2</v>
      </c>
      <c r="S325" s="1">
        <v>109</v>
      </c>
      <c r="T325" s="1" t="str">
        <f t="shared" si="9"/>
        <v>【困难 11-9】  &lt;color=#c4b8aa&gt;温泉关之战&lt;/color&gt;</v>
      </c>
    </row>
    <row r="326" spans="16:20" x14ac:dyDescent="0.15">
      <c r="P326" s="2" t="str">
        <f t="shared" si="10"/>
        <v>巨人的毁灭</v>
      </c>
      <c r="Q326" s="1">
        <v>2110</v>
      </c>
      <c r="R326" s="1">
        <v>2</v>
      </c>
      <c r="S326" s="1">
        <v>110</v>
      </c>
      <c r="T326" s="1" t="str">
        <f t="shared" si="9"/>
        <v>【困难 11-10】  &lt;color=#c4b8aa&gt;巨人的毁灭&lt;/color&gt;</v>
      </c>
    </row>
    <row r="327" spans="16:20" x14ac:dyDescent="0.15">
      <c r="P327" s="2" t="str">
        <f t="shared" si="10"/>
        <v>战争余烬</v>
      </c>
      <c r="Q327" s="1">
        <v>2111</v>
      </c>
      <c r="R327" s="1">
        <v>2</v>
      </c>
      <c r="S327" s="1">
        <v>111</v>
      </c>
      <c r="T327" s="1" t="str">
        <f t="shared" si="9"/>
        <v>【困难 12-1】  &lt;color=#c4b8aa&gt;战争余烬&lt;/color&gt;</v>
      </c>
    </row>
    <row r="328" spans="16:20" x14ac:dyDescent="0.15">
      <c r="P328" s="2" t="str">
        <f t="shared" si="10"/>
        <v>名王东逃</v>
      </c>
      <c r="Q328" s="1">
        <v>2112</v>
      </c>
      <c r="R328" s="1">
        <v>2</v>
      </c>
      <c r="S328" s="1">
        <v>112</v>
      </c>
      <c r="T328" s="1" t="str">
        <f t="shared" si="9"/>
        <v>【困难 12-2】  &lt;color=#c4b8aa&gt;名王东逃&lt;/color&gt;</v>
      </c>
    </row>
    <row r="329" spans="16:20" x14ac:dyDescent="0.15">
      <c r="P329" s="2" t="str">
        <f t="shared" si="10"/>
        <v>重赏之下</v>
      </c>
      <c r="Q329" s="1">
        <v>2113</v>
      </c>
      <c r="R329" s="1">
        <v>2</v>
      </c>
      <c r="S329" s="1">
        <v>113</v>
      </c>
      <c r="T329" s="1" t="str">
        <f t="shared" si="9"/>
        <v>【困难 12-3】  &lt;color=#c4b8aa&gt;重赏之下&lt;/color&gt;</v>
      </c>
    </row>
    <row r="330" spans="16:20" x14ac:dyDescent="0.15">
      <c r="P330" s="2" t="str">
        <f t="shared" si="10"/>
        <v>千里穷追</v>
      </c>
      <c r="Q330" s="1">
        <v>2114</v>
      </c>
      <c r="R330" s="1">
        <v>2</v>
      </c>
      <c r="S330" s="1">
        <v>114</v>
      </c>
      <c r="T330" s="1" t="str">
        <f t="shared" si="9"/>
        <v>【困难 12-4】  &lt;color=#c4b8aa&gt;千里穷追&lt;/color&gt;</v>
      </c>
    </row>
    <row r="331" spans="16:20" x14ac:dyDescent="0.15">
      <c r="P331" s="2" t="str">
        <f t="shared" si="10"/>
        <v>波斯王之殒</v>
      </c>
      <c r="Q331" s="1">
        <v>2115</v>
      </c>
      <c r="R331" s="1">
        <v>2</v>
      </c>
      <c r="S331" s="1">
        <v>115</v>
      </c>
      <c r="T331" s="1" t="str">
        <f t="shared" si="9"/>
        <v>【困难 12-5】  &lt;color=#c4b8aa&gt;波斯王之殒&lt;/color&gt;</v>
      </c>
    </row>
    <row r="332" spans="16:20" x14ac:dyDescent="0.15">
      <c r="P332" s="2" t="str">
        <f t="shared" si="10"/>
        <v>异端之国</v>
      </c>
      <c r="Q332" s="1">
        <v>2116</v>
      </c>
      <c r="R332" s="1">
        <v>2</v>
      </c>
      <c r="S332" s="1">
        <v>116</v>
      </c>
      <c r="T332" s="1" t="str">
        <f t="shared" si="9"/>
        <v>【困难 12-6】  &lt;color=#c4b8aa&gt;异端之国&lt;/color&gt;</v>
      </c>
    </row>
    <row r="333" spans="16:20" x14ac:dyDescent="0.15">
      <c r="P333" s="2" t="str">
        <f t="shared" si="10"/>
        <v>色雷斯之灾</v>
      </c>
      <c r="Q333" s="1">
        <v>2117</v>
      </c>
      <c r="R333" s="1">
        <v>2</v>
      </c>
      <c r="S333" s="1">
        <v>117</v>
      </c>
      <c r="T333" s="1" t="str">
        <f t="shared" si="9"/>
        <v>【困难 12-7】  &lt;color=#c4b8aa&gt;色雷斯之灾&lt;/color&gt;</v>
      </c>
    </row>
    <row r="334" spans="16:20" x14ac:dyDescent="0.15">
      <c r="P334" s="2" t="str">
        <f t="shared" si="10"/>
        <v>铸成大错</v>
      </c>
      <c r="Q334" s="1">
        <v>2118</v>
      </c>
      <c r="R334" s="1">
        <v>2</v>
      </c>
      <c r="S334" s="1">
        <v>118</v>
      </c>
      <c r="T334" s="1" t="str">
        <f t="shared" si="9"/>
        <v>【困难 12-8】  &lt;color=#c4b8aa&gt;铸成大错&lt;/color&gt;</v>
      </c>
    </row>
    <row r="335" spans="16:20" x14ac:dyDescent="0.15">
      <c r="P335" s="2" t="str">
        <f t="shared" si="10"/>
        <v>破誓者之志</v>
      </c>
      <c r="Q335" s="1">
        <v>2119</v>
      </c>
      <c r="R335" s="1">
        <v>2</v>
      </c>
      <c r="S335" s="1">
        <v>119</v>
      </c>
      <c r="T335" s="1" t="str">
        <f t="shared" si="9"/>
        <v>【困难 12-9】  &lt;color=#c4b8aa&gt;破誓者之志&lt;/color&gt;</v>
      </c>
    </row>
    <row r="336" spans="16:20" x14ac:dyDescent="0.15">
      <c r="P336" s="2" t="str">
        <f t="shared" si="10"/>
        <v>复仇女神</v>
      </c>
      <c r="Q336" s="1">
        <v>2120</v>
      </c>
      <c r="R336" s="1">
        <v>2</v>
      </c>
      <c r="S336" s="1">
        <v>120</v>
      </c>
      <c r="T336" s="1" t="str">
        <f t="shared" si="9"/>
        <v>【困难 12-10】  &lt;color=#c4b8aa&gt;复仇女神&lt;/color&gt;</v>
      </c>
    </row>
    <row r="337" spans="16:20" x14ac:dyDescent="0.15">
      <c r="P337" s="2" t="str">
        <f t="shared" si="10"/>
        <v>异变突生</v>
      </c>
      <c r="Q337" s="1">
        <v>2121</v>
      </c>
      <c r="R337" s="1">
        <v>2</v>
      </c>
      <c r="S337" s="1">
        <v>121</v>
      </c>
      <c r="T337" s="1" t="str">
        <f t="shared" si="9"/>
        <v>【困难 13-1】  &lt;color=#c4b8aa&gt;异变突生&lt;/color&gt;</v>
      </c>
    </row>
    <row r="338" spans="16:20" x14ac:dyDescent="0.15">
      <c r="P338" s="2" t="str">
        <f t="shared" si="10"/>
        <v>莱山德归国</v>
      </c>
      <c r="Q338" s="1">
        <v>2122</v>
      </c>
      <c r="R338" s="1">
        <v>2</v>
      </c>
      <c r="S338" s="1">
        <v>122</v>
      </c>
      <c r="T338" s="1" t="str">
        <f t="shared" si="9"/>
        <v>【困难 13-2】  &lt;color=#c4b8aa&gt;莱山德归国&lt;/color&gt;</v>
      </c>
    </row>
    <row r="339" spans="16:20" x14ac:dyDescent="0.15">
      <c r="P339" s="2" t="str">
        <f t="shared" si="10"/>
        <v>英雄之路</v>
      </c>
      <c r="Q339" s="1">
        <v>2123</v>
      </c>
      <c r="R339" s="1">
        <v>2</v>
      </c>
      <c r="S339" s="1">
        <v>123</v>
      </c>
      <c r="T339" s="1" t="str">
        <f t="shared" si="9"/>
        <v>【困难 13-3】  &lt;color=#c4b8aa&gt;英雄之路&lt;/color&gt;</v>
      </c>
    </row>
    <row r="340" spans="16:20" x14ac:dyDescent="0.15">
      <c r="P340" s="2" t="str">
        <f t="shared" si="10"/>
        <v>潜行避战</v>
      </c>
      <c r="Q340" s="1">
        <v>2124</v>
      </c>
      <c r="R340" s="1">
        <v>2</v>
      </c>
      <c r="S340" s="1">
        <v>124</v>
      </c>
      <c r="T340" s="1" t="str">
        <f t="shared" si="9"/>
        <v>【困难 13-4】  &lt;color=#c4b8aa&gt;潜行避战&lt;/color&gt;</v>
      </c>
    </row>
    <row r="341" spans="16:20" x14ac:dyDescent="0.15">
      <c r="P341" s="2" t="str">
        <f t="shared" si="10"/>
        <v>三头犬之死</v>
      </c>
      <c r="Q341" s="1">
        <v>2125</v>
      </c>
      <c r="R341" s="1">
        <v>2</v>
      </c>
      <c r="S341" s="1">
        <v>125</v>
      </c>
      <c r="T341" s="1" t="str">
        <f t="shared" si="9"/>
        <v>【困难 13-5】  &lt;color=#c4b8aa&gt;三头犬之死&lt;/color&gt;</v>
      </c>
    </row>
    <row r="342" spans="16:20" x14ac:dyDescent="0.15">
      <c r="P342" s="2" t="str">
        <f t="shared" si="10"/>
        <v>大战伊始</v>
      </c>
      <c r="Q342" s="1">
        <v>2126</v>
      </c>
      <c r="R342" s="1">
        <v>2</v>
      </c>
      <c r="S342" s="1">
        <v>126</v>
      </c>
      <c r="T342" s="1" t="str">
        <f t="shared" si="9"/>
        <v>【困难 13-6】  &lt;color=#c4b8aa&gt;大战伊始&lt;/color&gt;</v>
      </c>
    </row>
    <row r="343" spans="16:20" x14ac:dyDescent="0.15">
      <c r="P343" s="2" t="str">
        <f t="shared" si="10"/>
        <v>家园惊变</v>
      </c>
      <c r="Q343" s="1">
        <v>2127</v>
      </c>
      <c r="R343" s="1">
        <v>2</v>
      </c>
      <c r="S343" s="1">
        <v>127</v>
      </c>
      <c r="T343" s="1" t="str">
        <f t="shared" si="9"/>
        <v>【困难 13-7】  &lt;color=#c4b8aa&gt;家园惊变&lt;/color&gt;</v>
      </c>
    </row>
    <row r="344" spans="16:20" x14ac:dyDescent="0.15">
      <c r="P344" s="2" t="str">
        <f t="shared" si="10"/>
        <v>疯狂的战神</v>
      </c>
      <c r="Q344" s="1">
        <v>2128</v>
      </c>
      <c r="R344" s="1">
        <v>2</v>
      </c>
      <c r="S344" s="1">
        <v>128</v>
      </c>
      <c r="T344" s="1" t="str">
        <f t="shared" si="9"/>
        <v>【困难 13-8】  &lt;color=#c4b8aa&gt;疯狂的战神&lt;/color&gt;</v>
      </c>
    </row>
    <row r="345" spans="16:20" x14ac:dyDescent="0.15">
      <c r="P345" s="2" t="str">
        <f t="shared" si="10"/>
        <v>利比亚蝎王</v>
      </c>
      <c r="Q345" s="1">
        <v>2129</v>
      </c>
      <c r="R345" s="1">
        <v>2</v>
      </c>
      <c r="S345" s="1">
        <v>129</v>
      </c>
      <c r="T345" s="1" t="str">
        <f t="shared" si="9"/>
        <v>【困难 13-9】  &lt;color=#c4b8aa&gt;利比亚蝎王&lt;/color&gt;</v>
      </c>
    </row>
    <row r="346" spans="16:20" x14ac:dyDescent="0.15">
      <c r="P346" s="2" t="str">
        <f t="shared" si="10"/>
        <v>斩蝎行动</v>
      </c>
      <c r="Q346" s="1">
        <v>2130</v>
      </c>
      <c r="R346" s="1">
        <v>2</v>
      </c>
      <c r="S346" s="1">
        <v>130</v>
      </c>
      <c r="T346" s="1" t="str">
        <f t="shared" ref="T346:T409" si="11">"【困难 "&amp;F132&amp;"-"&amp;IF(INT(RIGHT(Q346,1))=0,10,RIGHT(Q346,1))&amp;"】  "&amp;"&lt;color=#c4b8aa&gt;"&amp;P346&amp;"&lt;/color&gt;"</f>
        <v>【困难 13-10】  &lt;color=#c4b8aa&gt;斩蝎行动&lt;/color&gt;</v>
      </c>
    </row>
    <row r="347" spans="16:20" x14ac:dyDescent="0.15">
      <c r="P347" s="2" t="str">
        <f t="shared" si="10"/>
        <v>烽火余生</v>
      </c>
      <c r="Q347" s="1">
        <v>2131</v>
      </c>
      <c r="R347" s="1">
        <v>2</v>
      </c>
      <c r="S347" s="1">
        <v>131</v>
      </c>
      <c r="T347" s="1" t="str">
        <f t="shared" si="11"/>
        <v>【困难 14-1】  &lt;color=#c4b8aa&gt;烽火余生&lt;/color&gt;</v>
      </c>
    </row>
    <row r="348" spans="16:20" x14ac:dyDescent="0.15">
      <c r="P348" s="2" t="str">
        <f t="shared" si="10"/>
        <v>城郊寻女</v>
      </c>
      <c r="Q348" s="1">
        <v>2132</v>
      </c>
      <c r="R348" s="1">
        <v>2</v>
      </c>
      <c r="S348" s="1">
        <v>132</v>
      </c>
      <c r="T348" s="1" t="str">
        <f t="shared" si="11"/>
        <v>【困难 14-2】  &lt;color=#c4b8aa&gt;城郊寻女&lt;/color&gt;</v>
      </c>
    </row>
    <row r="349" spans="16:20" x14ac:dyDescent="0.15">
      <c r="P349" s="2" t="str">
        <f t="shared" si="10"/>
        <v>战神的指引</v>
      </c>
      <c r="Q349" s="1">
        <v>2133</v>
      </c>
      <c r="R349" s="1">
        <v>2</v>
      </c>
      <c r="S349" s="1">
        <v>133</v>
      </c>
      <c r="T349" s="1" t="str">
        <f t="shared" si="11"/>
        <v>【困难 14-3】  &lt;color=#c4b8aa&gt;战神的指引&lt;/color&gt;</v>
      </c>
    </row>
    <row r="350" spans="16:20" x14ac:dyDescent="0.15">
      <c r="P350" s="2" t="str">
        <f t="shared" si="10"/>
        <v>温泉关之战</v>
      </c>
      <c r="Q350" s="1">
        <v>2134</v>
      </c>
      <c r="R350" s="1">
        <v>2</v>
      </c>
      <c r="S350" s="1">
        <v>134</v>
      </c>
      <c r="T350" s="1" t="str">
        <f t="shared" si="11"/>
        <v>【困难 14-4】  &lt;color=#c4b8aa&gt;温泉关之战&lt;/color&gt;</v>
      </c>
    </row>
    <row r="351" spans="16:20" x14ac:dyDescent="0.15">
      <c r="P351" s="2" t="str">
        <f t="shared" si="10"/>
        <v>巨人的毁灭</v>
      </c>
      <c r="Q351" s="1">
        <v>2135</v>
      </c>
      <c r="R351" s="1">
        <v>2</v>
      </c>
      <c r="S351" s="1">
        <v>135</v>
      </c>
      <c r="T351" s="1" t="str">
        <f t="shared" si="11"/>
        <v>【困难 14-5】  &lt;color=#c4b8aa&gt;巨人的毁灭&lt;/color&gt;</v>
      </c>
    </row>
    <row r="352" spans="16:20" x14ac:dyDescent="0.15">
      <c r="P352" s="2" t="str">
        <f t="shared" si="10"/>
        <v>战争余烬</v>
      </c>
      <c r="Q352" s="1">
        <v>2136</v>
      </c>
      <c r="R352" s="1">
        <v>2</v>
      </c>
      <c r="S352" s="1">
        <v>136</v>
      </c>
      <c r="T352" s="1" t="str">
        <f t="shared" si="11"/>
        <v>【困难 14-6】  &lt;color=#c4b8aa&gt;战争余烬&lt;/color&gt;</v>
      </c>
    </row>
    <row r="353" spans="16:20" x14ac:dyDescent="0.15">
      <c r="P353" s="2" t="str">
        <f t="shared" si="10"/>
        <v>名王东逃</v>
      </c>
      <c r="Q353" s="1">
        <v>2137</v>
      </c>
      <c r="R353" s="1">
        <v>2</v>
      </c>
      <c r="S353" s="1">
        <v>137</v>
      </c>
      <c r="T353" s="1" t="str">
        <f t="shared" si="11"/>
        <v>【困难 14-7】  &lt;color=#c4b8aa&gt;名王东逃&lt;/color&gt;</v>
      </c>
    </row>
    <row r="354" spans="16:20" x14ac:dyDescent="0.15">
      <c r="P354" s="2" t="str">
        <f t="shared" si="10"/>
        <v>重赏之下</v>
      </c>
      <c r="Q354" s="1">
        <v>2138</v>
      </c>
      <c r="R354" s="1">
        <v>2</v>
      </c>
      <c r="S354" s="1">
        <v>138</v>
      </c>
      <c r="T354" s="1" t="str">
        <f t="shared" si="11"/>
        <v>【困难 14-8】  &lt;color=#c4b8aa&gt;重赏之下&lt;/color&gt;</v>
      </c>
    </row>
    <row r="355" spans="16:20" x14ac:dyDescent="0.15">
      <c r="P355" s="2" t="str">
        <f t="shared" si="10"/>
        <v>千里穷追</v>
      </c>
      <c r="Q355" s="1">
        <v>2139</v>
      </c>
      <c r="R355" s="1">
        <v>2</v>
      </c>
      <c r="S355" s="1">
        <v>139</v>
      </c>
      <c r="T355" s="1" t="str">
        <f t="shared" si="11"/>
        <v>【困难 14-9】  &lt;color=#c4b8aa&gt;千里穷追&lt;/color&gt;</v>
      </c>
    </row>
    <row r="356" spans="16:20" x14ac:dyDescent="0.15">
      <c r="P356" s="2" t="str">
        <f t="shared" si="10"/>
        <v>波斯王之殒</v>
      </c>
      <c r="Q356" s="1">
        <v>2140</v>
      </c>
      <c r="R356" s="1">
        <v>2</v>
      </c>
      <c r="S356" s="1">
        <v>140</v>
      </c>
      <c r="T356" s="1" t="str">
        <f t="shared" si="11"/>
        <v>【困难 14-10】  &lt;color=#c4b8aa&gt;波斯王之殒&lt;/color&gt;</v>
      </c>
    </row>
    <row r="357" spans="16:20" x14ac:dyDescent="0.15">
      <c r="P357" s="2" t="str">
        <f t="shared" si="10"/>
        <v>异端之国</v>
      </c>
      <c r="Q357" s="1">
        <v>2141</v>
      </c>
      <c r="R357" s="1">
        <v>2</v>
      </c>
      <c r="S357" s="1">
        <v>141</v>
      </c>
      <c r="T357" s="1" t="str">
        <f t="shared" si="11"/>
        <v>【困难 15-1】  &lt;color=#c4b8aa&gt;异端之国&lt;/color&gt;</v>
      </c>
    </row>
    <row r="358" spans="16:20" x14ac:dyDescent="0.15">
      <c r="P358" s="2" t="str">
        <f t="shared" si="10"/>
        <v>色雷斯之灾</v>
      </c>
      <c r="Q358" s="1">
        <v>2142</v>
      </c>
      <c r="R358" s="1">
        <v>2</v>
      </c>
      <c r="S358" s="1">
        <v>142</v>
      </c>
      <c r="T358" s="1" t="str">
        <f t="shared" si="11"/>
        <v>【困难 15-2】  &lt;color=#c4b8aa&gt;色雷斯之灾&lt;/color&gt;</v>
      </c>
    </row>
    <row r="359" spans="16:20" x14ac:dyDescent="0.15">
      <c r="P359" s="2" t="str">
        <f t="shared" si="10"/>
        <v>铸成大错</v>
      </c>
      <c r="Q359" s="1">
        <v>2143</v>
      </c>
      <c r="R359" s="1">
        <v>2</v>
      </c>
      <c r="S359" s="1">
        <v>143</v>
      </c>
      <c r="T359" s="1" t="str">
        <f t="shared" si="11"/>
        <v>【困难 15-3】  &lt;color=#c4b8aa&gt;铸成大错&lt;/color&gt;</v>
      </c>
    </row>
    <row r="360" spans="16:20" x14ac:dyDescent="0.15">
      <c r="P360" s="2" t="str">
        <f t="shared" si="10"/>
        <v>破誓者之志</v>
      </c>
      <c r="Q360" s="1">
        <v>2144</v>
      </c>
      <c r="R360" s="1">
        <v>2</v>
      </c>
      <c r="S360" s="1">
        <v>144</v>
      </c>
      <c r="T360" s="1" t="str">
        <f t="shared" si="11"/>
        <v>【困难 15-4】  &lt;color=#c4b8aa&gt;破誓者之志&lt;/color&gt;</v>
      </c>
    </row>
    <row r="361" spans="16:20" x14ac:dyDescent="0.15">
      <c r="P361" s="2" t="str">
        <f t="shared" si="10"/>
        <v>复仇女神</v>
      </c>
      <c r="Q361" s="1">
        <v>2145</v>
      </c>
      <c r="R361" s="1">
        <v>2</v>
      </c>
      <c r="S361" s="1">
        <v>145</v>
      </c>
      <c r="T361" s="1" t="str">
        <f t="shared" si="11"/>
        <v>【困难 15-5】  &lt;color=#c4b8aa&gt;复仇女神&lt;/color&gt;</v>
      </c>
    </row>
    <row r="362" spans="16:20" x14ac:dyDescent="0.15">
      <c r="P362" s="2" t="str">
        <f t="shared" si="10"/>
        <v>异变突生</v>
      </c>
      <c r="Q362" s="1">
        <v>2146</v>
      </c>
      <c r="R362" s="1">
        <v>2</v>
      </c>
      <c r="S362" s="1">
        <v>146</v>
      </c>
      <c r="T362" s="1" t="str">
        <f t="shared" si="11"/>
        <v>【困难 15-6】  &lt;color=#c4b8aa&gt;异变突生&lt;/color&gt;</v>
      </c>
    </row>
    <row r="363" spans="16:20" x14ac:dyDescent="0.15">
      <c r="P363" s="2" t="str">
        <f t="shared" ref="P363:P416" si="12">P338</f>
        <v>莱山德归国</v>
      </c>
      <c r="Q363" s="1">
        <v>2147</v>
      </c>
      <c r="R363" s="1">
        <v>2</v>
      </c>
      <c r="S363" s="1">
        <v>147</v>
      </c>
      <c r="T363" s="1" t="str">
        <f t="shared" si="11"/>
        <v>【困难 15-7】  &lt;color=#c4b8aa&gt;莱山德归国&lt;/color&gt;</v>
      </c>
    </row>
    <row r="364" spans="16:20" x14ac:dyDescent="0.15">
      <c r="P364" s="2" t="str">
        <f t="shared" si="12"/>
        <v>英雄之路</v>
      </c>
      <c r="Q364" s="1">
        <v>2148</v>
      </c>
      <c r="R364" s="1">
        <v>2</v>
      </c>
      <c r="S364" s="1">
        <v>148</v>
      </c>
      <c r="T364" s="1" t="str">
        <f t="shared" si="11"/>
        <v>【困难 15-8】  &lt;color=#c4b8aa&gt;英雄之路&lt;/color&gt;</v>
      </c>
    </row>
    <row r="365" spans="16:20" x14ac:dyDescent="0.15">
      <c r="P365" s="2" t="str">
        <f t="shared" si="12"/>
        <v>潜行避战</v>
      </c>
      <c r="Q365" s="1">
        <v>2149</v>
      </c>
      <c r="R365" s="1">
        <v>2</v>
      </c>
      <c r="S365" s="1">
        <v>149</v>
      </c>
      <c r="T365" s="1" t="str">
        <f t="shared" si="11"/>
        <v>【困难 15-9】  &lt;color=#c4b8aa&gt;潜行避战&lt;/color&gt;</v>
      </c>
    </row>
    <row r="366" spans="16:20" x14ac:dyDescent="0.15">
      <c r="P366" s="2" t="str">
        <f t="shared" si="12"/>
        <v>三头犬之死</v>
      </c>
      <c r="Q366" s="1">
        <v>2150</v>
      </c>
      <c r="R366" s="1">
        <v>2</v>
      </c>
      <c r="S366" s="1">
        <v>150</v>
      </c>
      <c r="T366" s="1" t="str">
        <f t="shared" si="11"/>
        <v>【困难 15-10】  &lt;color=#c4b8aa&gt;三头犬之死&lt;/color&gt;</v>
      </c>
    </row>
    <row r="367" spans="16:20" x14ac:dyDescent="0.15">
      <c r="P367" s="2" t="str">
        <f t="shared" si="12"/>
        <v>大战伊始</v>
      </c>
      <c r="Q367" s="1">
        <v>2151</v>
      </c>
      <c r="R367" s="1">
        <v>2</v>
      </c>
      <c r="S367" s="1">
        <v>151</v>
      </c>
      <c r="T367" s="1" t="str">
        <f t="shared" si="11"/>
        <v>【困难 16-1】  &lt;color=#c4b8aa&gt;大战伊始&lt;/color&gt;</v>
      </c>
    </row>
    <row r="368" spans="16:20" x14ac:dyDescent="0.15">
      <c r="P368" s="2" t="str">
        <f t="shared" si="12"/>
        <v>家园惊变</v>
      </c>
      <c r="Q368" s="1">
        <v>2152</v>
      </c>
      <c r="R368" s="1">
        <v>2</v>
      </c>
      <c r="S368" s="1">
        <v>152</v>
      </c>
      <c r="T368" s="1" t="str">
        <f t="shared" si="11"/>
        <v>【困难 16-2】  &lt;color=#c4b8aa&gt;家园惊变&lt;/color&gt;</v>
      </c>
    </row>
    <row r="369" spans="16:20" x14ac:dyDescent="0.15">
      <c r="P369" s="2" t="str">
        <f t="shared" si="12"/>
        <v>疯狂的战神</v>
      </c>
      <c r="Q369" s="1">
        <v>2153</v>
      </c>
      <c r="R369" s="1">
        <v>2</v>
      </c>
      <c r="S369" s="1">
        <v>153</v>
      </c>
      <c r="T369" s="1" t="str">
        <f t="shared" si="11"/>
        <v>【困难 16-3】  &lt;color=#c4b8aa&gt;疯狂的战神&lt;/color&gt;</v>
      </c>
    </row>
    <row r="370" spans="16:20" x14ac:dyDescent="0.15">
      <c r="P370" s="2" t="str">
        <f t="shared" si="12"/>
        <v>利比亚蝎王</v>
      </c>
      <c r="Q370" s="1">
        <v>2154</v>
      </c>
      <c r="R370" s="1">
        <v>2</v>
      </c>
      <c r="S370" s="1">
        <v>154</v>
      </c>
      <c r="T370" s="1" t="str">
        <f t="shared" si="11"/>
        <v>【困难 16-4】  &lt;color=#c4b8aa&gt;利比亚蝎王&lt;/color&gt;</v>
      </c>
    </row>
    <row r="371" spans="16:20" x14ac:dyDescent="0.15">
      <c r="P371" s="2" t="str">
        <f t="shared" si="12"/>
        <v>斩蝎行动</v>
      </c>
      <c r="Q371" s="1">
        <v>2155</v>
      </c>
      <c r="R371" s="1">
        <v>2</v>
      </c>
      <c r="S371" s="1">
        <v>155</v>
      </c>
      <c r="T371" s="1" t="str">
        <f t="shared" si="11"/>
        <v>【困难 16-5】  &lt;color=#c4b8aa&gt;斩蝎行动&lt;/color&gt;</v>
      </c>
    </row>
    <row r="372" spans="16:20" x14ac:dyDescent="0.15">
      <c r="P372" s="2" t="str">
        <f t="shared" si="12"/>
        <v>烽火余生</v>
      </c>
      <c r="Q372" s="1">
        <v>2156</v>
      </c>
      <c r="R372" s="1">
        <v>2</v>
      </c>
      <c r="S372" s="1">
        <v>156</v>
      </c>
      <c r="T372" s="1" t="str">
        <f t="shared" si="11"/>
        <v>【困难 16-6】  &lt;color=#c4b8aa&gt;烽火余生&lt;/color&gt;</v>
      </c>
    </row>
    <row r="373" spans="16:20" x14ac:dyDescent="0.15">
      <c r="P373" s="2" t="str">
        <f t="shared" si="12"/>
        <v>城郊寻女</v>
      </c>
      <c r="Q373" s="1">
        <v>2157</v>
      </c>
      <c r="R373" s="1">
        <v>2</v>
      </c>
      <c r="S373" s="1">
        <v>157</v>
      </c>
      <c r="T373" s="1" t="str">
        <f t="shared" si="11"/>
        <v>【困难 16-7】  &lt;color=#c4b8aa&gt;城郊寻女&lt;/color&gt;</v>
      </c>
    </row>
    <row r="374" spans="16:20" x14ac:dyDescent="0.15">
      <c r="P374" s="2" t="str">
        <f t="shared" si="12"/>
        <v>战神的指引</v>
      </c>
      <c r="Q374" s="1">
        <v>2158</v>
      </c>
      <c r="R374" s="1">
        <v>2</v>
      </c>
      <c r="S374" s="1">
        <v>158</v>
      </c>
      <c r="T374" s="1" t="str">
        <f t="shared" si="11"/>
        <v>【困难 16-8】  &lt;color=#c4b8aa&gt;战神的指引&lt;/color&gt;</v>
      </c>
    </row>
    <row r="375" spans="16:20" x14ac:dyDescent="0.15">
      <c r="P375" s="2" t="str">
        <f t="shared" si="12"/>
        <v>温泉关之战</v>
      </c>
      <c r="Q375" s="1">
        <v>2159</v>
      </c>
      <c r="R375" s="1">
        <v>2</v>
      </c>
      <c r="S375" s="1">
        <v>159</v>
      </c>
      <c r="T375" s="1" t="str">
        <f t="shared" si="11"/>
        <v>【困难 16-9】  &lt;color=#c4b8aa&gt;温泉关之战&lt;/color&gt;</v>
      </c>
    </row>
    <row r="376" spans="16:20" x14ac:dyDescent="0.15">
      <c r="P376" s="2" t="str">
        <f t="shared" si="12"/>
        <v>巨人的毁灭</v>
      </c>
      <c r="Q376" s="1">
        <v>2160</v>
      </c>
      <c r="R376" s="1">
        <v>2</v>
      </c>
      <c r="S376" s="1">
        <v>160</v>
      </c>
      <c r="T376" s="1" t="str">
        <f t="shared" si="11"/>
        <v>【困难 16-10】  &lt;color=#c4b8aa&gt;巨人的毁灭&lt;/color&gt;</v>
      </c>
    </row>
    <row r="377" spans="16:20" x14ac:dyDescent="0.15">
      <c r="P377" s="2" t="str">
        <f t="shared" si="12"/>
        <v>战争余烬</v>
      </c>
      <c r="Q377" s="1">
        <v>2161</v>
      </c>
      <c r="R377" s="1">
        <v>2</v>
      </c>
      <c r="S377" s="1">
        <v>161</v>
      </c>
      <c r="T377" s="1" t="str">
        <f t="shared" si="11"/>
        <v>【困难 17-1】  &lt;color=#c4b8aa&gt;战争余烬&lt;/color&gt;</v>
      </c>
    </row>
    <row r="378" spans="16:20" x14ac:dyDescent="0.15">
      <c r="P378" s="2" t="str">
        <f t="shared" si="12"/>
        <v>名王东逃</v>
      </c>
      <c r="Q378" s="1">
        <v>2162</v>
      </c>
      <c r="R378" s="1">
        <v>2</v>
      </c>
      <c r="S378" s="1">
        <v>162</v>
      </c>
      <c r="T378" s="1" t="str">
        <f t="shared" si="11"/>
        <v>【困难 17-2】  &lt;color=#c4b8aa&gt;名王东逃&lt;/color&gt;</v>
      </c>
    </row>
    <row r="379" spans="16:20" x14ac:dyDescent="0.15">
      <c r="P379" s="2" t="str">
        <f t="shared" si="12"/>
        <v>重赏之下</v>
      </c>
      <c r="Q379" s="1">
        <v>2163</v>
      </c>
      <c r="R379" s="1">
        <v>2</v>
      </c>
      <c r="S379" s="1">
        <v>163</v>
      </c>
      <c r="T379" s="1" t="str">
        <f t="shared" si="11"/>
        <v>【困难 17-3】  &lt;color=#c4b8aa&gt;重赏之下&lt;/color&gt;</v>
      </c>
    </row>
    <row r="380" spans="16:20" x14ac:dyDescent="0.15">
      <c r="P380" s="2" t="str">
        <f t="shared" si="12"/>
        <v>千里穷追</v>
      </c>
      <c r="Q380" s="1">
        <v>2164</v>
      </c>
      <c r="R380" s="1">
        <v>2</v>
      </c>
      <c r="S380" s="1">
        <v>164</v>
      </c>
      <c r="T380" s="1" t="str">
        <f t="shared" si="11"/>
        <v>【困难 17-4】  &lt;color=#c4b8aa&gt;千里穷追&lt;/color&gt;</v>
      </c>
    </row>
    <row r="381" spans="16:20" x14ac:dyDescent="0.15">
      <c r="P381" s="2" t="str">
        <f t="shared" si="12"/>
        <v>波斯王之殒</v>
      </c>
      <c r="Q381" s="1">
        <v>2165</v>
      </c>
      <c r="R381" s="1">
        <v>2</v>
      </c>
      <c r="S381" s="1">
        <v>165</v>
      </c>
      <c r="T381" s="1" t="str">
        <f t="shared" si="11"/>
        <v>【困难 17-5】  &lt;color=#c4b8aa&gt;波斯王之殒&lt;/color&gt;</v>
      </c>
    </row>
    <row r="382" spans="16:20" x14ac:dyDescent="0.15">
      <c r="P382" s="2" t="str">
        <f t="shared" si="12"/>
        <v>异端之国</v>
      </c>
      <c r="Q382" s="1">
        <v>2166</v>
      </c>
      <c r="R382" s="1">
        <v>2</v>
      </c>
      <c r="S382" s="1">
        <v>166</v>
      </c>
      <c r="T382" s="1" t="str">
        <f t="shared" si="11"/>
        <v>【困难 17-6】  &lt;color=#c4b8aa&gt;异端之国&lt;/color&gt;</v>
      </c>
    </row>
    <row r="383" spans="16:20" x14ac:dyDescent="0.15">
      <c r="P383" s="2" t="str">
        <f t="shared" si="12"/>
        <v>色雷斯之灾</v>
      </c>
      <c r="Q383" s="1">
        <v>2167</v>
      </c>
      <c r="R383" s="1">
        <v>2</v>
      </c>
      <c r="S383" s="1">
        <v>167</v>
      </c>
      <c r="T383" s="1" t="str">
        <f t="shared" si="11"/>
        <v>【困难 17-7】  &lt;color=#c4b8aa&gt;色雷斯之灾&lt;/color&gt;</v>
      </c>
    </row>
    <row r="384" spans="16:20" x14ac:dyDescent="0.15">
      <c r="P384" s="2" t="str">
        <f t="shared" si="12"/>
        <v>铸成大错</v>
      </c>
      <c r="Q384" s="1">
        <v>2168</v>
      </c>
      <c r="R384" s="1">
        <v>2</v>
      </c>
      <c r="S384" s="1">
        <v>168</v>
      </c>
      <c r="T384" s="1" t="str">
        <f t="shared" si="11"/>
        <v>【困难 17-8】  &lt;color=#c4b8aa&gt;铸成大错&lt;/color&gt;</v>
      </c>
    </row>
    <row r="385" spans="16:20" x14ac:dyDescent="0.15">
      <c r="P385" s="2" t="str">
        <f t="shared" si="12"/>
        <v>破誓者之志</v>
      </c>
      <c r="Q385" s="1">
        <v>2169</v>
      </c>
      <c r="R385" s="1">
        <v>2</v>
      </c>
      <c r="S385" s="1">
        <v>169</v>
      </c>
      <c r="T385" s="1" t="str">
        <f t="shared" si="11"/>
        <v>【困难 17-9】  &lt;color=#c4b8aa&gt;破誓者之志&lt;/color&gt;</v>
      </c>
    </row>
    <row r="386" spans="16:20" x14ac:dyDescent="0.15">
      <c r="P386" s="2" t="str">
        <f t="shared" si="12"/>
        <v>复仇女神</v>
      </c>
      <c r="Q386" s="1">
        <v>2170</v>
      </c>
      <c r="R386" s="1">
        <v>2</v>
      </c>
      <c r="S386" s="1">
        <v>170</v>
      </c>
      <c r="T386" s="1" t="str">
        <f t="shared" si="11"/>
        <v>【困难 17-10】  &lt;color=#c4b8aa&gt;复仇女神&lt;/color&gt;</v>
      </c>
    </row>
    <row r="387" spans="16:20" x14ac:dyDescent="0.15">
      <c r="P387" s="2" t="str">
        <f t="shared" si="12"/>
        <v>异变突生</v>
      </c>
      <c r="Q387" s="1">
        <v>2171</v>
      </c>
      <c r="R387" s="1">
        <v>2</v>
      </c>
      <c r="S387" s="1">
        <v>171</v>
      </c>
      <c r="T387" s="1" t="str">
        <f t="shared" si="11"/>
        <v>【困难 18-1】  &lt;color=#c4b8aa&gt;异变突生&lt;/color&gt;</v>
      </c>
    </row>
    <row r="388" spans="16:20" x14ac:dyDescent="0.15">
      <c r="P388" s="2" t="str">
        <f t="shared" si="12"/>
        <v>莱山德归国</v>
      </c>
      <c r="Q388" s="1">
        <v>2172</v>
      </c>
      <c r="R388" s="1">
        <v>2</v>
      </c>
      <c r="S388" s="1">
        <v>172</v>
      </c>
      <c r="T388" s="1" t="str">
        <f t="shared" si="11"/>
        <v>【困难 18-2】  &lt;color=#c4b8aa&gt;莱山德归国&lt;/color&gt;</v>
      </c>
    </row>
    <row r="389" spans="16:20" x14ac:dyDescent="0.15">
      <c r="P389" s="2" t="str">
        <f t="shared" si="12"/>
        <v>英雄之路</v>
      </c>
      <c r="Q389" s="1">
        <v>2173</v>
      </c>
      <c r="R389" s="1">
        <v>2</v>
      </c>
      <c r="S389" s="1">
        <v>173</v>
      </c>
      <c r="T389" s="1" t="str">
        <f t="shared" si="11"/>
        <v>【困难 18-3】  &lt;color=#c4b8aa&gt;英雄之路&lt;/color&gt;</v>
      </c>
    </row>
    <row r="390" spans="16:20" x14ac:dyDescent="0.15">
      <c r="P390" s="2" t="str">
        <f t="shared" si="12"/>
        <v>潜行避战</v>
      </c>
      <c r="Q390" s="1">
        <v>2174</v>
      </c>
      <c r="R390" s="1">
        <v>2</v>
      </c>
      <c r="S390" s="1">
        <v>174</v>
      </c>
      <c r="T390" s="1" t="str">
        <f t="shared" si="11"/>
        <v>【困难 18-4】  &lt;color=#c4b8aa&gt;潜行避战&lt;/color&gt;</v>
      </c>
    </row>
    <row r="391" spans="16:20" x14ac:dyDescent="0.15">
      <c r="P391" s="2" t="str">
        <f t="shared" si="12"/>
        <v>三头犬之死</v>
      </c>
      <c r="Q391" s="1">
        <v>2175</v>
      </c>
      <c r="R391" s="1">
        <v>2</v>
      </c>
      <c r="S391" s="1">
        <v>175</v>
      </c>
      <c r="T391" s="1" t="str">
        <f t="shared" si="11"/>
        <v>【困难 18-5】  &lt;color=#c4b8aa&gt;三头犬之死&lt;/color&gt;</v>
      </c>
    </row>
    <row r="392" spans="16:20" x14ac:dyDescent="0.15">
      <c r="P392" s="2" t="str">
        <f t="shared" si="12"/>
        <v>大战伊始</v>
      </c>
      <c r="Q392" s="1">
        <v>2176</v>
      </c>
      <c r="R392" s="1">
        <v>2</v>
      </c>
      <c r="S392" s="1">
        <v>176</v>
      </c>
      <c r="T392" s="1" t="str">
        <f t="shared" si="11"/>
        <v>【困难 18-6】  &lt;color=#c4b8aa&gt;大战伊始&lt;/color&gt;</v>
      </c>
    </row>
    <row r="393" spans="16:20" x14ac:dyDescent="0.15">
      <c r="P393" s="2" t="str">
        <f t="shared" si="12"/>
        <v>家园惊变</v>
      </c>
      <c r="Q393" s="1">
        <v>2177</v>
      </c>
      <c r="R393" s="1">
        <v>2</v>
      </c>
      <c r="S393" s="1">
        <v>177</v>
      </c>
      <c r="T393" s="1" t="str">
        <f t="shared" si="11"/>
        <v>【困难 18-7】  &lt;color=#c4b8aa&gt;家园惊变&lt;/color&gt;</v>
      </c>
    </row>
    <row r="394" spans="16:20" x14ac:dyDescent="0.15">
      <c r="P394" s="2" t="str">
        <f t="shared" si="12"/>
        <v>疯狂的战神</v>
      </c>
      <c r="Q394" s="1">
        <v>2178</v>
      </c>
      <c r="R394" s="1">
        <v>2</v>
      </c>
      <c r="S394" s="1">
        <v>178</v>
      </c>
      <c r="T394" s="1" t="str">
        <f t="shared" si="11"/>
        <v>【困难 18-8】  &lt;color=#c4b8aa&gt;疯狂的战神&lt;/color&gt;</v>
      </c>
    </row>
    <row r="395" spans="16:20" x14ac:dyDescent="0.15">
      <c r="P395" s="2" t="str">
        <f t="shared" si="12"/>
        <v>利比亚蝎王</v>
      </c>
      <c r="Q395" s="1">
        <v>2179</v>
      </c>
      <c r="R395" s="1">
        <v>2</v>
      </c>
      <c r="S395" s="1">
        <v>179</v>
      </c>
      <c r="T395" s="1" t="str">
        <f t="shared" si="11"/>
        <v>【困难 18-9】  &lt;color=#c4b8aa&gt;利比亚蝎王&lt;/color&gt;</v>
      </c>
    </row>
    <row r="396" spans="16:20" x14ac:dyDescent="0.15">
      <c r="P396" s="2" t="str">
        <f t="shared" si="12"/>
        <v>斩蝎行动</v>
      </c>
      <c r="Q396" s="1">
        <v>2180</v>
      </c>
      <c r="R396" s="1">
        <v>2</v>
      </c>
      <c r="S396" s="1">
        <v>180</v>
      </c>
      <c r="T396" s="1" t="str">
        <f t="shared" si="11"/>
        <v>【困难 18-10】  &lt;color=#c4b8aa&gt;斩蝎行动&lt;/color&gt;</v>
      </c>
    </row>
    <row r="397" spans="16:20" x14ac:dyDescent="0.15">
      <c r="P397" s="2" t="str">
        <f t="shared" si="12"/>
        <v>烽火余生</v>
      </c>
      <c r="Q397" s="1">
        <v>2181</v>
      </c>
      <c r="R397" s="1">
        <v>2</v>
      </c>
      <c r="S397" s="1">
        <v>181</v>
      </c>
      <c r="T397" s="1" t="str">
        <f t="shared" si="11"/>
        <v>【困难 19-1】  &lt;color=#c4b8aa&gt;烽火余生&lt;/color&gt;</v>
      </c>
    </row>
    <row r="398" spans="16:20" x14ac:dyDescent="0.15">
      <c r="P398" s="2" t="str">
        <f t="shared" si="12"/>
        <v>城郊寻女</v>
      </c>
      <c r="Q398" s="1">
        <v>2182</v>
      </c>
      <c r="R398" s="1">
        <v>2</v>
      </c>
      <c r="S398" s="1">
        <v>182</v>
      </c>
      <c r="T398" s="1" t="str">
        <f t="shared" si="11"/>
        <v>【困难 19-2】  &lt;color=#c4b8aa&gt;城郊寻女&lt;/color&gt;</v>
      </c>
    </row>
    <row r="399" spans="16:20" x14ac:dyDescent="0.15">
      <c r="P399" s="2" t="str">
        <f t="shared" si="12"/>
        <v>战神的指引</v>
      </c>
      <c r="Q399" s="1">
        <v>2183</v>
      </c>
      <c r="R399" s="1">
        <v>2</v>
      </c>
      <c r="S399" s="1">
        <v>183</v>
      </c>
      <c r="T399" s="1" t="str">
        <f t="shared" si="11"/>
        <v>【困难 19-3】  &lt;color=#c4b8aa&gt;战神的指引&lt;/color&gt;</v>
      </c>
    </row>
    <row r="400" spans="16:20" x14ac:dyDescent="0.15">
      <c r="P400" s="2" t="str">
        <f t="shared" si="12"/>
        <v>温泉关之战</v>
      </c>
      <c r="Q400" s="1">
        <v>2184</v>
      </c>
      <c r="R400" s="1">
        <v>2</v>
      </c>
      <c r="S400" s="1">
        <v>184</v>
      </c>
      <c r="T400" s="1" t="str">
        <f t="shared" si="11"/>
        <v>【困难 19-4】  &lt;color=#c4b8aa&gt;温泉关之战&lt;/color&gt;</v>
      </c>
    </row>
    <row r="401" spans="16:20" x14ac:dyDescent="0.15">
      <c r="P401" s="2" t="str">
        <f t="shared" si="12"/>
        <v>巨人的毁灭</v>
      </c>
      <c r="Q401" s="1">
        <v>2185</v>
      </c>
      <c r="R401" s="1">
        <v>2</v>
      </c>
      <c r="S401" s="1">
        <v>185</v>
      </c>
      <c r="T401" s="1" t="str">
        <f t="shared" si="11"/>
        <v>【困难 19-5】  &lt;color=#c4b8aa&gt;巨人的毁灭&lt;/color&gt;</v>
      </c>
    </row>
    <row r="402" spans="16:20" x14ac:dyDescent="0.15">
      <c r="P402" s="2" t="str">
        <f t="shared" si="12"/>
        <v>战争余烬</v>
      </c>
      <c r="Q402" s="1">
        <v>2186</v>
      </c>
      <c r="R402" s="1">
        <v>2</v>
      </c>
      <c r="S402" s="1">
        <v>186</v>
      </c>
      <c r="T402" s="1" t="str">
        <f t="shared" si="11"/>
        <v>【困难 19-6】  &lt;color=#c4b8aa&gt;战争余烬&lt;/color&gt;</v>
      </c>
    </row>
    <row r="403" spans="16:20" x14ac:dyDescent="0.15">
      <c r="P403" s="2" t="str">
        <f t="shared" si="12"/>
        <v>名王东逃</v>
      </c>
      <c r="Q403" s="1">
        <v>2187</v>
      </c>
      <c r="R403" s="1">
        <v>2</v>
      </c>
      <c r="S403" s="1">
        <v>187</v>
      </c>
      <c r="T403" s="1" t="str">
        <f t="shared" si="11"/>
        <v>【困难 19-7】  &lt;color=#c4b8aa&gt;名王东逃&lt;/color&gt;</v>
      </c>
    </row>
    <row r="404" spans="16:20" x14ac:dyDescent="0.15">
      <c r="P404" s="2" t="str">
        <f t="shared" si="12"/>
        <v>重赏之下</v>
      </c>
      <c r="Q404" s="1">
        <v>2188</v>
      </c>
      <c r="R404" s="1">
        <v>2</v>
      </c>
      <c r="S404" s="1">
        <v>188</v>
      </c>
      <c r="T404" s="1" t="str">
        <f t="shared" si="11"/>
        <v>【困难 19-8】  &lt;color=#c4b8aa&gt;重赏之下&lt;/color&gt;</v>
      </c>
    </row>
    <row r="405" spans="16:20" x14ac:dyDescent="0.15">
      <c r="P405" s="2" t="str">
        <f t="shared" si="12"/>
        <v>千里穷追</v>
      </c>
      <c r="Q405" s="1">
        <v>2189</v>
      </c>
      <c r="R405" s="1">
        <v>2</v>
      </c>
      <c r="S405" s="1">
        <v>189</v>
      </c>
      <c r="T405" s="1" t="str">
        <f t="shared" si="11"/>
        <v>【困难 19-9】  &lt;color=#c4b8aa&gt;千里穷追&lt;/color&gt;</v>
      </c>
    </row>
    <row r="406" spans="16:20" x14ac:dyDescent="0.15">
      <c r="P406" s="2" t="str">
        <f t="shared" si="12"/>
        <v>波斯王之殒</v>
      </c>
      <c r="Q406" s="1">
        <v>2190</v>
      </c>
      <c r="R406" s="1">
        <v>2</v>
      </c>
      <c r="S406" s="1">
        <v>190</v>
      </c>
      <c r="T406" s="1" t="str">
        <f t="shared" si="11"/>
        <v>【困难 19-10】  &lt;color=#c4b8aa&gt;波斯王之殒&lt;/color&gt;</v>
      </c>
    </row>
    <row r="407" spans="16:20" x14ac:dyDescent="0.15">
      <c r="P407" s="2" t="str">
        <f t="shared" si="12"/>
        <v>异端之国</v>
      </c>
      <c r="Q407" s="1">
        <v>2191</v>
      </c>
      <c r="R407" s="1">
        <v>2</v>
      </c>
      <c r="S407" s="1">
        <v>191</v>
      </c>
      <c r="T407" s="1" t="str">
        <f t="shared" si="11"/>
        <v>【困难 20-1】  &lt;color=#c4b8aa&gt;异端之国&lt;/color&gt;</v>
      </c>
    </row>
    <row r="408" spans="16:20" x14ac:dyDescent="0.15">
      <c r="P408" s="2" t="str">
        <f t="shared" si="12"/>
        <v>色雷斯之灾</v>
      </c>
      <c r="Q408" s="1">
        <v>2192</v>
      </c>
      <c r="R408" s="1">
        <v>2</v>
      </c>
      <c r="S408" s="1">
        <v>192</v>
      </c>
      <c r="T408" s="1" t="str">
        <f t="shared" si="11"/>
        <v>【困难 20-2】  &lt;color=#c4b8aa&gt;色雷斯之灾&lt;/color&gt;</v>
      </c>
    </row>
    <row r="409" spans="16:20" x14ac:dyDescent="0.15">
      <c r="P409" s="2" t="str">
        <f t="shared" si="12"/>
        <v>铸成大错</v>
      </c>
      <c r="Q409" s="1">
        <v>2193</v>
      </c>
      <c r="R409" s="1">
        <v>2</v>
      </c>
      <c r="S409" s="1">
        <v>193</v>
      </c>
      <c r="T409" s="1" t="str">
        <f t="shared" si="11"/>
        <v>【困难 20-3】  &lt;color=#c4b8aa&gt;铸成大错&lt;/color&gt;</v>
      </c>
    </row>
    <row r="410" spans="16:20" x14ac:dyDescent="0.15">
      <c r="P410" s="2" t="str">
        <f t="shared" si="12"/>
        <v>破誓者之志</v>
      </c>
      <c r="Q410" s="1">
        <v>2194</v>
      </c>
      <c r="R410" s="1">
        <v>2</v>
      </c>
      <c r="S410" s="1">
        <v>194</v>
      </c>
      <c r="T410" s="1" t="str">
        <f t="shared" ref="T410:T416" si="13">"【困难 "&amp;F196&amp;"-"&amp;IF(INT(RIGHT(Q410,1))=0,10,RIGHT(Q410,1))&amp;"】  "&amp;"&lt;color=#c4b8aa&gt;"&amp;P410&amp;"&lt;/color&gt;"</f>
        <v>【困难 20-4】  &lt;color=#c4b8aa&gt;破誓者之志&lt;/color&gt;</v>
      </c>
    </row>
    <row r="411" spans="16:20" x14ac:dyDescent="0.15">
      <c r="P411" s="2" t="str">
        <f t="shared" si="12"/>
        <v>复仇女神</v>
      </c>
      <c r="Q411" s="1">
        <v>2195</v>
      </c>
      <c r="R411" s="1">
        <v>2</v>
      </c>
      <c r="S411" s="1">
        <v>195</v>
      </c>
      <c r="T411" s="1" t="str">
        <f t="shared" si="13"/>
        <v>【困难 20-5】  &lt;color=#c4b8aa&gt;复仇女神&lt;/color&gt;</v>
      </c>
    </row>
    <row r="412" spans="16:20" x14ac:dyDescent="0.15">
      <c r="P412" s="2" t="str">
        <f t="shared" si="12"/>
        <v>异变突生</v>
      </c>
      <c r="Q412" s="1">
        <v>2196</v>
      </c>
      <c r="R412" s="1">
        <v>2</v>
      </c>
      <c r="S412" s="1">
        <v>196</v>
      </c>
      <c r="T412" s="1" t="str">
        <f t="shared" si="13"/>
        <v>【困难 20-6】  &lt;color=#c4b8aa&gt;异变突生&lt;/color&gt;</v>
      </c>
    </row>
    <row r="413" spans="16:20" x14ac:dyDescent="0.15">
      <c r="P413" s="2" t="str">
        <f t="shared" si="12"/>
        <v>莱山德归国</v>
      </c>
      <c r="Q413" s="1">
        <v>2197</v>
      </c>
      <c r="R413" s="1">
        <v>2</v>
      </c>
      <c r="S413" s="1">
        <v>197</v>
      </c>
      <c r="T413" s="1" t="str">
        <f t="shared" si="13"/>
        <v>【困难 20-7】  &lt;color=#c4b8aa&gt;莱山德归国&lt;/color&gt;</v>
      </c>
    </row>
    <row r="414" spans="16:20" x14ac:dyDescent="0.15">
      <c r="P414" s="2" t="str">
        <f t="shared" si="12"/>
        <v>英雄之路</v>
      </c>
      <c r="Q414" s="1">
        <v>2198</v>
      </c>
      <c r="R414" s="1">
        <v>2</v>
      </c>
      <c r="S414" s="1">
        <v>198</v>
      </c>
      <c r="T414" s="1" t="str">
        <f t="shared" si="13"/>
        <v>【困难 20-8】  &lt;color=#c4b8aa&gt;英雄之路&lt;/color&gt;</v>
      </c>
    </row>
    <row r="415" spans="16:20" x14ac:dyDescent="0.15">
      <c r="P415" s="2" t="str">
        <f t="shared" si="12"/>
        <v>潜行避战</v>
      </c>
      <c r="Q415" s="1">
        <v>2199</v>
      </c>
      <c r="R415" s="1">
        <v>2</v>
      </c>
      <c r="S415" s="1">
        <v>199</v>
      </c>
      <c r="T415" s="1" t="str">
        <f t="shared" si="13"/>
        <v>【困难 20-9】  &lt;color=#c4b8aa&gt;潜行避战&lt;/color&gt;</v>
      </c>
    </row>
    <row r="416" spans="16:20" x14ac:dyDescent="0.15">
      <c r="P416" s="2" t="str">
        <f t="shared" si="12"/>
        <v>三头犬之死</v>
      </c>
      <c r="Q416" s="1">
        <v>2200</v>
      </c>
      <c r="R416" s="1">
        <v>2</v>
      </c>
      <c r="S416" s="1">
        <v>200</v>
      </c>
      <c r="T416" s="1" t="str">
        <f t="shared" si="13"/>
        <v>【困难 20-10】  &lt;color=#c4b8aa&gt;三头犬之死&lt;/color&gt;</v>
      </c>
    </row>
  </sheetData>
  <mergeCells count="1">
    <mergeCell ref="H1:M1"/>
  </mergeCells>
  <phoneticPr fontId="2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21">
          <controlPr autoLine="0" r:id="rId4">
            <anchor moveWithCells="1">
              <from>
                <xdr:col>4</xdr:col>
                <xdr:colOff>19050</xdr:colOff>
                <xdr:row>0</xdr:row>
                <xdr:rowOff>0</xdr:rowOff>
              </from>
              <to>
                <xdr:col>5</xdr:col>
                <xdr:colOff>247650</xdr:colOff>
                <xdr:row>2</xdr:row>
                <xdr:rowOff>0</xdr:rowOff>
              </to>
            </anchor>
          </controlPr>
        </control>
      </mc:Choice>
      <mc:Fallback>
        <control shapeId="1025" r:id="rId3" name="CommandButton2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道具获取途径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Sky123.Org</cp:lastModifiedBy>
  <dcterms:created xsi:type="dcterms:W3CDTF">2016-08-16T03:01:47Z</dcterms:created>
  <dcterms:modified xsi:type="dcterms:W3CDTF">2016-08-17T10:03:03Z</dcterms:modified>
</cp:coreProperties>
</file>